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sus Diaz\Desktop\FACTURAS\FACTURAS MAPFRE\SCTR\2026\04. ABRIL 2026\"/>
    </mc:Choice>
  </mc:AlternateContent>
  <bookViews>
    <workbookView xWindow="0" yWindow="0" windowWidth="20520" windowHeight="8775"/>
  </bookViews>
  <sheets>
    <sheet name="ABRIL.2026" sheetId="1" r:id="rId1"/>
    <sheet name="Resumen ABRIL.2026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3" i="1" l="1"/>
  <c r="K53" i="1" s="1"/>
  <c r="J52" i="1"/>
  <c r="K52" i="1" s="1"/>
  <c r="J51" i="1"/>
  <c r="K51" i="1" s="1"/>
  <c r="J50" i="1"/>
  <c r="K50" i="1" s="1"/>
  <c r="J49" i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J43" i="1"/>
  <c r="K43" i="1" s="1"/>
  <c r="J42" i="1"/>
  <c r="K42" i="1" s="1"/>
  <c r="J41" i="1"/>
  <c r="K41" i="1" s="1"/>
  <c r="J40" i="1"/>
  <c r="K40" i="1" s="1"/>
  <c r="J10" i="1"/>
  <c r="K10" i="1" s="1"/>
  <c r="J7" i="1"/>
  <c r="K7" i="1" s="1"/>
  <c r="J8" i="1"/>
  <c r="K8" i="1" s="1"/>
  <c r="J9" i="1"/>
  <c r="K9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32" i="1"/>
  <c r="K32" i="1" s="1"/>
  <c r="J33" i="1"/>
  <c r="K33" i="1" s="1"/>
  <c r="J36" i="1"/>
  <c r="K36" i="1" s="1"/>
  <c r="J37" i="1"/>
  <c r="K37" i="1" s="1"/>
  <c r="J38" i="1"/>
  <c r="K38" i="1" s="1"/>
  <c r="J39" i="1"/>
  <c r="K39" i="1" s="1"/>
  <c r="J4" i="1" l="1"/>
  <c r="K4" i="1" s="1"/>
  <c r="J5" i="1"/>
  <c r="K5" i="1" s="1"/>
  <c r="J6" i="1"/>
  <c r="K6" i="1" s="1"/>
  <c r="I55" i="1"/>
  <c r="E9" i="2"/>
  <c r="F8" i="2"/>
  <c r="F6" i="2"/>
  <c r="J55" i="1" l="1"/>
  <c r="G8" i="2"/>
  <c r="G9" i="2" s="1"/>
  <c r="G10" i="2" s="1"/>
  <c r="K55" i="1"/>
</calcChain>
</file>

<file path=xl/sharedStrings.xml><?xml version="1.0" encoding="utf-8"?>
<sst xmlns="http://schemas.openxmlformats.org/spreadsheetml/2006/main" count="202" uniqueCount="109">
  <si>
    <t>MAPFRE EPS</t>
  </si>
  <si>
    <t>N° DE ORDEN</t>
  </si>
  <si>
    <t>SOLICITUD DE OCURRENCIA</t>
  </si>
  <si>
    <t>ASEGURADO</t>
  </si>
  <si>
    <t>CLASE SINIESTRO</t>
  </si>
  <si>
    <t>LUGAR</t>
  </si>
  <si>
    <t>FECHA ENVIO DE INFORME</t>
  </si>
  <si>
    <t>EJECUTIVO RESPONSABLE</t>
  </si>
  <si>
    <t>Sub-total</t>
  </si>
  <si>
    <t>TOTAL</t>
  </si>
  <si>
    <t>QUEMADURA</t>
  </si>
  <si>
    <t>CALLAO</t>
  </si>
  <si>
    <t>MAPFRE</t>
  </si>
  <si>
    <t>POR CORREO</t>
  </si>
  <si>
    <t>APRISIONAMIENTO - ATRAPAMIENTO</t>
  </si>
  <si>
    <t>CAIDA DE ALTURA</t>
  </si>
  <si>
    <t>CORTE CON OBJETO</t>
  </si>
  <si>
    <t>AFILIACION - POLIZA</t>
  </si>
  <si>
    <t xml:space="preserve">MAPFRE - RESUMEN  INVESTIGACIONES </t>
  </si>
  <si>
    <t>ZONAS</t>
  </si>
  <si>
    <t>COSTO</t>
  </si>
  <si>
    <t>CANT.</t>
  </si>
  <si>
    <t>TOTAL GENERAL</t>
  </si>
  <si>
    <t>LIMA</t>
  </si>
  <si>
    <t>PROVINCIAS</t>
  </si>
  <si>
    <t>IGV</t>
  </si>
  <si>
    <t>ROSARIO RODAS</t>
  </si>
  <si>
    <t>PUENTE PIEDRA</t>
  </si>
  <si>
    <t>CHICLAYO - LAMBAYEQUE</t>
  </si>
  <si>
    <t>TRUJILLO - LA LIBERTAD</t>
  </si>
  <si>
    <t>SAN JUAN DE LURIGANCHO</t>
  </si>
  <si>
    <t>GOLPE CON OBJETO</t>
  </si>
  <si>
    <t>ATE</t>
  </si>
  <si>
    <t>SAN MARTIN DE PORRES</t>
  </si>
  <si>
    <t>CHIMBOTE - ANCASH</t>
  </si>
  <si>
    <t>ALICIA SANCCA</t>
  </si>
  <si>
    <t>CERCADO DE LIMA</t>
  </si>
  <si>
    <t>PIURA</t>
  </si>
  <si>
    <t>VENTANILLA - CALLAO</t>
  </si>
  <si>
    <t>MES DE ABRIL 2026</t>
  </si>
  <si>
    <t>*ABRIL  *2026*</t>
  </si>
  <si>
    <t>RENGIFO TELLO ROBINSON</t>
  </si>
  <si>
    <t>GUARDAMINO PINEDO JULIAN</t>
  </si>
  <si>
    <t>AVALOS HERNANDEZ JUAN CARLOS</t>
  </si>
  <si>
    <t>ESPINOZA PUJAY JOSE DIONICIO</t>
  </si>
  <si>
    <t>TAIPE APARCO ALEXANDER</t>
  </si>
  <si>
    <t>MOREYRA CHAVEZ FRANCK NITTY</t>
  </si>
  <si>
    <t>ROJAS NOVOA JOSE ANTONIO (PRELIMINAR)</t>
  </si>
  <si>
    <t>ROMERO SOSA YEISON MANUEL</t>
  </si>
  <si>
    <t>CABANA ALFARO JONI</t>
  </si>
  <si>
    <t>RODRIGUEZ GUILLERMO ANGEL LEONCIO</t>
  </si>
  <si>
    <t>PAIVA CHUNGA JUAN CARLOS</t>
  </si>
  <si>
    <t>COARITE CABRERA ALEJANDRO RAFAEL</t>
  </si>
  <si>
    <t>FIERRO VALERO CESAR NILTON</t>
  </si>
  <si>
    <t>CACERES BENAVIDEZ JAREM YASSID (PRELIMINAR)</t>
  </si>
  <si>
    <t xml:space="preserve">VIGO SANCHEZ FLAVIO SERGIO </t>
  </si>
  <si>
    <t>BERRU SALAZAR SAUL FELIPE</t>
  </si>
  <si>
    <t>CHAVARRIA JAQUE JORDAN JONATHAN</t>
  </si>
  <si>
    <t>RAMOS SANDOVAL ESGARDO ALEXANDER</t>
  </si>
  <si>
    <t>DAVILA SAAVEDRA DILMER ALBERTO</t>
  </si>
  <si>
    <t>ARANGUREN CHAVEZ JOSE GREGORIO</t>
  </si>
  <si>
    <t>RAMOS AYALA RAUL</t>
  </si>
  <si>
    <t>ESPINOZA RAMOS HECBERT JOEL</t>
  </si>
  <si>
    <t>SIGUAS ARAUJO MARTIN VICTOR</t>
  </si>
  <si>
    <t>RAMOS ZAPATA LUIS ALBERTO</t>
  </si>
  <si>
    <t>MONTALVAN RIVERA LUIS ALBERTO</t>
  </si>
  <si>
    <t>MARCHENA SANDOVAL LUIS REINALDO</t>
  </si>
  <si>
    <t>ESPINOZA MORAN JOSE TEOFILO</t>
  </si>
  <si>
    <t>GUTIERREZ CASTRO JIM ESTEBENS</t>
  </si>
  <si>
    <t>ICA</t>
  </si>
  <si>
    <t>PACHACAMAC</t>
  </si>
  <si>
    <t>LOS OLIVOS</t>
  </si>
  <si>
    <t>SAN ISIDRO</t>
  </si>
  <si>
    <t>HUARAL</t>
  </si>
  <si>
    <t>CAIDA A DESNIVEL</t>
  </si>
  <si>
    <t>UCAYALLI</t>
  </si>
  <si>
    <t>SAN LUIS</t>
  </si>
  <si>
    <t>TALARA - PIURA</t>
  </si>
  <si>
    <t>MONTALVAN RELAIZA ARNALDO IVAN</t>
  </si>
  <si>
    <t>CHAMPI BELLO DANIA</t>
  </si>
  <si>
    <t>CHAMORRO CATALAN DENIS DANIEL</t>
  </si>
  <si>
    <t>PUMA ALMANZA SARITA</t>
  </si>
  <si>
    <t>INTOXICACION</t>
  </si>
  <si>
    <t>AGRESION</t>
  </si>
  <si>
    <t>APURIMAC</t>
  </si>
  <si>
    <t>SOLIS OLORTEGUI BERTILA</t>
  </si>
  <si>
    <t>HACHO SALAS TORIBIO</t>
  </si>
  <si>
    <t>DEL AGUILA APAZA STALIN</t>
  </si>
  <si>
    <t>GARCIA LEYTON LEONARDO FRANCO</t>
  </si>
  <si>
    <t>CASTILLO CORTEZ ANTONIO</t>
  </si>
  <si>
    <t>ENCALADA JIMENEZ WILMER</t>
  </si>
  <si>
    <t>RAMIREZ RODRIGUEZ ANDRES</t>
  </si>
  <si>
    <t>PALACIOS NAVARRO WILSON IVAN</t>
  </si>
  <si>
    <t xml:space="preserve">LUCANA HUAILLAPUMA RICHARD </t>
  </si>
  <si>
    <t>TAPIA MACAVILCA JHONNIER JUNIOR</t>
  </si>
  <si>
    <t xml:space="preserve">RIVEROS MONTES ELIZABET </t>
  </si>
  <si>
    <t>MSHEYLA MIRELLA LOPEZ SANCHEZ</t>
  </si>
  <si>
    <t>PALACIOS LITANO ADEMIR JOHANNES</t>
  </si>
  <si>
    <t>BULNES ARANA PEDRO</t>
  </si>
  <si>
    <t xml:space="preserve">CORDOVA VALVERDE ELIZABETH FABIOLA </t>
  </si>
  <si>
    <t>MONCAYO LANDAETA CIBELES ANDREINA</t>
  </si>
  <si>
    <t>BUSTAMANTE SANTA CRUZ NOEMI</t>
  </si>
  <si>
    <t>SOLORZANO CAHUANA RICHARD</t>
  </si>
  <si>
    <t>CUSCO</t>
  </si>
  <si>
    <t>IQUITOS - LORETO</t>
  </si>
  <si>
    <t>BREÑA</t>
  </si>
  <si>
    <t>SE DESCONOCE</t>
  </si>
  <si>
    <t>HUANCAYO</t>
  </si>
  <si>
    <t>SAN JUAN DE MIRAFLORES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</si>
</sst>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.&quot;\ #,##0.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0000CC"/>
      <name val="Calibri"/>
      <family val="2"/>
      <scheme val="minor"/>
    </font>
    <font>
      <sz val="14"/>
      <color rgb="FF0000CC"/>
      <name val="Calibri"/>
      <family val="2"/>
      <scheme val="minor"/>
    </font>
    <font>
      <b/>
      <sz val="14"/>
      <color rgb="FF0000CC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9" fontId="5" fillId="2" borderId="5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" fontId="7" fillId="0" borderId="9" xfId="0" applyNumberFormat="1" applyFont="1" applyBorder="1" applyAlignment="1">
      <alignment horizontal="right" vertical="center" wrapText="1"/>
    </xf>
    <xf numFmtId="4" fontId="8" fillId="0" borderId="9" xfId="0" applyNumberFormat="1" applyFont="1" applyBorder="1" applyAlignment="1">
      <alignment horizontal="right" vertical="center"/>
    </xf>
    <xf numFmtId="4" fontId="8" fillId="0" borderId="10" xfId="0" applyNumberFormat="1" applyFont="1" applyBorder="1" applyAlignment="1">
      <alignment horizontal="right" vertical="center"/>
    </xf>
    <xf numFmtId="9" fontId="0" fillId="0" borderId="0" xfId="0" applyNumberFormat="1"/>
    <xf numFmtId="0" fontId="5" fillId="3" borderId="11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4" fontId="7" fillId="0" borderId="15" xfId="0" applyNumberFormat="1" applyFont="1" applyBorder="1" applyAlignment="1">
      <alignment horizontal="right" vertical="center" wrapText="1"/>
    </xf>
    <xf numFmtId="4" fontId="8" fillId="0" borderId="15" xfId="0" applyNumberFormat="1" applyFont="1" applyBorder="1" applyAlignment="1">
      <alignment horizontal="right" vertical="center"/>
    </xf>
    <xf numFmtId="4" fontId="8" fillId="0" borderId="16" xfId="0" applyNumberFormat="1" applyFont="1" applyBorder="1" applyAlignment="1">
      <alignment horizontal="right" vertical="center"/>
    </xf>
    <xf numFmtId="0" fontId="6" fillId="0" borderId="13" xfId="0" applyFont="1" applyBorder="1" applyAlignment="1">
      <alignment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vertical="center" wrapText="1"/>
    </xf>
    <xf numFmtId="14" fontId="6" fillId="0" borderId="19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4" fontId="7" fillId="0" borderId="21" xfId="0" applyNumberFormat="1" applyFont="1" applyBorder="1" applyAlignment="1">
      <alignment horizontal="right" vertical="center" wrapText="1"/>
    </xf>
    <xf numFmtId="4" fontId="8" fillId="0" borderId="21" xfId="0" applyNumberFormat="1" applyFont="1" applyBorder="1" applyAlignment="1">
      <alignment horizontal="right" vertical="center"/>
    </xf>
    <xf numFmtId="4" fontId="8" fillId="0" borderId="22" xfId="0" applyNumberFormat="1" applyFont="1" applyBorder="1" applyAlignment="1">
      <alignment horizontal="right" vertical="center"/>
    </xf>
    <xf numFmtId="0" fontId="0" fillId="0" borderId="0" xfId="0" applyAlignment="1">
      <alignment horizontal="left"/>
    </xf>
    <xf numFmtId="4" fontId="9" fillId="4" borderId="23" xfId="0" applyNumberFormat="1" applyFont="1" applyFill="1" applyBorder="1"/>
    <xf numFmtId="4" fontId="10" fillId="0" borderId="0" xfId="0" applyNumberFormat="1" applyFont="1" applyAlignment="1">
      <alignment horizontal="right" vertical="center" wrapText="1"/>
    </xf>
    <xf numFmtId="0" fontId="11" fillId="6" borderId="29" xfId="0" applyFont="1" applyFill="1" applyBorder="1" applyAlignment="1">
      <alignment horizontal="center" vertical="center"/>
    </xf>
    <xf numFmtId="0" fontId="11" fillId="6" borderId="23" xfId="0" applyFont="1" applyFill="1" applyBorder="1" applyAlignment="1">
      <alignment horizontal="center" vertical="center"/>
    </xf>
    <xf numFmtId="0" fontId="12" fillId="6" borderId="23" xfId="0" applyFont="1" applyFill="1" applyBorder="1" applyAlignment="1">
      <alignment horizontal="center" vertical="center"/>
    </xf>
    <xf numFmtId="0" fontId="13" fillId="6" borderId="30" xfId="0" applyFont="1" applyFill="1" applyBorder="1" applyAlignment="1">
      <alignment horizontal="center" vertical="center" wrapText="1"/>
    </xf>
    <xf numFmtId="0" fontId="14" fillId="0" borderId="31" xfId="0" applyFont="1" applyBorder="1"/>
    <xf numFmtId="2" fontId="14" fillId="0" borderId="32" xfId="0" applyNumberFormat="1" applyFont="1" applyBorder="1" applyAlignment="1">
      <alignment horizontal="center"/>
    </xf>
    <xf numFmtId="1" fontId="0" fillId="0" borderId="32" xfId="0" applyNumberFormat="1" applyBorder="1" applyAlignment="1">
      <alignment horizontal="center" vertical="center"/>
    </xf>
    <xf numFmtId="2" fontId="14" fillId="0" borderId="0" xfId="0" applyNumberFormat="1" applyFont="1"/>
    <xf numFmtId="0" fontId="0" fillId="0" borderId="32" xfId="0" applyBorder="1"/>
    <xf numFmtId="0" fontId="15" fillId="0" borderId="31" xfId="0" applyFont="1" applyBorder="1"/>
    <xf numFmtId="2" fontId="14" fillId="0" borderId="33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 vertical="center"/>
    </xf>
    <xf numFmtId="0" fontId="0" fillId="0" borderId="33" xfId="0" applyBorder="1"/>
    <xf numFmtId="0" fontId="14" fillId="0" borderId="29" xfId="0" applyFont="1" applyBorder="1"/>
    <xf numFmtId="2" fontId="14" fillId="0" borderId="23" xfId="0" applyNumberFormat="1" applyFont="1" applyBorder="1" applyAlignment="1">
      <alignment horizontal="center"/>
    </xf>
    <xf numFmtId="1" fontId="0" fillId="0" borderId="23" xfId="0" applyNumberFormat="1" applyBorder="1" applyAlignment="1">
      <alignment horizontal="center" vertical="center"/>
    </xf>
    <xf numFmtId="2" fontId="14" fillId="0" borderId="24" xfId="0" applyNumberFormat="1" applyFont="1" applyBorder="1"/>
    <xf numFmtId="164" fontId="14" fillId="0" borderId="23" xfId="0" applyNumberFormat="1" applyFont="1" applyBorder="1"/>
    <xf numFmtId="0" fontId="9" fillId="0" borderId="0" xfId="0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4" fontId="9" fillId="0" borderId="0" xfId="0" applyNumberFormat="1" applyFont="1" applyAlignment="1">
      <alignment horizontal="right"/>
    </xf>
    <xf numFmtId="4" fontId="14" fillId="0" borderId="15" xfId="0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9" fillId="6" borderId="34" xfId="0" applyNumberFormat="1" applyFont="1" applyFill="1" applyBorder="1"/>
    <xf numFmtId="14" fontId="6" fillId="0" borderId="13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" fontId="8" fillId="0" borderId="32" xfId="0" applyNumberFormat="1" applyFont="1" applyBorder="1" applyAlignment="1">
      <alignment vertical="center"/>
    </xf>
    <xf numFmtId="4" fontId="8" fillId="0" borderId="35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14" fontId="6" fillId="0" borderId="0" xfId="0" applyNumberFormat="1" applyFont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4" fontId="6" fillId="0" borderId="0" xfId="0" applyNumberFormat="1" applyFont="1" applyAlignment="1">
      <alignment horizontal="center" vertical="center"/>
    </xf>
    <xf numFmtId="17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4" fontId="7" fillId="0" borderId="32" xfId="0" applyNumberFormat="1" applyFont="1" applyBorder="1" applyAlignment="1">
      <alignment horizontal="center" vertical="center" wrapText="1"/>
    </xf>
    <xf numFmtId="4" fontId="7" fillId="0" borderId="33" xfId="0" applyNumberFormat="1" applyFont="1" applyBorder="1" applyAlignment="1">
      <alignment horizontal="center" vertical="center" wrapText="1"/>
    </xf>
    <xf numFmtId="4" fontId="7" fillId="0" borderId="23" xfId="0" applyNumberFormat="1" applyFont="1" applyBorder="1" applyAlignment="1">
      <alignment horizontal="center" vertical="center" wrapText="1"/>
    </xf>
    <xf numFmtId="4" fontId="8" fillId="0" borderId="32" xfId="0" applyNumberFormat="1" applyFont="1" applyBorder="1" applyAlignment="1">
      <alignment horizontal="center" vertical="center"/>
    </xf>
    <xf numFmtId="4" fontId="8" fillId="0" borderId="33" xfId="0" applyNumberFormat="1" applyFont="1" applyBorder="1" applyAlignment="1">
      <alignment horizontal="center" vertical="center"/>
    </xf>
    <xf numFmtId="4" fontId="8" fillId="0" borderId="23" xfId="0" applyNumberFormat="1" applyFont="1" applyBorder="1" applyAlignment="1">
      <alignment horizontal="center" vertical="center"/>
    </xf>
    <xf numFmtId="4" fontId="8" fillId="0" borderId="35" xfId="0" applyNumberFormat="1" applyFont="1" applyBorder="1" applyAlignment="1">
      <alignment horizontal="center" vertical="center"/>
    </xf>
    <xf numFmtId="4" fontId="8" fillId="0" borderId="39" xfId="0" applyNumberFormat="1" applyFont="1" applyBorder="1" applyAlignment="1">
      <alignment horizontal="center" vertical="center"/>
    </xf>
    <xf numFmtId="4" fontId="8" fillId="0" borderId="4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5" borderId="25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17" fontId="16" fillId="6" borderId="18" xfId="0" applyNumberFormat="1" applyFont="1" applyFill="1" applyBorder="1" applyAlignment="1">
      <alignment horizontal="center" vertical="center"/>
    </xf>
    <xf numFmtId="0" fontId="16" fillId="6" borderId="19" xfId="0" applyFont="1" applyFill="1" applyBorder="1" applyAlignment="1">
      <alignment horizontal="center" vertical="center"/>
    </xf>
    <xf numFmtId="0" fontId="16" fillId="6" borderId="28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58"/>
  <sheetViews>
    <sheetView tabSelected="1" topLeftCell="A25" workbookViewId="0">
      <selection activeCell="M16" sqref="M16"/>
    </sheetView>
  </sheetViews>
  <sheetFormatPr baseColWidth="10" defaultRowHeight="14.25" x14ac:dyDescent="0.45"/>
  <cols>
    <col min="1" max="1" width="3.1328125" customWidth="1"/>
    <col min="2" max="2" width="5.3984375" style="28" customWidth="1"/>
    <col min="3" max="3" width="10" style="28" customWidth="1"/>
    <col min="4" max="4" width="25.59765625" style="28" customWidth="1"/>
    <col min="5" max="5" width="13.86328125" style="28" customWidth="1"/>
    <col min="6" max="6" width="12" style="28" customWidth="1"/>
    <col min="7" max="7" width="11.265625" style="28" customWidth="1"/>
    <col min="8" max="8" width="9.59765625" style="28" customWidth="1"/>
    <col min="9" max="9" width="9.1328125" style="28" customWidth="1"/>
    <col min="10" max="10" width="8" style="28" customWidth="1"/>
    <col min="11" max="11" width="9.265625" style="28" customWidth="1"/>
    <col min="12" max="12" width="4.73046875" customWidth="1"/>
  </cols>
  <sheetData>
    <row r="2" spans="2:14" ht="25.5" customHeight="1" thickBot="1" x14ac:dyDescent="0.6">
      <c r="B2" s="1" t="s">
        <v>0</v>
      </c>
      <c r="C2" s="2"/>
      <c r="D2" s="76" t="s">
        <v>40</v>
      </c>
      <c r="E2" s="77"/>
      <c r="F2" s="77"/>
      <c r="G2" s="77"/>
      <c r="H2" s="77"/>
      <c r="I2" s="77"/>
      <c r="J2" s="77"/>
      <c r="K2" s="78"/>
    </row>
    <row r="3" spans="2:14" ht="28.5" customHeight="1" thickBot="1" x14ac:dyDescent="0.5">
      <c r="B3" s="3" t="s">
        <v>1</v>
      </c>
      <c r="C3" s="4" t="s">
        <v>2</v>
      </c>
      <c r="D3" s="5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6">
        <v>0.18</v>
      </c>
      <c r="K3" s="7" t="s">
        <v>9</v>
      </c>
    </row>
    <row r="4" spans="2:14" ht="30.75" customHeight="1" x14ac:dyDescent="0.45">
      <c r="B4" s="8">
        <v>1</v>
      </c>
      <c r="C4" s="66">
        <v>1080287</v>
      </c>
      <c r="D4" s="63" t="s">
        <v>41</v>
      </c>
      <c r="E4" s="67" t="s">
        <v>14</v>
      </c>
      <c r="F4" s="67" t="s">
        <v>33</v>
      </c>
      <c r="G4" s="68">
        <v>46120</v>
      </c>
      <c r="H4" s="66" t="s">
        <v>12</v>
      </c>
      <c r="I4" s="10">
        <v>500</v>
      </c>
      <c r="J4" s="11">
        <f t="shared" ref="J4:J6" si="0">+I4*$J$3</f>
        <v>90</v>
      </c>
      <c r="K4" s="12">
        <f t="shared" ref="K4" si="1">SUM(I4:J4)</f>
        <v>590</v>
      </c>
      <c r="L4" s="9"/>
      <c r="M4" s="9"/>
      <c r="N4" s="13"/>
    </row>
    <row r="5" spans="2:14" ht="29.25" customHeight="1" x14ac:dyDescent="0.45">
      <c r="B5" s="14">
        <v>2</v>
      </c>
      <c r="C5" s="64">
        <v>89206051</v>
      </c>
      <c r="D5" s="65" t="s">
        <v>42</v>
      </c>
      <c r="E5" s="19" t="s">
        <v>10</v>
      </c>
      <c r="F5" s="15" t="s">
        <v>30</v>
      </c>
      <c r="G5" s="56">
        <v>46132</v>
      </c>
      <c r="H5" s="57" t="s">
        <v>35</v>
      </c>
      <c r="I5" s="16">
        <v>500</v>
      </c>
      <c r="J5" s="17">
        <f t="shared" si="0"/>
        <v>90</v>
      </c>
      <c r="K5" s="18">
        <f t="shared" ref="K5:K6" si="2">SUM(I5:J5)</f>
        <v>590</v>
      </c>
      <c r="L5" s="9"/>
      <c r="M5" s="66"/>
    </row>
    <row r="6" spans="2:14" ht="29.25" customHeight="1" x14ac:dyDescent="0.45">
      <c r="B6" s="14">
        <v>3</v>
      </c>
      <c r="C6" s="64">
        <v>1082306</v>
      </c>
      <c r="D6" s="65" t="s">
        <v>43</v>
      </c>
      <c r="E6" s="15" t="s">
        <v>15</v>
      </c>
      <c r="F6" s="15" t="s">
        <v>29</v>
      </c>
      <c r="G6" s="56">
        <v>46125</v>
      </c>
      <c r="H6" s="59" t="s">
        <v>12</v>
      </c>
      <c r="I6" s="16">
        <v>700</v>
      </c>
      <c r="J6" s="17">
        <f t="shared" si="0"/>
        <v>126</v>
      </c>
      <c r="K6" s="18">
        <f t="shared" si="2"/>
        <v>826</v>
      </c>
      <c r="L6" s="9"/>
      <c r="M6" s="9"/>
    </row>
    <row r="7" spans="2:14" ht="27" customHeight="1" x14ac:dyDescent="0.45">
      <c r="B7" s="14">
        <v>4</v>
      </c>
      <c r="C7" s="64">
        <v>1083348</v>
      </c>
      <c r="D7" s="65" t="s">
        <v>44</v>
      </c>
      <c r="E7" s="15" t="s">
        <v>10</v>
      </c>
      <c r="F7" s="15" t="s">
        <v>11</v>
      </c>
      <c r="G7" s="56">
        <v>46132</v>
      </c>
      <c r="H7" s="59" t="s">
        <v>12</v>
      </c>
      <c r="I7" s="16">
        <v>500</v>
      </c>
      <c r="J7" s="17">
        <f t="shared" ref="J7:J39" si="3">+I7*$J$3</f>
        <v>90</v>
      </c>
      <c r="K7" s="18">
        <f t="shared" ref="K7:K39" si="4">SUM(I7:J7)</f>
        <v>590</v>
      </c>
      <c r="L7" s="9"/>
    </row>
    <row r="8" spans="2:14" ht="36" customHeight="1" x14ac:dyDescent="0.45">
      <c r="B8" s="14">
        <v>5</v>
      </c>
      <c r="C8" s="64">
        <v>1084327</v>
      </c>
      <c r="D8" s="65" t="s">
        <v>45</v>
      </c>
      <c r="E8" s="19" t="s">
        <v>10</v>
      </c>
      <c r="F8" s="15" t="s">
        <v>11</v>
      </c>
      <c r="G8" s="56">
        <v>46133</v>
      </c>
      <c r="H8" s="59" t="s">
        <v>12</v>
      </c>
      <c r="I8" s="16">
        <v>500</v>
      </c>
      <c r="J8" s="17">
        <f t="shared" si="3"/>
        <v>90</v>
      </c>
      <c r="K8" s="18">
        <f t="shared" si="4"/>
        <v>590</v>
      </c>
      <c r="L8" s="9"/>
      <c r="M8" s="9"/>
    </row>
    <row r="9" spans="2:14" ht="32.25" customHeight="1" x14ac:dyDescent="0.45">
      <c r="B9" s="14">
        <v>6</v>
      </c>
      <c r="C9" s="64">
        <v>1085566</v>
      </c>
      <c r="D9" s="65" t="s">
        <v>46</v>
      </c>
      <c r="E9" s="15" t="s">
        <v>15</v>
      </c>
      <c r="F9" s="15" t="s">
        <v>69</v>
      </c>
      <c r="G9" s="56">
        <v>46133</v>
      </c>
      <c r="H9" s="59" t="s">
        <v>12</v>
      </c>
      <c r="I9" s="16">
        <v>700</v>
      </c>
      <c r="J9" s="61">
        <f t="shared" si="3"/>
        <v>126</v>
      </c>
      <c r="K9" s="62">
        <f t="shared" si="4"/>
        <v>826</v>
      </c>
      <c r="L9" s="9"/>
      <c r="M9" s="9"/>
    </row>
    <row r="10" spans="2:14" ht="33" customHeight="1" x14ac:dyDescent="0.45">
      <c r="B10" s="14">
        <v>7</v>
      </c>
      <c r="C10" s="64">
        <v>89258163</v>
      </c>
      <c r="D10" s="96" t="s">
        <v>47</v>
      </c>
      <c r="E10" s="15" t="s">
        <v>10</v>
      </c>
      <c r="F10" s="15" t="s">
        <v>11</v>
      </c>
      <c r="G10" s="56">
        <v>46156</v>
      </c>
      <c r="H10" s="57" t="s">
        <v>35</v>
      </c>
      <c r="I10" s="16">
        <v>500</v>
      </c>
      <c r="J10" s="61">
        <f t="shared" ref="J10" si="5">+I10*$J$3</f>
        <v>90</v>
      </c>
      <c r="K10" s="62">
        <f t="shared" ref="K10" si="6">SUM(I10:J10)</f>
        <v>590</v>
      </c>
      <c r="L10" s="9"/>
      <c r="M10" s="9"/>
    </row>
    <row r="11" spans="2:14" ht="33" customHeight="1" x14ac:dyDescent="0.45">
      <c r="B11" s="14">
        <v>8</v>
      </c>
      <c r="C11" s="64">
        <v>89261019</v>
      </c>
      <c r="D11" s="65" t="s">
        <v>48</v>
      </c>
      <c r="E11" s="15" t="s">
        <v>10</v>
      </c>
      <c r="F11" s="15" t="s">
        <v>34</v>
      </c>
      <c r="G11" s="56">
        <v>46146</v>
      </c>
      <c r="H11" s="57" t="s">
        <v>35</v>
      </c>
      <c r="I11" s="16">
        <v>700</v>
      </c>
      <c r="J11" s="17">
        <f t="shared" si="3"/>
        <v>126</v>
      </c>
      <c r="K11" s="18">
        <f t="shared" si="4"/>
        <v>826</v>
      </c>
      <c r="L11" s="9"/>
      <c r="M11" s="9"/>
    </row>
    <row r="12" spans="2:14" ht="33" customHeight="1" x14ac:dyDescent="0.45">
      <c r="B12" s="14">
        <v>9</v>
      </c>
      <c r="C12" s="64">
        <v>1080897</v>
      </c>
      <c r="D12" s="65" t="s">
        <v>49</v>
      </c>
      <c r="E12" s="19" t="s">
        <v>16</v>
      </c>
      <c r="F12" s="15" t="s">
        <v>70</v>
      </c>
      <c r="G12" s="56">
        <v>46118</v>
      </c>
      <c r="H12" s="57" t="s">
        <v>12</v>
      </c>
      <c r="I12" s="16">
        <v>500</v>
      </c>
      <c r="J12" s="17">
        <f t="shared" si="3"/>
        <v>90</v>
      </c>
      <c r="K12" s="18">
        <f t="shared" si="4"/>
        <v>590</v>
      </c>
      <c r="L12" s="9"/>
    </row>
    <row r="13" spans="2:14" ht="33" customHeight="1" x14ac:dyDescent="0.45">
      <c r="B13" s="14">
        <v>10</v>
      </c>
      <c r="C13" s="64">
        <v>89218365</v>
      </c>
      <c r="D13" s="69" t="s">
        <v>50</v>
      </c>
      <c r="E13" s="19" t="s">
        <v>15</v>
      </c>
      <c r="F13" s="19" t="s">
        <v>71</v>
      </c>
      <c r="G13" s="56">
        <v>46134</v>
      </c>
      <c r="H13" s="57" t="s">
        <v>35</v>
      </c>
      <c r="I13" s="16">
        <v>500</v>
      </c>
      <c r="J13" s="17">
        <f t="shared" si="3"/>
        <v>90</v>
      </c>
      <c r="K13" s="18">
        <f t="shared" si="4"/>
        <v>590</v>
      </c>
      <c r="L13" s="9"/>
    </row>
    <row r="14" spans="2:14" ht="33" customHeight="1" x14ac:dyDescent="0.45">
      <c r="B14" s="14">
        <v>11</v>
      </c>
      <c r="C14" s="64">
        <v>89229170</v>
      </c>
      <c r="D14" s="69" t="s">
        <v>51</v>
      </c>
      <c r="E14" s="19" t="s">
        <v>14</v>
      </c>
      <c r="F14" s="19" t="s">
        <v>11</v>
      </c>
      <c r="G14" s="56">
        <v>46146</v>
      </c>
      <c r="H14" s="57" t="s">
        <v>35</v>
      </c>
      <c r="I14" s="16">
        <v>500</v>
      </c>
      <c r="J14" s="17">
        <f t="shared" si="3"/>
        <v>90</v>
      </c>
      <c r="K14" s="18">
        <f t="shared" si="4"/>
        <v>590</v>
      </c>
      <c r="L14" s="9"/>
      <c r="M14" s="9"/>
    </row>
    <row r="15" spans="2:14" ht="33" customHeight="1" x14ac:dyDescent="0.45">
      <c r="B15" s="14">
        <v>12</v>
      </c>
      <c r="C15" s="64">
        <v>1087551</v>
      </c>
      <c r="D15" s="69" t="s">
        <v>52</v>
      </c>
      <c r="E15" s="19" t="s">
        <v>31</v>
      </c>
      <c r="F15" s="15" t="s">
        <v>33</v>
      </c>
      <c r="G15" s="56">
        <v>46147</v>
      </c>
      <c r="H15" s="59" t="s">
        <v>12</v>
      </c>
      <c r="I15" s="16">
        <v>500</v>
      </c>
      <c r="J15" s="17">
        <f t="shared" si="3"/>
        <v>90</v>
      </c>
      <c r="K15" s="18">
        <f t="shared" si="4"/>
        <v>590</v>
      </c>
      <c r="L15" s="9"/>
      <c r="M15" s="9"/>
    </row>
    <row r="16" spans="2:14" ht="33" customHeight="1" x14ac:dyDescent="0.45">
      <c r="B16" s="14">
        <v>13</v>
      </c>
      <c r="C16" s="64">
        <v>89240756</v>
      </c>
      <c r="D16" s="69" t="s">
        <v>53</v>
      </c>
      <c r="E16" s="19" t="s">
        <v>16</v>
      </c>
      <c r="F16" s="15" t="s">
        <v>72</v>
      </c>
      <c r="G16" s="56">
        <v>46146</v>
      </c>
      <c r="H16" s="57" t="s">
        <v>35</v>
      </c>
      <c r="I16" s="16">
        <v>500</v>
      </c>
      <c r="J16" s="17">
        <f t="shared" si="3"/>
        <v>90</v>
      </c>
      <c r="K16" s="18">
        <f t="shared" si="4"/>
        <v>590</v>
      </c>
      <c r="L16" s="9"/>
      <c r="M16" s="9"/>
    </row>
    <row r="17" spans="2:13" ht="33" customHeight="1" x14ac:dyDescent="0.45">
      <c r="B17" s="14">
        <v>14</v>
      </c>
      <c r="C17" s="64">
        <v>1089766</v>
      </c>
      <c r="D17" s="96" t="s">
        <v>54</v>
      </c>
      <c r="E17" s="19" t="s">
        <v>15</v>
      </c>
      <c r="F17" s="15" t="s">
        <v>73</v>
      </c>
      <c r="G17" s="56">
        <v>46163</v>
      </c>
      <c r="H17" s="57" t="s">
        <v>12</v>
      </c>
      <c r="I17" s="16">
        <v>700</v>
      </c>
      <c r="J17" s="17">
        <f t="shared" si="3"/>
        <v>126</v>
      </c>
      <c r="K17" s="18">
        <f t="shared" si="4"/>
        <v>826</v>
      </c>
      <c r="L17" s="9"/>
      <c r="M17" s="66"/>
    </row>
    <row r="18" spans="2:13" ht="33" customHeight="1" x14ac:dyDescent="0.45">
      <c r="B18" s="14">
        <v>15</v>
      </c>
      <c r="C18" s="64">
        <v>89263853</v>
      </c>
      <c r="D18" s="69" t="s">
        <v>55</v>
      </c>
      <c r="E18" s="19" t="s">
        <v>74</v>
      </c>
      <c r="F18" s="15" t="s">
        <v>75</v>
      </c>
      <c r="G18" s="56">
        <v>46146</v>
      </c>
      <c r="H18" s="57" t="s">
        <v>35</v>
      </c>
      <c r="I18" s="16">
        <v>700</v>
      </c>
      <c r="J18" s="17">
        <f t="shared" si="3"/>
        <v>126</v>
      </c>
      <c r="K18" s="18">
        <f t="shared" si="4"/>
        <v>826</v>
      </c>
      <c r="L18" s="9"/>
      <c r="M18" s="9"/>
    </row>
    <row r="19" spans="2:13" ht="33" customHeight="1" x14ac:dyDescent="0.45">
      <c r="B19" s="14">
        <v>16</v>
      </c>
      <c r="C19" s="64">
        <v>89187709</v>
      </c>
      <c r="D19" s="69" t="s">
        <v>56</v>
      </c>
      <c r="E19" s="19" t="s">
        <v>14</v>
      </c>
      <c r="F19" s="19" t="s">
        <v>76</v>
      </c>
      <c r="G19" s="56">
        <v>46134</v>
      </c>
      <c r="H19" s="57" t="s">
        <v>35</v>
      </c>
      <c r="I19" s="16">
        <v>500</v>
      </c>
      <c r="J19" s="17">
        <f t="shared" si="3"/>
        <v>90</v>
      </c>
      <c r="K19" s="18">
        <f t="shared" si="4"/>
        <v>590</v>
      </c>
      <c r="L19" s="9"/>
      <c r="M19" s="9"/>
    </row>
    <row r="20" spans="2:13" ht="33" customHeight="1" x14ac:dyDescent="0.45">
      <c r="B20" s="14">
        <v>17</v>
      </c>
      <c r="C20" s="64">
        <v>89184531</v>
      </c>
      <c r="D20" s="65" t="s">
        <v>57</v>
      </c>
      <c r="E20" s="19" t="s">
        <v>14</v>
      </c>
      <c r="F20" s="19" t="s">
        <v>11</v>
      </c>
      <c r="G20" s="56">
        <v>46127</v>
      </c>
      <c r="H20" s="57" t="s">
        <v>35</v>
      </c>
      <c r="I20" s="16">
        <v>500</v>
      </c>
      <c r="J20" s="17">
        <f t="shared" si="3"/>
        <v>90</v>
      </c>
      <c r="K20" s="18">
        <f t="shared" si="4"/>
        <v>590</v>
      </c>
      <c r="L20" s="9"/>
      <c r="M20" s="9"/>
    </row>
    <row r="21" spans="2:13" ht="33" customHeight="1" x14ac:dyDescent="0.45">
      <c r="B21" s="14">
        <v>18</v>
      </c>
      <c r="C21" s="64">
        <v>89194507</v>
      </c>
      <c r="D21" s="19" t="s">
        <v>58</v>
      </c>
      <c r="E21" s="19" t="s">
        <v>15</v>
      </c>
      <c r="F21" s="19" t="s">
        <v>33</v>
      </c>
      <c r="G21" s="56">
        <v>46127</v>
      </c>
      <c r="H21" s="57" t="s">
        <v>35</v>
      </c>
      <c r="I21" s="16">
        <v>500</v>
      </c>
      <c r="J21" s="17">
        <f t="shared" si="3"/>
        <v>90</v>
      </c>
      <c r="K21" s="18">
        <f t="shared" si="4"/>
        <v>590</v>
      </c>
      <c r="L21" s="9"/>
    </row>
    <row r="22" spans="2:13" ht="33" customHeight="1" x14ac:dyDescent="0.45">
      <c r="B22" s="14">
        <v>19</v>
      </c>
      <c r="C22" s="64">
        <v>1077931</v>
      </c>
      <c r="D22" s="65" t="s">
        <v>59</v>
      </c>
      <c r="E22" s="19" t="s">
        <v>15</v>
      </c>
      <c r="F22" s="19" t="s">
        <v>32</v>
      </c>
      <c r="G22" s="56">
        <v>46127</v>
      </c>
      <c r="H22" s="57" t="s">
        <v>12</v>
      </c>
      <c r="I22" s="16">
        <v>500</v>
      </c>
      <c r="J22" s="17">
        <f t="shared" si="3"/>
        <v>90</v>
      </c>
      <c r="K22" s="18">
        <f t="shared" si="4"/>
        <v>590</v>
      </c>
      <c r="L22" s="9"/>
    </row>
    <row r="23" spans="2:13" ht="33" customHeight="1" x14ac:dyDescent="0.45">
      <c r="B23" s="14">
        <v>20</v>
      </c>
      <c r="C23" s="64">
        <v>89221225</v>
      </c>
      <c r="D23" s="69" t="s">
        <v>60</v>
      </c>
      <c r="E23" s="19" t="s">
        <v>14</v>
      </c>
      <c r="F23" s="19" t="s">
        <v>11</v>
      </c>
      <c r="G23" s="56">
        <v>46146</v>
      </c>
      <c r="H23" s="57" t="s">
        <v>35</v>
      </c>
      <c r="I23" s="16">
        <v>500</v>
      </c>
      <c r="J23" s="17">
        <f t="shared" si="3"/>
        <v>90</v>
      </c>
      <c r="K23" s="18">
        <f t="shared" si="4"/>
        <v>590</v>
      </c>
      <c r="L23" s="9"/>
    </row>
    <row r="24" spans="2:13" ht="33" customHeight="1" x14ac:dyDescent="0.45">
      <c r="B24" s="71">
        <v>21</v>
      </c>
      <c r="C24" s="79" t="s">
        <v>13</v>
      </c>
      <c r="D24" s="63" t="s">
        <v>61</v>
      </c>
      <c r="E24" s="74" t="s">
        <v>15</v>
      </c>
      <c r="F24" s="74" t="s">
        <v>77</v>
      </c>
      <c r="G24" s="75">
        <v>46132</v>
      </c>
      <c r="H24" s="89" t="s">
        <v>35</v>
      </c>
      <c r="I24" s="80">
        <v>700</v>
      </c>
      <c r="J24" s="83">
        <f t="shared" si="3"/>
        <v>126</v>
      </c>
      <c r="K24" s="86">
        <f t="shared" si="4"/>
        <v>826</v>
      </c>
      <c r="L24" s="9"/>
    </row>
    <row r="25" spans="2:13" ht="33" customHeight="1" x14ac:dyDescent="0.45">
      <c r="B25" s="72"/>
      <c r="C25" s="79"/>
      <c r="D25" s="63" t="s">
        <v>62</v>
      </c>
      <c r="E25" s="74"/>
      <c r="F25" s="74"/>
      <c r="G25" s="75"/>
      <c r="H25" s="89"/>
      <c r="I25" s="81"/>
      <c r="J25" s="84"/>
      <c r="K25" s="87"/>
      <c r="L25" s="9"/>
    </row>
    <row r="26" spans="2:13" ht="33" customHeight="1" x14ac:dyDescent="0.45">
      <c r="B26" s="72"/>
      <c r="C26" s="79"/>
      <c r="D26" s="63" t="s">
        <v>63</v>
      </c>
      <c r="E26" s="74"/>
      <c r="F26" s="74"/>
      <c r="G26" s="75"/>
      <c r="H26" s="89"/>
      <c r="I26" s="81"/>
      <c r="J26" s="84"/>
      <c r="K26" s="87"/>
      <c r="L26" s="9"/>
    </row>
    <row r="27" spans="2:13" ht="33" customHeight="1" x14ac:dyDescent="0.45">
      <c r="B27" s="72"/>
      <c r="C27" s="79"/>
      <c r="D27" s="63" t="s">
        <v>64</v>
      </c>
      <c r="E27" s="74"/>
      <c r="F27" s="74"/>
      <c r="G27" s="75"/>
      <c r="H27" s="89"/>
      <c r="I27" s="81"/>
      <c r="J27" s="84"/>
      <c r="K27" s="87"/>
      <c r="L27" s="9"/>
    </row>
    <row r="28" spans="2:13" ht="33" customHeight="1" x14ac:dyDescent="0.45">
      <c r="B28" s="72"/>
      <c r="C28" s="79"/>
      <c r="D28" s="63" t="s">
        <v>65</v>
      </c>
      <c r="E28" s="74"/>
      <c r="F28" s="74"/>
      <c r="G28" s="75"/>
      <c r="H28" s="89"/>
      <c r="I28" s="81"/>
      <c r="J28" s="84"/>
      <c r="K28" s="87"/>
      <c r="L28" s="9"/>
    </row>
    <row r="29" spans="2:13" ht="33" customHeight="1" x14ac:dyDescent="0.45">
      <c r="B29" s="72"/>
      <c r="C29" s="79"/>
      <c r="D29" s="63" t="s">
        <v>66</v>
      </c>
      <c r="E29" s="74"/>
      <c r="F29" s="74"/>
      <c r="G29" s="75"/>
      <c r="H29" s="89"/>
      <c r="I29" s="81"/>
      <c r="J29" s="84"/>
      <c r="K29" s="87"/>
      <c r="L29" s="9"/>
    </row>
    <row r="30" spans="2:13" ht="33" customHeight="1" x14ac:dyDescent="0.45">
      <c r="B30" s="72"/>
      <c r="C30" s="79"/>
      <c r="D30" s="63" t="s">
        <v>67</v>
      </c>
      <c r="E30" s="74"/>
      <c r="F30" s="74"/>
      <c r="G30" s="75"/>
      <c r="H30" s="89"/>
      <c r="I30" s="81"/>
      <c r="J30" s="84"/>
      <c r="K30" s="87"/>
      <c r="L30" s="9"/>
    </row>
    <row r="31" spans="2:13" ht="33" customHeight="1" x14ac:dyDescent="0.45">
      <c r="B31" s="73"/>
      <c r="C31" s="79"/>
      <c r="D31" s="63" t="s">
        <v>68</v>
      </c>
      <c r="E31" s="74"/>
      <c r="F31" s="74"/>
      <c r="G31" s="75"/>
      <c r="H31" s="89"/>
      <c r="I31" s="82"/>
      <c r="J31" s="85"/>
      <c r="K31" s="88"/>
      <c r="L31" s="9"/>
    </row>
    <row r="32" spans="2:13" ht="33" customHeight="1" x14ac:dyDescent="0.45">
      <c r="B32" s="14">
        <v>22</v>
      </c>
      <c r="C32" s="64">
        <v>1079538</v>
      </c>
      <c r="D32" s="65" t="s">
        <v>78</v>
      </c>
      <c r="E32" s="19" t="s">
        <v>82</v>
      </c>
      <c r="F32" s="19" t="s">
        <v>28</v>
      </c>
      <c r="G32" s="56">
        <v>46129</v>
      </c>
      <c r="H32" s="59" t="s">
        <v>12</v>
      </c>
      <c r="I32" s="16">
        <v>700</v>
      </c>
      <c r="J32" s="17">
        <f t="shared" si="3"/>
        <v>126</v>
      </c>
      <c r="K32" s="18">
        <f t="shared" si="4"/>
        <v>826</v>
      </c>
      <c r="L32" s="9"/>
    </row>
    <row r="33" spans="2:13" ht="33" customHeight="1" x14ac:dyDescent="0.45">
      <c r="B33" s="71">
        <v>23</v>
      </c>
      <c r="C33" s="79">
        <v>89213166</v>
      </c>
      <c r="D33" s="63" t="s">
        <v>79</v>
      </c>
      <c r="E33" s="74" t="s">
        <v>83</v>
      </c>
      <c r="F33" s="74" t="s">
        <v>84</v>
      </c>
      <c r="G33" s="75">
        <v>46135</v>
      </c>
      <c r="H33" s="89" t="s">
        <v>35</v>
      </c>
      <c r="I33" s="80">
        <v>700</v>
      </c>
      <c r="J33" s="83">
        <f t="shared" si="3"/>
        <v>126</v>
      </c>
      <c r="K33" s="86">
        <f t="shared" si="4"/>
        <v>826</v>
      </c>
      <c r="L33" s="9"/>
    </row>
    <row r="34" spans="2:13" ht="33" customHeight="1" x14ac:dyDescent="0.45">
      <c r="B34" s="72"/>
      <c r="C34" s="79"/>
      <c r="D34" s="63" t="s">
        <v>80</v>
      </c>
      <c r="E34" s="74"/>
      <c r="F34" s="74"/>
      <c r="G34" s="75"/>
      <c r="H34" s="89"/>
      <c r="I34" s="81"/>
      <c r="J34" s="84"/>
      <c r="K34" s="87"/>
      <c r="L34" s="9"/>
    </row>
    <row r="35" spans="2:13" ht="33" customHeight="1" x14ac:dyDescent="0.45">
      <c r="B35" s="73"/>
      <c r="C35" s="79"/>
      <c r="D35" s="63" t="s">
        <v>81</v>
      </c>
      <c r="E35" s="74"/>
      <c r="F35" s="74"/>
      <c r="G35" s="75"/>
      <c r="H35" s="89"/>
      <c r="I35" s="82"/>
      <c r="J35" s="85"/>
      <c r="K35" s="88"/>
      <c r="L35" s="9"/>
    </row>
    <row r="36" spans="2:13" ht="33" customHeight="1" x14ac:dyDescent="0.45">
      <c r="B36" s="14">
        <v>24</v>
      </c>
      <c r="C36" s="70">
        <v>1083900</v>
      </c>
      <c r="D36" s="19" t="s">
        <v>85</v>
      </c>
      <c r="E36" s="19" t="s">
        <v>14</v>
      </c>
      <c r="F36" s="19" t="s">
        <v>27</v>
      </c>
      <c r="G36" s="56">
        <v>46132</v>
      </c>
      <c r="H36" s="57" t="s">
        <v>12</v>
      </c>
      <c r="I36" s="16">
        <v>500</v>
      </c>
      <c r="J36" s="17">
        <f t="shared" si="3"/>
        <v>90</v>
      </c>
      <c r="K36" s="18">
        <f t="shared" si="4"/>
        <v>590</v>
      </c>
      <c r="L36" s="9"/>
    </row>
    <row r="37" spans="2:13" ht="33" customHeight="1" x14ac:dyDescent="0.45">
      <c r="B37" s="14">
        <v>25</v>
      </c>
      <c r="C37" s="70">
        <v>89237972</v>
      </c>
      <c r="D37" s="19" t="s">
        <v>86</v>
      </c>
      <c r="E37" s="19" t="s">
        <v>14</v>
      </c>
      <c r="F37" s="19" t="s">
        <v>103</v>
      </c>
      <c r="G37" s="56">
        <v>46136</v>
      </c>
      <c r="H37" s="57" t="s">
        <v>35</v>
      </c>
      <c r="I37" s="16">
        <v>700</v>
      </c>
      <c r="J37" s="17">
        <f t="shared" si="3"/>
        <v>126</v>
      </c>
      <c r="K37" s="18">
        <f t="shared" si="4"/>
        <v>826</v>
      </c>
      <c r="L37" s="9"/>
    </row>
    <row r="38" spans="2:13" ht="33" customHeight="1" x14ac:dyDescent="0.45">
      <c r="B38" s="14">
        <v>26</v>
      </c>
      <c r="C38" s="70">
        <v>1091095</v>
      </c>
      <c r="D38" s="19" t="s">
        <v>87</v>
      </c>
      <c r="E38" s="19" t="s">
        <v>15</v>
      </c>
      <c r="F38" s="19" t="s">
        <v>104</v>
      </c>
      <c r="G38" s="56">
        <v>46147</v>
      </c>
      <c r="H38" s="57" t="s">
        <v>12</v>
      </c>
      <c r="I38" s="16">
        <v>700</v>
      </c>
      <c r="J38" s="17">
        <f t="shared" si="3"/>
        <v>126</v>
      </c>
      <c r="K38" s="18">
        <f t="shared" si="4"/>
        <v>826</v>
      </c>
      <c r="L38" s="9"/>
    </row>
    <row r="39" spans="2:13" ht="33" customHeight="1" x14ac:dyDescent="0.45">
      <c r="B39" s="14">
        <v>27</v>
      </c>
      <c r="C39" s="70">
        <v>1068347</v>
      </c>
      <c r="D39" s="19" t="s">
        <v>88</v>
      </c>
      <c r="E39" s="19" t="s">
        <v>17</v>
      </c>
      <c r="F39" s="19" t="s">
        <v>29</v>
      </c>
      <c r="G39" s="56">
        <v>46148</v>
      </c>
      <c r="H39" s="57" t="s">
        <v>12</v>
      </c>
      <c r="I39" s="16">
        <v>700</v>
      </c>
      <c r="J39" s="17">
        <f t="shared" si="3"/>
        <v>126</v>
      </c>
      <c r="K39" s="18">
        <f t="shared" si="4"/>
        <v>826</v>
      </c>
      <c r="L39" s="9"/>
      <c r="M39" s="9"/>
    </row>
    <row r="40" spans="2:13" ht="33" customHeight="1" x14ac:dyDescent="0.45">
      <c r="B40" s="14">
        <v>28</v>
      </c>
      <c r="C40" s="70">
        <v>1075312</v>
      </c>
      <c r="D40" s="19" t="s">
        <v>89</v>
      </c>
      <c r="E40" s="19" t="s">
        <v>17</v>
      </c>
      <c r="F40" s="19" t="s">
        <v>28</v>
      </c>
      <c r="G40" s="56">
        <v>46119</v>
      </c>
      <c r="H40" s="57" t="s">
        <v>35</v>
      </c>
      <c r="I40" s="16">
        <v>700</v>
      </c>
      <c r="J40" s="17">
        <f t="shared" ref="J40:J43" si="7">+I40*$J$3</f>
        <v>126</v>
      </c>
      <c r="K40" s="18">
        <f t="shared" ref="K40:K43" si="8">SUM(I40:J40)</f>
        <v>826</v>
      </c>
      <c r="L40" s="66"/>
      <c r="M40" s="66"/>
    </row>
    <row r="41" spans="2:13" ht="33" customHeight="1" x14ac:dyDescent="0.45">
      <c r="B41" s="14">
        <v>29</v>
      </c>
      <c r="C41" s="70" t="s">
        <v>13</v>
      </c>
      <c r="D41" s="19" t="s">
        <v>90</v>
      </c>
      <c r="E41" s="19" t="s">
        <v>17</v>
      </c>
      <c r="F41" s="19" t="s">
        <v>37</v>
      </c>
      <c r="G41" s="56">
        <v>46122</v>
      </c>
      <c r="H41" s="57" t="s">
        <v>35</v>
      </c>
      <c r="I41" s="16">
        <v>700</v>
      </c>
      <c r="J41" s="17">
        <f t="shared" si="7"/>
        <v>126</v>
      </c>
      <c r="K41" s="18">
        <f t="shared" si="8"/>
        <v>826</v>
      </c>
      <c r="L41" s="66"/>
      <c r="M41" s="66"/>
    </row>
    <row r="42" spans="2:13" ht="33" customHeight="1" x14ac:dyDescent="0.45">
      <c r="B42" s="14">
        <v>30</v>
      </c>
      <c r="C42" s="70" t="s">
        <v>13</v>
      </c>
      <c r="D42" s="19" t="s">
        <v>91</v>
      </c>
      <c r="E42" s="19" t="s">
        <v>17</v>
      </c>
      <c r="F42" s="19" t="s">
        <v>77</v>
      </c>
      <c r="G42" s="56">
        <v>46125</v>
      </c>
      <c r="H42" s="57" t="s">
        <v>12</v>
      </c>
      <c r="I42" s="16">
        <v>700</v>
      </c>
      <c r="J42" s="17">
        <f t="shared" si="7"/>
        <v>126</v>
      </c>
      <c r="K42" s="18">
        <f t="shared" si="8"/>
        <v>826</v>
      </c>
      <c r="L42" s="66"/>
      <c r="M42" s="66"/>
    </row>
    <row r="43" spans="2:13" ht="33" customHeight="1" x14ac:dyDescent="0.45">
      <c r="B43" s="14">
        <v>31</v>
      </c>
      <c r="C43" s="70">
        <v>1088823</v>
      </c>
      <c r="D43" s="19" t="s">
        <v>92</v>
      </c>
      <c r="E43" s="19" t="s">
        <v>17</v>
      </c>
      <c r="F43" s="19" t="s">
        <v>37</v>
      </c>
      <c r="G43" s="56">
        <v>46146</v>
      </c>
      <c r="H43" s="57" t="s">
        <v>12</v>
      </c>
      <c r="I43" s="16">
        <v>700</v>
      </c>
      <c r="J43" s="17">
        <f t="shared" si="7"/>
        <v>126</v>
      </c>
      <c r="K43" s="18">
        <f t="shared" si="8"/>
        <v>826</v>
      </c>
      <c r="L43" s="66"/>
      <c r="M43" s="66"/>
    </row>
    <row r="44" spans="2:13" ht="33" customHeight="1" x14ac:dyDescent="0.45">
      <c r="B44" s="14">
        <v>32</v>
      </c>
      <c r="C44" s="70" t="s">
        <v>13</v>
      </c>
      <c r="D44" s="19" t="s">
        <v>93</v>
      </c>
      <c r="E44" s="19" t="s">
        <v>17</v>
      </c>
      <c r="F44" s="15" t="s">
        <v>27</v>
      </c>
      <c r="G44" s="56">
        <v>46146</v>
      </c>
      <c r="H44" s="57" t="s">
        <v>26</v>
      </c>
      <c r="I44" s="16">
        <v>500</v>
      </c>
      <c r="J44" s="17">
        <f t="shared" ref="J44:J53" si="9">+I44*$J$3</f>
        <v>90</v>
      </c>
      <c r="K44" s="18">
        <f t="shared" ref="K44:K53" si="10">SUM(I44:J44)</f>
        <v>590</v>
      </c>
      <c r="L44" s="66"/>
      <c r="M44" s="66"/>
    </row>
    <row r="45" spans="2:13" ht="33" customHeight="1" x14ac:dyDescent="0.45">
      <c r="B45" s="14">
        <v>33</v>
      </c>
      <c r="C45" s="70">
        <v>1073934</v>
      </c>
      <c r="D45" s="19" t="s">
        <v>94</v>
      </c>
      <c r="E45" s="19" t="s">
        <v>17</v>
      </c>
      <c r="F45" s="15" t="s">
        <v>105</v>
      </c>
      <c r="G45" s="56">
        <v>46136</v>
      </c>
      <c r="H45" s="57" t="s">
        <v>12</v>
      </c>
      <c r="I45" s="16">
        <v>500</v>
      </c>
      <c r="J45" s="17">
        <f t="shared" si="9"/>
        <v>90</v>
      </c>
      <c r="K45" s="18">
        <f t="shared" si="10"/>
        <v>590</v>
      </c>
      <c r="L45" s="66"/>
      <c r="M45" s="66"/>
    </row>
    <row r="46" spans="2:13" ht="33" customHeight="1" x14ac:dyDescent="0.45">
      <c r="B46" s="14">
        <v>34</v>
      </c>
      <c r="C46" s="70" t="s">
        <v>13</v>
      </c>
      <c r="D46" s="19" t="s">
        <v>95</v>
      </c>
      <c r="E46" s="19" t="s">
        <v>17</v>
      </c>
      <c r="F46" s="19" t="s">
        <v>30</v>
      </c>
      <c r="G46" s="56">
        <v>46118</v>
      </c>
      <c r="H46" s="57" t="s">
        <v>35</v>
      </c>
      <c r="I46" s="16">
        <v>500</v>
      </c>
      <c r="J46" s="17">
        <f t="shared" si="9"/>
        <v>90</v>
      </c>
      <c r="K46" s="18">
        <f t="shared" si="10"/>
        <v>590</v>
      </c>
      <c r="L46" s="66"/>
      <c r="M46" s="66"/>
    </row>
    <row r="47" spans="2:13" ht="33" customHeight="1" x14ac:dyDescent="0.45">
      <c r="B47" s="14">
        <v>35</v>
      </c>
      <c r="C47" s="70">
        <v>89149318</v>
      </c>
      <c r="D47" s="19" t="s">
        <v>96</v>
      </c>
      <c r="E47" s="19" t="s">
        <v>17</v>
      </c>
      <c r="F47" s="15" t="s">
        <v>106</v>
      </c>
      <c r="G47" s="56">
        <v>46126</v>
      </c>
      <c r="H47" s="57" t="s">
        <v>35</v>
      </c>
      <c r="I47" s="16">
        <v>500</v>
      </c>
      <c r="J47" s="17">
        <f t="shared" si="9"/>
        <v>90</v>
      </c>
      <c r="K47" s="18">
        <f t="shared" si="10"/>
        <v>590</v>
      </c>
      <c r="L47" s="66"/>
      <c r="M47" s="66"/>
    </row>
    <row r="48" spans="2:13" ht="33" customHeight="1" x14ac:dyDescent="0.45">
      <c r="B48" s="14">
        <v>36</v>
      </c>
      <c r="C48" s="70">
        <v>89168440</v>
      </c>
      <c r="D48" s="19" t="s">
        <v>97</v>
      </c>
      <c r="E48" s="19" t="s">
        <v>17</v>
      </c>
      <c r="F48" s="19" t="s">
        <v>77</v>
      </c>
      <c r="G48" s="56">
        <v>46132</v>
      </c>
      <c r="H48" s="57" t="s">
        <v>35</v>
      </c>
      <c r="I48" s="16">
        <v>700</v>
      </c>
      <c r="J48" s="17">
        <f t="shared" si="9"/>
        <v>126</v>
      </c>
      <c r="K48" s="18">
        <f t="shared" si="10"/>
        <v>826</v>
      </c>
      <c r="L48" s="66"/>
      <c r="M48" s="66"/>
    </row>
    <row r="49" spans="2:13" ht="33" customHeight="1" x14ac:dyDescent="0.45">
      <c r="B49" s="14">
        <v>37</v>
      </c>
      <c r="C49" s="70">
        <v>1076583</v>
      </c>
      <c r="D49" s="19" t="s">
        <v>98</v>
      </c>
      <c r="E49" s="19" t="s">
        <v>17</v>
      </c>
      <c r="F49" s="15" t="s">
        <v>11</v>
      </c>
      <c r="G49" s="56">
        <v>46132</v>
      </c>
      <c r="H49" s="57" t="s">
        <v>35</v>
      </c>
      <c r="I49" s="16">
        <v>500</v>
      </c>
      <c r="J49" s="17">
        <f t="shared" si="9"/>
        <v>90</v>
      </c>
      <c r="K49" s="18">
        <f t="shared" si="10"/>
        <v>590</v>
      </c>
      <c r="L49" s="66"/>
      <c r="M49" s="66"/>
    </row>
    <row r="50" spans="2:13" ht="33" customHeight="1" x14ac:dyDescent="0.45">
      <c r="B50" s="14">
        <v>38</v>
      </c>
      <c r="C50" s="70">
        <v>1076874</v>
      </c>
      <c r="D50" s="19" t="s">
        <v>99</v>
      </c>
      <c r="E50" s="19" t="s">
        <v>17</v>
      </c>
      <c r="F50" s="15" t="s">
        <v>38</v>
      </c>
      <c r="G50" s="56">
        <v>46136</v>
      </c>
      <c r="H50" s="57" t="s">
        <v>12</v>
      </c>
      <c r="I50" s="16">
        <v>500</v>
      </c>
      <c r="J50" s="17">
        <f t="shared" si="9"/>
        <v>90</v>
      </c>
      <c r="K50" s="18">
        <f t="shared" si="10"/>
        <v>590</v>
      </c>
      <c r="L50" s="66"/>
      <c r="M50" s="66"/>
    </row>
    <row r="51" spans="2:13" ht="33" customHeight="1" x14ac:dyDescent="0.45">
      <c r="B51" s="14">
        <v>39</v>
      </c>
      <c r="C51" s="70">
        <v>89158266</v>
      </c>
      <c r="D51" s="19" t="s">
        <v>100</v>
      </c>
      <c r="E51" s="19" t="s">
        <v>17</v>
      </c>
      <c r="F51" s="15" t="s">
        <v>107</v>
      </c>
      <c r="G51" s="56">
        <v>46140</v>
      </c>
      <c r="H51" s="57" t="s">
        <v>35</v>
      </c>
      <c r="I51" s="16">
        <v>700</v>
      </c>
      <c r="J51" s="17">
        <f t="shared" si="9"/>
        <v>126</v>
      </c>
      <c r="K51" s="18">
        <f t="shared" si="10"/>
        <v>826</v>
      </c>
      <c r="L51" s="66"/>
      <c r="M51" s="66"/>
    </row>
    <row r="52" spans="2:13" ht="33" customHeight="1" x14ac:dyDescent="0.45">
      <c r="B52" s="14">
        <v>40</v>
      </c>
      <c r="C52" s="70" t="s">
        <v>13</v>
      </c>
      <c r="D52" s="19" t="s">
        <v>101</v>
      </c>
      <c r="E52" s="19" t="s">
        <v>17</v>
      </c>
      <c r="F52" s="15" t="s">
        <v>108</v>
      </c>
      <c r="G52" s="56">
        <v>46141</v>
      </c>
      <c r="H52" s="57" t="s">
        <v>26</v>
      </c>
      <c r="I52" s="16">
        <v>500</v>
      </c>
      <c r="J52" s="17">
        <f t="shared" si="9"/>
        <v>90</v>
      </c>
      <c r="K52" s="18">
        <f t="shared" si="10"/>
        <v>590</v>
      </c>
      <c r="L52" s="66"/>
      <c r="M52" s="66"/>
    </row>
    <row r="53" spans="2:13" ht="33" customHeight="1" x14ac:dyDescent="0.45">
      <c r="B53" s="14">
        <v>41</v>
      </c>
      <c r="C53" s="60" t="s">
        <v>13</v>
      </c>
      <c r="D53" s="58" t="s">
        <v>102</v>
      </c>
      <c r="E53" s="58" t="s">
        <v>17</v>
      </c>
      <c r="F53" s="67" t="s">
        <v>36</v>
      </c>
      <c r="G53" s="68">
        <v>46141</v>
      </c>
      <c r="H53" s="60" t="s">
        <v>35</v>
      </c>
      <c r="I53" s="16">
        <v>500</v>
      </c>
      <c r="J53" s="17">
        <f t="shared" si="9"/>
        <v>90</v>
      </c>
      <c r="K53" s="18">
        <f t="shared" si="10"/>
        <v>590</v>
      </c>
      <c r="L53" s="66"/>
      <c r="M53" s="66"/>
    </row>
    <row r="54" spans="2:13" ht="11.25" customHeight="1" thickBot="1" x14ac:dyDescent="0.5">
      <c r="B54" s="20"/>
      <c r="C54" s="21"/>
      <c r="D54" s="22"/>
      <c r="E54" s="22"/>
      <c r="F54" s="22"/>
      <c r="G54" s="23"/>
      <c r="H54" s="24"/>
      <c r="I54" s="25"/>
      <c r="J54" s="26"/>
      <c r="K54" s="27"/>
      <c r="L54" s="9"/>
      <c r="M54" s="9"/>
    </row>
    <row r="55" spans="2:13" ht="22.5" customHeight="1" x14ac:dyDescent="0.45">
      <c r="I55" s="29">
        <f>SUM(I4:I53)</f>
        <v>23900</v>
      </c>
      <c r="J55" s="29">
        <f>SUM(J4:J53)</f>
        <v>4302</v>
      </c>
      <c r="K55" s="29">
        <f>SUM(K4:K53)</f>
        <v>28202</v>
      </c>
      <c r="M55" s="9"/>
    </row>
    <row r="56" spans="2:13" x14ac:dyDescent="0.45">
      <c r="M56" s="9"/>
    </row>
    <row r="57" spans="2:13" ht="15.75" x14ac:dyDescent="0.45">
      <c r="H57" s="30"/>
      <c r="I57"/>
      <c r="M57" s="9"/>
    </row>
    <row r="58" spans="2:13" ht="15.75" x14ac:dyDescent="0.45">
      <c r="H58" s="30"/>
    </row>
  </sheetData>
  <mergeCells count="19">
    <mergeCell ref="J33:J35"/>
    <mergeCell ref="K33:K35"/>
    <mergeCell ref="C33:C35"/>
    <mergeCell ref="B33:B35"/>
    <mergeCell ref="E33:E35"/>
    <mergeCell ref="F33:F35"/>
    <mergeCell ref="G33:G35"/>
    <mergeCell ref="D2:K2"/>
    <mergeCell ref="C24:C31"/>
    <mergeCell ref="B24:B31"/>
    <mergeCell ref="I24:I31"/>
    <mergeCell ref="J24:J31"/>
    <mergeCell ref="K24:K31"/>
    <mergeCell ref="E24:E31"/>
    <mergeCell ref="F24:F31"/>
    <mergeCell ref="G24:G31"/>
    <mergeCell ref="H24:H31"/>
    <mergeCell ref="H33:H35"/>
    <mergeCell ref="I33:I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1"/>
  <sheetViews>
    <sheetView workbookViewId="0">
      <selection activeCell="C4" sqref="C4:G4"/>
    </sheetView>
  </sheetViews>
  <sheetFormatPr baseColWidth="10" defaultRowHeight="14.25" x14ac:dyDescent="0.45"/>
  <cols>
    <col min="1" max="1" width="8.59765625" customWidth="1"/>
    <col min="2" max="2" width="10.265625" style="28" customWidth="1"/>
    <col min="3" max="3" width="10.59765625" style="28" customWidth="1"/>
    <col min="4" max="4" width="10.86328125" style="28" customWidth="1"/>
    <col min="5" max="5" width="8.265625" style="28" customWidth="1"/>
    <col min="6" max="6" width="10" style="28" customWidth="1"/>
    <col min="7" max="7" width="12.265625" customWidth="1"/>
  </cols>
  <sheetData>
    <row r="1" spans="3:7" ht="22.5" customHeight="1" x14ac:dyDescent="0.45"/>
    <row r="2" spans="3:7" ht="14.65" thickBot="1" x14ac:dyDescent="0.5"/>
    <row r="3" spans="3:7" x14ac:dyDescent="0.45">
      <c r="C3" s="90" t="s">
        <v>18</v>
      </c>
      <c r="D3" s="91"/>
      <c r="E3" s="91"/>
      <c r="F3" s="91"/>
      <c r="G3" s="92"/>
    </row>
    <row r="4" spans="3:7" ht="23.25" customHeight="1" thickBot="1" x14ac:dyDescent="0.5">
      <c r="C4" s="93" t="s">
        <v>39</v>
      </c>
      <c r="D4" s="94"/>
      <c r="E4" s="94"/>
      <c r="F4" s="94"/>
      <c r="G4" s="95"/>
    </row>
    <row r="5" spans="3:7" x14ac:dyDescent="0.45">
      <c r="C5" s="31" t="s">
        <v>19</v>
      </c>
      <c r="D5" s="32" t="s">
        <v>20</v>
      </c>
      <c r="E5" s="33" t="s">
        <v>21</v>
      </c>
      <c r="F5" s="32" t="s">
        <v>9</v>
      </c>
      <c r="G5" s="34" t="s">
        <v>22</v>
      </c>
    </row>
    <row r="6" spans="3:7" x14ac:dyDescent="0.45">
      <c r="C6" s="35" t="s">
        <v>23</v>
      </c>
      <c r="D6" s="36">
        <v>500</v>
      </c>
      <c r="E6" s="37">
        <v>24</v>
      </c>
      <c r="F6" s="38">
        <f>+D6*E6</f>
        <v>12000</v>
      </c>
      <c r="G6" s="39"/>
    </row>
    <row r="7" spans="3:7" x14ac:dyDescent="0.45">
      <c r="C7" s="40"/>
      <c r="D7" s="41"/>
      <c r="E7" s="42"/>
      <c r="F7" s="38"/>
      <c r="G7" s="43"/>
    </row>
    <row r="8" spans="3:7" x14ac:dyDescent="0.45">
      <c r="C8" s="44" t="s">
        <v>24</v>
      </c>
      <c r="D8" s="45">
        <v>700</v>
      </c>
      <c r="E8" s="46">
        <v>17</v>
      </c>
      <c r="F8" s="47">
        <f>+D8*E8</f>
        <v>11900</v>
      </c>
      <c r="G8" s="48">
        <f>SUM(F6:F8)</f>
        <v>23900</v>
      </c>
    </row>
    <row r="9" spans="3:7" x14ac:dyDescent="0.45">
      <c r="C9"/>
      <c r="D9" s="49" t="s">
        <v>9</v>
      </c>
      <c r="E9" s="50">
        <f>SUM(E6:E8)</f>
        <v>41</v>
      </c>
      <c r="F9" s="51" t="s">
        <v>25</v>
      </c>
      <c r="G9" s="52">
        <f>+G8*18%</f>
        <v>4302</v>
      </c>
    </row>
    <row r="10" spans="3:7" ht="24" customHeight="1" thickBot="1" x14ac:dyDescent="0.5">
      <c r="C10"/>
      <c r="D10" s="53"/>
      <c r="E10" s="54"/>
      <c r="F10" s="54"/>
      <c r="G10" s="55">
        <f>+G9+G8</f>
        <v>28202</v>
      </c>
    </row>
    <row r="11" spans="3:7" ht="14.65" thickTop="1" x14ac:dyDescent="0.45"/>
  </sheetData>
  <mergeCells count="2">
    <mergeCell ref="C3:G3"/>
    <mergeCell ref="C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ABRIL.2026</vt:lpstr>
      <vt:lpstr>Resumen ABRIL.2026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Gladys</dc:creator>
  <cp:lastModifiedBy>Usuario de Windows</cp:lastModifiedBy>
  <dcterms:created xsi:type="dcterms:W3CDTF">2015-06-05T18:19:34Z</dcterms:created>
  <dcterms:modified xsi:type="dcterms:W3CDTF">2026-08-07T15:47:37Z</dcterms:modified>
</cp:coreProperties>
</file>