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EJA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mmmm yyyy"/>
    <numFmt numFmtId="166" formatCode="0.0"/>
    <numFmt numFmtId="167" formatCode="yyyy-mm-dd h:mm:ss"/>
    <numFmt numFmtId="168" formatCode="dd/mm/yyyy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ndeja_SCTR" displayName="Bandeja_SCTR" ref="A1:T2" headerRowCount="1">
  <autoFilter ref="A1:T2"/>
  <tableColumns count="20">
    <tableColumn id="1" name="CasoId"/>
    <tableColumn id="2" name="ConversationId"/>
    <tableColumn id="3" name="Asunto"/>
    <tableColumn id="4" name="Remitente"/>
    <tableColumn id="5" name="Tipo_Remitente"/>
    <tableColumn id="6" name="Tipo_Correo"/>
    <tableColumn id="7" name="FechaRecepcion"/>
    <tableColumn id="8" name="Cant_Correos"/>
    <tableColumn id="9" name="FechaUltimoCorreo"/>
    <tableColumn id="10" name="Estado"/>
    <tableColumn id="11" name="FechaRespuesta"/>
    <tableColumn id="12" name="Persona_Respuesta"/>
    <tableColumn id="13" name="Correo_Respuesta"/>
    <tableColumn id="14" name="Medio_Cierre"/>
    <tableColumn id="15" name="Observaciones"/>
    <tableColumn id="16" name="Días_Hab"/>
    <tableColumn id="17" name="Horas_Respuesta"/>
    <tableColumn id="18" name="Mes"/>
    <tableColumn id="19" name="EsFinalizado"/>
    <tableColumn id="20" name="EsPendiente"/>
  </tableColumns>
  <tableStyleInfo name="TableStyleMedium9" showRowStripes="1"/>
</table>
</file>

<file path=xl/tables/table2.xml><?xml version="1.0" encoding="utf-8"?>
<table xmlns="http://schemas.openxmlformats.org/spreadsheetml/2006/main" id="2" name="DIAS_NOLAB" displayName="DIAS_NOLAB" ref="D2:D22" headerRowCount="1">
  <autoFilter ref="D2:D22"/>
  <tableColumns count="1">
    <tableColumn id="1" name="Feriado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32" customWidth="1" min="4" max="4"/>
    <col width="15" customWidth="1" min="5" max="5"/>
    <col width="14" customWidth="1" min="6" max="6"/>
    <col width="18" customWidth="1" min="7" max="7"/>
    <col width="13" customWidth="1" min="8" max="8"/>
    <col width="18" customWidth="1" min="9" max="9"/>
    <col width="14" customWidth="1" min="10" max="10"/>
    <col width="18" customWidth="1" min="11" max="11"/>
    <col width="28" customWidth="1" min="12" max="12"/>
    <col width="30" customWidth="1" min="13" max="13"/>
    <col width="26" customWidth="1" min="14" max="14"/>
    <col width="50" customWidth="1" min="15" max="15"/>
    <col width="10" customWidth="1" min="16" max="16"/>
    <col width="16" customWidth="1" min="17" max="17"/>
    <col width="15" customWidth="1" min="18" max="18"/>
    <col width="12" customWidth="1" min="19" max="19"/>
    <col width="12" customWidth="1" min="20" max="20"/>
  </cols>
  <sheetData>
    <row r="1">
      <c r="A1" t="inlineStr">
        <is>
          <t>CasoId</t>
        </is>
      </c>
      <c r="B1" t="inlineStr">
        <is>
          <t>ConversationId</t>
        </is>
      </c>
      <c r="C1" t="inlineStr">
        <is>
          <t>Asunto</t>
        </is>
      </c>
      <c r="D1" t="inlineStr">
        <is>
          <t>Remitente</t>
        </is>
      </c>
      <c r="E1" t="inlineStr">
        <is>
          <t>Tipo_Remitente</t>
        </is>
      </c>
      <c r="F1" t="inlineStr">
        <is>
          <t>Tipo_Correo</t>
        </is>
      </c>
      <c r="G1" t="inlineStr">
        <is>
          <t>FechaRecepcion</t>
        </is>
      </c>
      <c r="H1" t="inlineStr">
        <is>
          <t>Cant_Correos</t>
        </is>
      </c>
      <c r="I1" t="inlineStr">
        <is>
          <t>FechaUltimoCorreo</t>
        </is>
      </c>
      <c r="J1" t="inlineStr">
        <is>
          <t>Estado</t>
        </is>
      </c>
      <c r="K1" t="inlineStr">
        <is>
          <t>FechaRespuesta</t>
        </is>
      </c>
      <c r="L1" t="inlineStr">
        <is>
          <t>Persona_Respuesta</t>
        </is>
      </c>
      <c r="M1" t="inlineStr">
        <is>
          <t>Correo_Respuesta</t>
        </is>
      </c>
      <c r="N1" t="inlineStr">
        <is>
          <t>Medio_Cierre</t>
        </is>
      </c>
      <c r="O1" t="inlineStr">
        <is>
          <t>Observaciones</t>
        </is>
      </c>
      <c r="P1" t="inlineStr">
        <is>
          <t>Días_Hab</t>
        </is>
      </c>
      <c r="Q1" t="inlineStr">
        <is>
          <t>Horas_Respuesta</t>
        </is>
      </c>
      <c r="R1" t="inlineStr">
        <is>
          <t>Mes</t>
        </is>
      </c>
      <c r="S1" t="inlineStr">
        <is>
          <t>EsFinalizado</t>
        </is>
      </c>
      <c r="T1" t="inlineStr">
        <is>
          <t>EsPendiente</t>
        </is>
      </c>
    </row>
    <row r="2">
      <c r="G2" s="1" t="n"/>
      <c r="I2" s="1" t="n"/>
      <c r="K2" s="1" t="n"/>
      <c r="P2">
        <f>IF(Bandeja_SCTR[[#This Row],[FechaRecepcion]]="","",NETWORKDAYS(INT(Bandeja_SCTR[[#This Row],[FechaRecepcion]]),IF(Bandeja_SCTR[[#This Row],[FechaRespuesta]]="",TODAY(),INT(Bandeja_SCTR[[#This Row],[FechaRespuesta]])),DIAS_NOLAB[Feriados]))</f>
        <v/>
      </c>
      <c r="Q2" s="2">
        <f>IF(OR(Bandeja_SCTR[[#This Row],[FechaRecepcion]]="",Bandeja_SCTR[[#This Row],[FechaRespuesta]]=""),"",ROUND((Bandeja_SCTR[[#This Row],[FechaRespuesta]]-Bandeja_SCTR[[#This Row],[FechaRecepcion]])*24,1))</f>
        <v/>
      </c>
      <c r="R2" s="3">
        <f>IF(Bandeja_SCTR[[#This Row],[FechaRecepcion]]="","",DATE(YEAR(Bandeja_SCTR[[#This Row],[FechaRecepcion]]),MONTH(Bandeja_SCTR[[#This Row],[FechaRecepcion]]),1))</f>
        <v/>
      </c>
      <c r="S2">
        <f>IF(Bandeja_SCTR[[#This Row],[Estado]]="FINALIZADO",1,0)</f>
        <v/>
      </c>
      <c r="T2">
        <f>IF(Bandeja_SCTR[[#This Row],[CasoId]]="",0,IF(Bandeja_SCTR[[#This Row],[Estado]]="FINALIZADO",0,1))</f>
        <v/>
      </c>
    </row>
  </sheetData>
  <dataValidations count="1">
    <dataValidation sqref="J2:J20000" showDropDown="0" showInputMessage="0" showErrorMessage="0" allowBlank="1" type="list">
      <formula1>"FINALIZADO"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4" max="4"/>
  </cols>
  <sheetData>
    <row r="2">
      <c r="B2" s="4" t="inlineStr">
        <is>
          <t>Estado</t>
        </is>
      </c>
      <c r="D2" t="inlineStr">
        <is>
          <t>Feriados</t>
        </is>
      </c>
      <c r="F2" s="5" t="inlineStr">
        <is>
          <t>Agrega filas a la tabla DIAS_NOLAB cuando haya feriados nuevos.</t>
        </is>
      </c>
    </row>
    <row r="3">
      <c r="B3" t="inlineStr">
        <is>
          <t>FINALIZADO</t>
        </is>
      </c>
      <c r="D3" s="6" t="n">
        <v>45938</v>
      </c>
    </row>
    <row r="4">
      <c r="B4" s="5" t="inlineStr">
        <is>
          <t>(vacío = PENDIENTE)</t>
        </is>
      </c>
      <c r="D4" s="6" t="n">
        <v>45962</v>
      </c>
    </row>
    <row r="5">
      <c r="D5" s="6" t="n">
        <v>45999</v>
      </c>
    </row>
    <row r="6">
      <c r="D6" s="6" t="n">
        <v>46000</v>
      </c>
    </row>
    <row r="7">
      <c r="D7" s="6" t="n">
        <v>46016</v>
      </c>
    </row>
    <row r="8">
      <c r="D8" s="6" t="n">
        <v>46023</v>
      </c>
    </row>
    <row r="9">
      <c r="D9" s="6" t="n">
        <v>46114</v>
      </c>
    </row>
    <row r="10">
      <c r="D10" s="6" t="n">
        <v>46115</v>
      </c>
    </row>
    <row r="11">
      <c r="D11" s="6" t="n">
        <v>46143</v>
      </c>
    </row>
    <row r="12">
      <c r="D12" s="6" t="n">
        <v>46202</v>
      </c>
    </row>
    <row r="13">
      <c r="D13" s="6" t="n">
        <v>46226</v>
      </c>
    </row>
    <row r="14">
      <c r="D14" s="6" t="n">
        <v>46231</v>
      </c>
    </row>
    <row r="15">
      <c r="D15" s="6" t="n">
        <v>46232</v>
      </c>
    </row>
    <row r="16">
      <c r="D16" s="6" t="n">
        <v>46240</v>
      </c>
    </row>
    <row r="17">
      <c r="D17" s="6" t="n">
        <v>46264</v>
      </c>
    </row>
    <row r="18">
      <c r="D18" s="6" t="n">
        <v>46303</v>
      </c>
    </row>
    <row r="19">
      <c r="D19" s="6" t="n">
        <v>46327</v>
      </c>
    </row>
    <row r="20">
      <c r="D20" s="6" t="n">
        <v>46364</v>
      </c>
    </row>
    <row r="21">
      <c r="D21" s="6" t="n">
        <v>46365</v>
      </c>
    </row>
    <row r="22">
      <c r="D22" s="6" t="n">
        <v>46381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2026-10-13T22:57:45Z</dcterms:created>
  <dcterms:modified xmlns:dcterms="http://purl.org/dc/terms/" xmlns:xsi="http://www.w3.org/2001/XMLSchema-instance" xsi:type="dcterms:W3CDTF">2026-10-13T22:57:45Z</dcterms:modified>
</cp:coreProperties>
</file>