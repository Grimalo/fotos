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laro\Downloads\AUTOMATIZACIÓN SCTR SALUD\8 CIERRE AUTOMATICO DE CORREOS\"/>
    </mc:Choice>
  </mc:AlternateContent>
  <bookViews>
    <workbookView xWindow="0" yWindow="0" windowWidth="11748" windowHeight="3396"/>
  </bookViews>
  <sheets>
    <sheet name="BANDEJA" sheetId="1" r:id="rId1"/>
    <sheet name="LISTAS" sheetId="2" r:id="rId2"/>
  </sheets>
  <calcPr calcId="152511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4" i="1" l="1"/>
  <c r="M104" i="1"/>
  <c r="N104" i="1"/>
  <c r="O104" i="1"/>
  <c r="P104" i="1"/>
  <c r="L103" i="1"/>
  <c r="M103" i="1"/>
  <c r="N103" i="1"/>
  <c r="O103" i="1"/>
  <c r="P103" i="1"/>
  <c r="L102" i="1"/>
  <c r="M102" i="1"/>
  <c r="N102" i="1"/>
  <c r="O102" i="1"/>
  <c r="P102" i="1"/>
  <c r="L101" i="1"/>
  <c r="M101" i="1"/>
  <c r="N101" i="1"/>
  <c r="O101" i="1"/>
  <c r="P101" i="1"/>
  <c r="L100" i="1"/>
  <c r="M100" i="1"/>
  <c r="N100" i="1"/>
  <c r="O100" i="1"/>
  <c r="P100" i="1"/>
  <c r="L99" i="1"/>
  <c r="M99" i="1"/>
  <c r="N99" i="1"/>
  <c r="O99" i="1"/>
  <c r="P99" i="1"/>
  <c r="L98" i="1"/>
  <c r="M98" i="1"/>
  <c r="N98" i="1"/>
  <c r="O98" i="1"/>
  <c r="P98" i="1"/>
  <c r="L97" i="1"/>
  <c r="M97" i="1"/>
  <c r="N97" i="1"/>
  <c r="O97" i="1"/>
  <c r="P97" i="1"/>
  <c r="L96" i="1"/>
  <c r="M96" i="1"/>
  <c r="N96" i="1"/>
  <c r="O96" i="1"/>
  <c r="P96" i="1"/>
  <c r="L95" i="1"/>
  <c r="M95" i="1"/>
  <c r="N95" i="1"/>
  <c r="O95" i="1"/>
  <c r="P95" i="1"/>
  <c r="L94" i="1"/>
  <c r="M94" i="1"/>
  <c r="N94" i="1"/>
  <c r="O94" i="1"/>
  <c r="P94" i="1"/>
  <c r="L93" i="1"/>
  <c r="M93" i="1"/>
  <c r="N93" i="1"/>
  <c r="O93" i="1"/>
  <c r="P93" i="1"/>
  <c r="L92" i="1"/>
  <c r="M92" i="1"/>
  <c r="N92" i="1"/>
  <c r="O92" i="1"/>
  <c r="P92" i="1"/>
  <c r="L91" i="1"/>
  <c r="M91" i="1"/>
  <c r="N91" i="1"/>
  <c r="O91" i="1"/>
  <c r="P91" i="1"/>
  <c r="L90" i="1"/>
  <c r="M90" i="1"/>
  <c r="N90" i="1"/>
  <c r="O90" i="1"/>
  <c r="P90" i="1"/>
  <c r="L89" i="1"/>
  <c r="M89" i="1"/>
  <c r="N89" i="1"/>
  <c r="O89" i="1"/>
  <c r="P89" i="1"/>
  <c r="L88" i="1"/>
  <c r="M88" i="1"/>
  <c r="N88" i="1"/>
  <c r="O88" i="1"/>
  <c r="P88" i="1"/>
  <c r="L87" i="1"/>
  <c r="M87" i="1"/>
  <c r="N87" i="1"/>
  <c r="O87" i="1"/>
  <c r="P87" i="1"/>
  <c r="L86" i="1"/>
  <c r="M86" i="1"/>
  <c r="N86" i="1"/>
  <c r="O86" i="1"/>
  <c r="P86" i="1"/>
  <c r="L85" i="1"/>
  <c r="M85" i="1"/>
  <c r="N85" i="1"/>
  <c r="O85" i="1"/>
  <c r="P85" i="1"/>
  <c r="L84" i="1"/>
  <c r="M84" i="1"/>
  <c r="N84" i="1"/>
  <c r="O84" i="1"/>
  <c r="P84" i="1"/>
  <c r="L83" i="1"/>
  <c r="M83" i="1"/>
  <c r="N83" i="1"/>
  <c r="O83" i="1"/>
  <c r="P83" i="1"/>
  <c r="L82" i="1"/>
  <c r="M82" i="1"/>
  <c r="N82" i="1"/>
  <c r="O82" i="1"/>
  <c r="P82" i="1"/>
  <c r="L81" i="1"/>
  <c r="M81" i="1"/>
  <c r="N81" i="1"/>
  <c r="O81" i="1"/>
  <c r="P81" i="1"/>
  <c r="L80" i="1"/>
  <c r="M80" i="1"/>
  <c r="N80" i="1"/>
  <c r="O80" i="1"/>
  <c r="P80" i="1"/>
  <c r="L79" i="1"/>
  <c r="M79" i="1"/>
  <c r="N79" i="1"/>
  <c r="O79" i="1"/>
  <c r="P79" i="1"/>
  <c r="L78" i="1"/>
  <c r="M78" i="1"/>
  <c r="N78" i="1"/>
  <c r="O78" i="1"/>
  <c r="P78" i="1"/>
  <c r="L77" i="1"/>
  <c r="M77" i="1"/>
  <c r="N77" i="1"/>
  <c r="O77" i="1"/>
  <c r="P77" i="1"/>
  <c r="L76" i="1"/>
  <c r="M76" i="1"/>
  <c r="N76" i="1"/>
  <c r="O76" i="1"/>
  <c r="P76" i="1"/>
  <c r="L75" i="1"/>
  <c r="M75" i="1"/>
  <c r="N75" i="1"/>
  <c r="O75" i="1"/>
  <c r="P75" i="1"/>
  <c r="L74" i="1"/>
  <c r="M74" i="1"/>
  <c r="N74" i="1"/>
  <c r="O74" i="1"/>
  <c r="P74" i="1"/>
  <c r="L73" i="1"/>
  <c r="M73" i="1"/>
  <c r="N73" i="1"/>
  <c r="O73" i="1"/>
  <c r="P73" i="1"/>
  <c r="L72" i="1"/>
  <c r="M72" i="1"/>
  <c r="N72" i="1"/>
  <c r="O72" i="1"/>
  <c r="P72" i="1"/>
  <c r="L71" i="1"/>
  <c r="M71" i="1"/>
  <c r="N71" i="1"/>
  <c r="O71" i="1"/>
  <c r="P71" i="1"/>
  <c r="L70" i="1"/>
  <c r="M70" i="1"/>
  <c r="N70" i="1"/>
  <c r="O70" i="1"/>
  <c r="P70" i="1"/>
  <c r="L69" i="1"/>
  <c r="M69" i="1"/>
  <c r="N69" i="1"/>
  <c r="O69" i="1"/>
  <c r="P69" i="1"/>
  <c r="L68" i="1"/>
  <c r="M68" i="1"/>
  <c r="N68" i="1"/>
  <c r="O68" i="1"/>
  <c r="P68" i="1"/>
  <c r="L67" i="1"/>
  <c r="M67" i="1"/>
  <c r="N67" i="1"/>
  <c r="O67" i="1"/>
  <c r="P67" i="1"/>
  <c r="L66" i="1"/>
  <c r="M66" i="1"/>
  <c r="N66" i="1"/>
  <c r="O66" i="1"/>
  <c r="P66" i="1"/>
  <c r="L65" i="1"/>
  <c r="M65" i="1"/>
  <c r="N65" i="1"/>
  <c r="O65" i="1"/>
  <c r="P65" i="1"/>
  <c r="L64" i="1"/>
  <c r="M64" i="1"/>
  <c r="N64" i="1"/>
  <c r="O64" i="1"/>
  <c r="P64" i="1"/>
  <c r="L63" i="1"/>
  <c r="M63" i="1"/>
  <c r="N63" i="1"/>
  <c r="O63" i="1"/>
  <c r="P63" i="1"/>
  <c r="L62" i="1"/>
  <c r="M62" i="1"/>
  <c r="N62" i="1"/>
  <c r="O62" i="1"/>
  <c r="P62" i="1"/>
  <c r="L61" i="1"/>
  <c r="M61" i="1"/>
  <c r="N61" i="1"/>
  <c r="O61" i="1"/>
  <c r="P61" i="1"/>
  <c r="L60" i="1"/>
  <c r="M60" i="1"/>
  <c r="N60" i="1"/>
  <c r="O60" i="1"/>
  <c r="P60" i="1"/>
  <c r="L59" i="1"/>
  <c r="M59" i="1"/>
  <c r="N59" i="1"/>
  <c r="O59" i="1"/>
  <c r="P59" i="1"/>
  <c r="L58" i="1"/>
  <c r="M58" i="1"/>
  <c r="N58" i="1"/>
  <c r="O58" i="1"/>
  <c r="P58" i="1"/>
  <c r="L57" i="1"/>
  <c r="M57" i="1"/>
  <c r="N57" i="1"/>
  <c r="O57" i="1"/>
  <c r="P57" i="1"/>
  <c r="L56" i="1"/>
  <c r="M56" i="1"/>
  <c r="N56" i="1"/>
  <c r="O56" i="1"/>
  <c r="P56" i="1"/>
  <c r="L55" i="1"/>
  <c r="M55" i="1"/>
  <c r="N55" i="1"/>
  <c r="O55" i="1"/>
  <c r="P55" i="1"/>
  <c r="L54" i="1"/>
  <c r="M54" i="1"/>
  <c r="N54" i="1"/>
  <c r="O54" i="1"/>
  <c r="P54" i="1"/>
  <c r="L53" i="1"/>
  <c r="M53" i="1"/>
  <c r="N53" i="1"/>
  <c r="O53" i="1"/>
  <c r="P53" i="1"/>
  <c r="L52" i="1"/>
  <c r="M52" i="1"/>
  <c r="N52" i="1"/>
  <c r="O52" i="1"/>
  <c r="P52" i="1"/>
  <c r="L51" i="1"/>
  <c r="M51" i="1"/>
  <c r="N51" i="1"/>
  <c r="O51" i="1"/>
  <c r="P51" i="1"/>
  <c r="L50" i="1"/>
  <c r="M50" i="1"/>
  <c r="N50" i="1"/>
  <c r="O50" i="1"/>
  <c r="P50" i="1"/>
  <c r="L49" i="1"/>
  <c r="M49" i="1"/>
  <c r="N49" i="1"/>
  <c r="O49" i="1"/>
  <c r="P49" i="1"/>
  <c r="L48" i="1"/>
  <c r="M48" i="1"/>
  <c r="N48" i="1"/>
  <c r="O48" i="1"/>
  <c r="P48" i="1"/>
  <c r="L47" i="1"/>
  <c r="M47" i="1"/>
  <c r="N47" i="1"/>
  <c r="O47" i="1"/>
  <c r="P47" i="1"/>
  <c r="L46" i="1"/>
  <c r="M46" i="1"/>
  <c r="N46" i="1"/>
  <c r="O46" i="1"/>
  <c r="P46" i="1"/>
  <c r="L45" i="1"/>
  <c r="M45" i="1"/>
  <c r="N45" i="1"/>
  <c r="O45" i="1"/>
  <c r="P45" i="1"/>
  <c r="L44" i="1"/>
  <c r="M44" i="1"/>
  <c r="N44" i="1"/>
  <c r="O44" i="1"/>
  <c r="P44" i="1"/>
  <c r="L43" i="1"/>
  <c r="M43" i="1"/>
  <c r="N43" i="1"/>
  <c r="O43" i="1"/>
  <c r="P43" i="1"/>
  <c r="L42" i="1"/>
  <c r="M42" i="1"/>
  <c r="N42" i="1"/>
  <c r="O42" i="1"/>
  <c r="P42" i="1"/>
  <c r="L41" i="1"/>
  <c r="M41" i="1"/>
  <c r="N41" i="1"/>
  <c r="O41" i="1"/>
  <c r="P41" i="1"/>
  <c r="L40" i="1"/>
  <c r="M40" i="1"/>
  <c r="N40" i="1"/>
  <c r="O40" i="1"/>
  <c r="P40" i="1"/>
  <c r="L39" i="1"/>
  <c r="M39" i="1"/>
  <c r="N39" i="1"/>
  <c r="O39" i="1"/>
  <c r="P39" i="1"/>
  <c r="L38" i="1"/>
  <c r="M38" i="1"/>
  <c r="N38" i="1"/>
  <c r="O38" i="1"/>
  <c r="P38" i="1"/>
  <c r="L37" i="1"/>
  <c r="M37" i="1"/>
  <c r="N37" i="1"/>
  <c r="O37" i="1"/>
  <c r="P37" i="1"/>
  <c r="L36" i="1"/>
  <c r="M36" i="1"/>
  <c r="N36" i="1"/>
  <c r="O36" i="1"/>
  <c r="P36" i="1"/>
  <c r="L35" i="1"/>
  <c r="M35" i="1"/>
  <c r="N35" i="1"/>
  <c r="O35" i="1"/>
  <c r="P35" i="1"/>
  <c r="L34" i="1"/>
  <c r="M34" i="1"/>
  <c r="N34" i="1"/>
  <c r="O34" i="1"/>
  <c r="P34" i="1"/>
  <c r="L33" i="1"/>
  <c r="M33" i="1"/>
  <c r="N33" i="1"/>
  <c r="O33" i="1"/>
  <c r="P33" i="1"/>
  <c r="L32" i="1"/>
  <c r="M32" i="1"/>
  <c r="N32" i="1"/>
  <c r="O32" i="1"/>
  <c r="P32" i="1"/>
  <c r="L31" i="1"/>
  <c r="M31" i="1"/>
  <c r="N31" i="1"/>
  <c r="O31" i="1"/>
  <c r="P31" i="1"/>
  <c r="L30" i="1"/>
  <c r="M30" i="1"/>
  <c r="N30" i="1"/>
  <c r="O30" i="1"/>
  <c r="P30" i="1"/>
  <c r="L29" i="1"/>
  <c r="M29" i="1"/>
  <c r="N29" i="1"/>
  <c r="O29" i="1"/>
  <c r="P29" i="1"/>
  <c r="L28" i="1"/>
  <c r="M28" i="1"/>
  <c r="N28" i="1"/>
  <c r="O28" i="1"/>
  <c r="P28" i="1"/>
  <c r="L27" i="1"/>
  <c r="M27" i="1"/>
  <c r="N27" i="1"/>
  <c r="O27" i="1"/>
  <c r="P27" i="1"/>
  <c r="L26" i="1"/>
  <c r="M26" i="1"/>
  <c r="N26" i="1"/>
  <c r="O26" i="1"/>
  <c r="P26" i="1"/>
  <c r="L25" i="1"/>
  <c r="M25" i="1"/>
  <c r="N25" i="1"/>
  <c r="O25" i="1"/>
  <c r="P25" i="1"/>
  <c r="L24" i="1"/>
  <c r="M24" i="1"/>
  <c r="N24" i="1"/>
  <c r="O24" i="1"/>
  <c r="P24" i="1"/>
  <c r="L23" i="1"/>
  <c r="M23" i="1"/>
  <c r="N23" i="1"/>
  <c r="O23" i="1"/>
  <c r="P23" i="1"/>
  <c r="L22" i="1"/>
  <c r="M22" i="1"/>
  <c r="N22" i="1"/>
  <c r="O22" i="1"/>
  <c r="P22" i="1"/>
  <c r="L21" i="1"/>
  <c r="M21" i="1"/>
  <c r="N21" i="1"/>
  <c r="O21" i="1"/>
  <c r="P21" i="1"/>
  <c r="L20" i="1"/>
  <c r="M20" i="1"/>
  <c r="N20" i="1"/>
  <c r="O20" i="1"/>
  <c r="P20" i="1"/>
  <c r="L19" i="1"/>
  <c r="M19" i="1"/>
  <c r="N19" i="1"/>
  <c r="O19" i="1"/>
  <c r="P19" i="1"/>
  <c r="L18" i="1"/>
  <c r="M18" i="1"/>
  <c r="N18" i="1"/>
  <c r="O18" i="1"/>
  <c r="P18" i="1"/>
  <c r="L17" i="1"/>
  <c r="M17" i="1"/>
  <c r="N17" i="1"/>
  <c r="O17" i="1"/>
  <c r="P17" i="1"/>
  <c r="L16" i="1"/>
  <c r="M16" i="1"/>
  <c r="N16" i="1"/>
  <c r="O16" i="1"/>
  <c r="P16" i="1"/>
  <c r="L15" i="1"/>
  <c r="M15" i="1"/>
  <c r="N15" i="1"/>
  <c r="O15" i="1"/>
  <c r="P15" i="1"/>
  <c r="L14" i="1"/>
  <c r="M14" i="1"/>
  <c r="N14" i="1"/>
  <c r="O14" i="1"/>
  <c r="P14" i="1"/>
  <c r="L13" i="1"/>
  <c r="M13" i="1"/>
  <c r="N13" i="1"/>
  <c r="O13" i="1"/>
  <c r="P13" i="1"/>
  <c r="L12" i="1"/>
  <c r="M12" i="1"/>
  <c r="N12" i="1"/>
  <c r="O12" i="1"/>
  <c r="P12" i="1"/>
  <c r="L11" i="1"/>
  <c r="M11" i="1"/>
  <c r="N11" i="1"/>
  <c r="O11" i="1"/>
  <c r="P11" i="1"/>
  <c r="L10" i="1"/>
  <c r="M10" i="1"/>
  <c r="N10" i="1"/>
  <c r="O10" i="1"/>
  <c r="P10" i="1"/>
  <c r="L9" i="1"/>
  <c r="M9" i="1"/>
  <c r="N9" i="1"/>
  <c r="O9" i="1"/>
  <c r="P9" i="1"/>
  <c r="L8" i="1"/>
  <c r="M8" i="1"/>
  <c r="N8" i="1"/>
  <c r="O8" i="1"/>
  <c r="P8" i="1"/>
  <c r="L7" i="1"/>
  <c r="M7" i="1"/>
  <c r="N7" i="1"/>
  <c r="O7" i="1"/>
  <c r="P7" i="1"/>
  <c r="L6" i="1"/>
  <c r="M6" i="1"/>
  <c r="N6" i="1"/>
  <c r="O6" i="1"/>
  <c r="P6" i="1"/>
  <c r="L5" i="1"/>
  <c r="M5" i="1"/>
  <c r="N5" i="1"/>
  <c r="O5" i="1"/>
  <c r="P5" i="1"/>
  <c r="L4" i="1"/>
  <c r="M4" i="1"/>
  <c r="N4" i="1"/>
  <c r="O4" i="1"/>
  <c r="P4" i="1"/>
  <c r="L3" i="1"/>
  <c r="M3" i="1"/>
  <c r="N3" i="1"/>
  <c r="O3" i="1"/>
  <c r="P3" i="1"/>
  <c r="L2" i="1"/>
  <c r="M2" i="1"/>
  <c r="N2" i="1"/>
  <c r="O2" i="1"/>
  <c r="P2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<sst xmlns="http://schemas.openxmlformats.org/spreadsheetml/2006/main" count="608" uniqueCount="484">
  <si>
    <t>CasoId</t>
  </si>
  <si>
    <t>ConversationId</t>
  </si>
  <si>
    <t>Asunto</t>
  </si>
  <si>
    <t>FechaRecepcion</t>
  </si>
  <si>
    <t>FechaUltimoCorreo</t>
  </si>
  <si>
    <t>PersonaUltimaRespuesta</t>
  </si>
  <si>
    <t>Estado</t>
  </si>
  <si>
    <t>FechaRespuesta</t>
  </si>
  <si>
    <t>Persona_Respuesta</t>
  </si>
  <si>
    <t>Observaciones</t>
  </si>
  <si>
    <t>Días_Hab</t>
  </si>
  <si>
    <t>Horas_Respuesta</t>
  </si>
  <si>
    <t>Mes</t>
  </si>
  <si>
    <t>EsFinalizado</t>
  </si>
  <si>
    <t>EsPendiente</t>
  </si>
  <si>
    <t>AAQkADdkNThjNzFkLWM0ZmMtNDJhYS04MDVlLTIwNzE4ZDI1Mzg4YgAQAMXKxd5JaEzogViQa7m2TpA=-20261014094311</t>
  </si>
  <si>
    <t>AAQkADdkNThjNzFkLWM0ZmMtNDJhYS04MDVlLTIwNzE4ZDI1Mzg4YgAQAMXKxd5JaEzogViQa7m2TpA=</t>
  </si>
  <si>
    <t>URGENTE***** SIDERPERU - SCTR SALUD -  ZAVALETA GARCIA VICTOR (EVALUACION DE CAUSALIDAD)</t>
  </si>
  <si>
    <t>joatham_gurreonero@ajg.com</t>
  </si>
  <si>
    <t>Solicitante: joatham_gurreonero@ajg.com | Hilo con 8 mensaje(s) citado(s); correo original de: Flor Gamboa &lt;Flor_Gamboa@ajg.com&gt;</t>
  </si>
  <si>
    <t>AAQkADdkNThjNzFkLWM0ZmMtNDJhYS04MDVlLTIwNzE4ZDI1Mzg4YgAQAGAlthIm2BVPg5CEPfQSlpU=-20261014094423</t>
  </si>
  <si>
    <t>AAQkADdkNThjNzFkLWM0ZmMtNDJhYS04MDVlLTIwNzE4ZDI1Mzg4YgAQAGAlthIm2BVPg5CEPfQSlpU=</t>
  </si>
  <si>
    <t>RE: SOLICITUD DE REPORTE / SCTR / C: ACTUAL VENTAS PERU SAC / A: DIEGO PISCOCHE CARHUAYANO / DNI: 70286780 / MAPFRE</t>
  </si>
  <si>
    <t>adrianad@italasesores.com</t>
  </si>
  <si>
    <t>Solicitante: adrianad@italasesores.com | Hilo con 11 mensaje(s) citado(s); correo original de: Ethel Reaño</t>
  </si>
  <si>
    <t>AAQkADdkNThjNzFkLWM0ZmMtNDJhYS04MDVlLTIwNzE4ZDI1Mzg4YgAQADfT6Z16fJBElaZzGp7Tx3M=-20261014095042</t>
  </si>
  <si>
    <t>AAQkADdkNThjNzFkLWM0ZmMtNDJhYS04MDVlLTIwNzE4ZDI1Mzg4YgAQADfT6Z16fJBElaZzGp7Tx3M=</t>
  </si>
  <si>
    <t>RE: Solicito carta de garantía</t>
  </si>
  <si>
    <t>misalce@mapfre.com.pe</t>
  </si>
  <si>
    <t>FINALIZADO</t>
  </si>
  <si>
    <t>Solicitante: misalce@mapfre.com.pe | Hilo con 4 mensaje(s) citado(s); correo original de: Johanna Maravi &lt;jmaravi@policlinicoestabridis.com&gt; | Llegó con el hilo ya respondido</t>
  </si>
  <si>
    <t>AAQkADdkNThjNzFkLWM0ZmMtNDJhYS04MDVlLTIwNzE4ZDI1Mzg4YgAQAJcXcCYiSgVBnoJEWxHJa0s=-20261014095246</t>
  </si>
  <si>
    <t>AAQkADdkNThjNzFkLWM0ZmMtNDJhYS04MDVlLTIwNzE4ZDI1Mzg4YgAQAJcXcCYiSgVBnoJEWxHJa0s=</t>
  </si>
  <si>
    <t>Re: SOLICITO APOYO PARA OBTENCIÓN  DE FERULA  -PCTE. BERRIOS TAUCCAYA PASCUAL DAVID</t>
  </si>
  <si>
    <t>amriva1@mapfre.com.pe</t>
  </si>
  <si>
    <t>Ana María Rivas Cobeñas</t>
  </si>
  <si>
    <t>Solicitante: ordese1@yahoo.es | Hilo con 2 mensaje(s) citado(s); correo original de: Rivas Cobeñas, Ana Maria &lt;AMRIVA1@mapfre.com.pe&gt;</t>
  </si>
  <si>
    <t>AAQkADdkNThjNzFkLWM0ZmMtNDJhYS04MDVlLTIwNzE4ZDI1Mzg4YgAQAEV1MieBe0Wvroz_9cqOHs4=-20261014095321</t>
  </si>
  <si>
    <t>AAQkADdkNThjNzFkLWM0ZmMtNDJhYS04MDVlLTIwNzE4ZDI1Mzg4YgAQAEV1MieBe0Wvroz_9cqOHs4=</t>
  </si>
  <si>
    <t>RE: SCTR / GRUPO VETERINARIO / ANA RODRIGUEZ DE FERNANDEZ CE 003912486</t>
  </si>
  <si>
    <t>extsybq@mapfre.com.pe</t>
  </si>
  <si>
    <t>Solicitante: extsybq@mapfre.com.pe | Hilo con 2 mensaje(s) citado(s); correo original de: Maria Fernanda Arriaran &lt;mariaf@fyfdaruich.com&gt; | Llegó con el hilo ya respondido</t>
  </si>
  <si>
    <t>AAQkADdkNThjNzFkLWM0ZmMtNDJhYS04MDVlLTIwNzE4ZDI1Mzg4YgAQAH-VK2VtNk1Kux-Ws0HoEUQ=-20261014095528</t>
  </si>
  <si>
    <t>AAQkADdkNThjNzFkLWM0ZmMtNDJhYS04MDVlLTIwNzE4ZDI1Mzg4YgAQAH-VK2VtNk1Kux-Ws0HoEUQ=</t>
  </si>
  <si>
    <t>RE: ACTIVACION DE ASEGURADO EN WEB: SANCHEZ REYES MARCOS</t>
  </si>
  <si>
    <t>frmmen2@mapfre.com.pe</t>
  </si>
  <si>
    <t>Fiorella Mendoza Albujar</t>
  </si>
  <si>
    <t>Solicitante: frmmen2@mapfre.com.pe | Hilo con 3 mensaje(s) citado(s); correo original de: cartasdegarantia@clinicasanantonio.pe | Llegó con el hilo ya respondido</t>
  </si>
  <si>
    <t>AAQkADdkNThjNzFkLWM0ZmMtNDJhYS04MDVlLTIwNzE4ZDI1Mzg4YgAQAKDxYH_RrEFdgX28cD_WcvU=-20261014095535</t>
  </si>
  <si>
    <t>AAQkADdkNThjNzFkLWM0ZmMtNDJhYS04MDVlLTIwNzE4ZDI1Mzg4YgAQAKDxYH_RrEFdgX28cD_WcvU=</t>
  </si>
  <si>
    <t>RE: SOLCIITUD DE AUTORIZACION POR TRAUMATOLOGIA - SCTR SALUD - ASG FERNANDEZ CRUZ ESTUAR BRAULIO - CONSTRUCTORA GALILEA</t>
  </si>
  <si>
    <t>rtorresr@mapfre.com.pe</t>
  </si>
  <si>
    <t>Cintya Romero</t>
  </si>
  <si>
    <t>Solicitante: cintya.romero@howdengroup.com | Hilo con 1 mensaje(s) citado(s); correo original de: Cintya Romero</t>
  </si>
  <si>
    <t>AAQkADdkNThjNzFkLWM0ZmMtNDJhYS04MDVlLTIwNzE4ZDI1Mzg4YgAQAFte2-4XXGNKu603eYXoym0=-20261014095537</t>
  </si>
  <si>
    <t>AAQkADdkNThjNzFkLWM0ZmMtNDJhYS04MDVlLTIwNzE4ZDI1Mzg4YgAQAFte2-4XXGNKu603eYXoym0=</t>
  </si>
  <si>
    <t>RE: Activar Paciente -ZHILIN ZHILIN LENG</t>
  </si>
  <si>
    <t>fafies2@mapfre.com.pe</t>
  </si>
  <si>
    <t>Solicitante: fafies2@mapfre.com.pe | Hilo con 2 mensaje(s) citado(s); correo original de: Vega Cueva, Xiomy Milagros &lt;VCXIOMY@mapfre.com.pe&gt; | Llegó con el hilo ya respondido</t>
  </si>
  <si>
    <t>AAQkADdkNThjNzFkLWM0ZmMtNDJhYS04MDVlLTIwNzE4ZDI1Mzg4YgAQADjgmi3pLrdGntKo5dAEa24=-20261014100031</t>
  </si>
  <si>
    <t>AAQkADdkNThjNzFkLWM0ZmMtNDJhYS04MDVlLTIwNzE4ZDI1Mzg4YgAQADjgmi3pLrdGntKo5dAEa24=</t>
  </si>
  <si>
    <t>RE: CONFIRMAR FECHA DE COBERTURA POR SCTR SALUD // ASEGURADO RAMIREZ BAYONA JUAN PABLO // FLESAN</t>
  </si>
  <si>
    <t>luis.suarez1@aon.com</t>
  </si>
  <si>
    <t>Solicitante: luis.suarez1@aon.com | Hilo con 7 mensaje(s) citado(s); correo original de: Cordova Yenque, Pilar Alexandra &lt;CYPILA1@mapfre.com.pe&gt;</t>
  </si>
  <si>
    <t>AAQkADdkNThjNzFkLWM0ZmMtNDJhYS04MDVlLTIwNzE4ZDI1Mzg4YgAQAG_EIQjRdfxEjkwSQxqjox0=-20261014100242</t>
  </si>
  <si>
    <t>AAQkADdkNThjNzFkLWM0ZmMtNDJhYS04MDVlLTIwNzE4ZDI1Mzg4YgAQAG_EIQjRdfxEjkwSQxqjox0=</t>
  </si>
  <si>
    <t>RE: CORREGIR FECHA DE NACIMIENTO DE AFILIADO SCTR -  MEZA RETETE LUIS FERNANDO</t>
  </si>
  <si>
    <t>gestionalpaciente_independencia@mapfre.com.pe</t>
  </si>
  <si>
    <t>Jennifer Huertas</t>
  </si>
  <si>
    <t>Solicitante: gestionalpaciente_independencia@mapfre.com.pe | Hilo con 3 mensaje(s) citado(s); correo original de: zzd GestionAlPaciente_Independencia | Llegó con el hilo ya respondido</t>
  </si>
  <si>
    <t>AAQkADdkNThjNzFkLWM0ZmMtNDJhYS04MDVlLTIwNzE4ZDI1Mzg4YgAQAEV1MieBe0Wvroz_9cqOHs4=-20261014100206</t>
  </si>
  <si>
    <t>Solicitante: mariaf@fyfdaruich.com | Nuevo mensaje en una conversación ya finalizada</t>
  </si>
  <si>
    <t>AAQkADdkNThjNzFkLWM0ZmMtNDJhYS04MDVlLTIwNzE4ZDI1Mzg4YgAQAIeDImJRCTxMqD3FMxYQ-Zs=-20261014100410</t>
  </si>
  <si>
    <t>AAQkADdkNThjNzFkLWM0ZmMtNDJhYS04MDVlLTIwNzE4ZDI1Mzg4YgAQAIeDImJRCTxMqD3FMxYQ-Zs=</t>
  </si>
  <si>
    <t>Re: Reembolso Gastos Médicos - SCTR // A &amp; P GRUPO EMPRESARIAL S.A.C</t>
  </si>
  <si>
    <t>corredoresdeseguros.ghd@gmail.com</t>
  </si>
  <si>
    <t>Solicitante: corredoresdeseguros.ghd@gmail.com | Hilo con 1 mensaje(s) citado(s); correo original de: Gina Huaricapcha Durand &lt;corredoresdeseguros.ghd@gmail.com&gt;</t>
  </si>
  <si>
    <t>AAQkADdkNThjNzFkLWM0ZmMtNDJhYS04MDVlLTIwNzE4ZDI1Mzg4YgAQABGejHfewVFOhvTXNviUWG4=-20261014100934</t>
  </si>
  <si>
    <t>AAQkADdkNThjNzFkLWM0ZmMtNDJhYS04MDVlLTIwNzE4ZDI1Mzg4YgAQABGejHfewVFOhvTXNviUWG4=</t>
  </si>
  <si>
    <t>RE: PESQUERA DIAMANTE SCTR PENSION : Consulta GARCIA SARANGO EVARISTO</t>
  </si>
  <si>
    <t>rocio_santisteban@ajg.com</t>
  </si>
  <si>
    <t>Solicitante: rocio_santisteban@ajg.com | Hilo con 5 mensaje(s) citado(s); correo original de: Rocio Santisteban</t>
  </si>
  <si>
    <t>AAQkADdkNThjNzFkLWM0ZmMtNDJhYS04MDVlLTIwNzE4ZDI1Mzg4YgAQAPxTjZ5Y2l1GopOOh0CVnm0=-20261014101023</t>
  </si>
  <si>
    <t>AAQkADdkNThjNzFkLWM0ZmMtNDJhYS04MDVlLTIwNzE4ZDI1Mzg4YgAQAPxTjZ5Y2l1GopOOh0CVnm0=</t>
  </si>
  <si>
    <t>SOLICITUD DE FÉRULA: MENACHO MENDIETA, RENZO BENJAMIN</t>
  </si>
  <si>
    <t>cgarantias@santafeortopedia.com</t>
  </si>
  <si>
    <t>Solicitante: brenda.salazar@marsh.com | Hilo con 3 mensaje(s) citado(s); correo original de: Wendy Zarate &lt;Wendy.Zarate@promart.pe&gt;</t>
  </si>
  <si>
    <t>AAQkADdkNThjNzFkLWM0ZmMtNDJhYS04MDVlLTIwNzE4ZDI1Mzg4YgAQADoh4xVMnUjzoMEzcq2OcAc=-20261014101446</t>
  </si>
  <si>
    <t>AAQkADdkNThjNzFkLWM0ZmMtNDJhYS04MDVlLTIwNzE4ZDI1Mzg4YgAQADoh4xVMnUjzoMEzcq2OcAc=</t>
  </si>
  <si>
    <t>RE: CHAVESTA BARCO VICTOR // AUTORIZACION PARA FARMACIA</t>
  </si>
  <si>
    <t>psmless@mapfre.com.pe</t>
  </si>
  <si>
    <t>Solicitante: psmless@mapfre.com.pe | Hilo con 1 mensaje(s) citado(s); correo original de: admiambulatoriosg02@sanpablo.com.pe &lt;admiambulatoriosg02@sanpablo.com.pe&gt; | Llegó con el hilo ya respondido</t>
  </si>
  <si>
    <t>AAQkADdkNThjNzFkLWM0ZmMtNDJhYS04MDVlLTIwNzE4ZDI1Mzg4YgAQAPltEXqCenFOvp2zaworXqY=-20261014101510</t>
  </si>
  <si>
    <t>AAQkADdkNThjNzFkLWM0ZmMtNDJhYS04MDVlLTIwNzE4ZDI1Mzg4YgAQAPltEXqCenFOvp2zaworXqY=</t>
  </si>
  <si>
    <t>RE: APOYO CON ENTREGA DE MEDICAMENTOS / SCTR SALUD / C: PASTELERIA FINA GMR SAC / A: VALVERDE REYES, ELIZABETH DNI: 48502748 / MAPFRE EPS</t>
  </si>
  <si>
    <t>Solicitante: adrianad@italasesores.com | Hilo con 13 mensaje(s) citado(s); correo original de: rodrigola@italasesores.com &lt;rodrigola@italasesores.com&gt;</t>
  </si>
  <si>
    <t>AAQkADdkNThjNzFkLWM0ZmMtNDJhYS04MDVlLTIwNzE4ZDI1Mzg4YgAQAKvNhXK1EkLZpdTu7CBlBXM=-20261014101528</t>
  </si>
  <si>
    <t>AAQkADdkNThjNzFkLWM0ZmMtNDJhYS04MDVlLTIwNzE4ZDI1Mzg4YgAQAKvNhXK1EkLZpdTu7CBlBXM=</t>
  </si>
  <si>
    <t>RE: ZAVALETA PAZOS CARLOS ALBERTO // AUTORIZACION PARA FARMACIA</t>
  </si>
  <si>
    <t>AAQkADdkNThjNzFkLWM0ZmMtNDJhYS04MDVlLTIwNzE4ZDI1Mzg4YgAQAKGcuEslBkRWgVylLBPFed0=-20261014101652</t>
  </si>
  <si>
    <t>AAQkADdkNThjNzFkLWM0ZmMtNDJhYS04MDVlLTIwNzE4ZDI1Mzg4YgAQAKGcuEslBkRWgVylLBPFed0=</t>
  </si>
  <si>
    <t xml:space="preserve">RE: SCTR / SOLICITUD DE REEMBOLSO / TONG RECEPCIONES EVENTOS Y ESPECTACULOS / BACA GUEVARA MARIA </t>
  </si>
  <si>
    <t>mariaf@fyfdaruich.com</t>
  </si>
  <si>
    <t>Solicitante: mariaf@fyfdaruich.com | Hilo con 9 mensaje(s) citado(s); correo original de: SCTRSalud &lt;sctrsalud@mapfre.com.pe&gt;</t>
  </si>
  <si>
    <t>AAQkADdkNThjNzFkLWM0ZmMtNDJhYS04MDVlLTIwNzE4ZDI1Mzg4YgAQAI3yNV4E0rRGjfHu0c3gQvk=-20261014102626</t>
  </si>
  <si>
    <t>AAQkADdkNThjNzFkLWM0ZmMtNDJhYS04MDVlLTIwNzE4ZDI1Mzg4YgAQAI3yNV4E0rRGjfHu0c3gQvk=</t>
  </si>
  <si>
    <t>RV: ACTUALIZAR CG TIPO DE ATENCION / AGC / MAPFRE EPS / 29755138 / CALMET REBAZA, SONYI OSWALDO / 8868694</t>
  </si>
  <si>
    <t>Solicitante: siniestros_rh@mapfre.com.pe | Hilo con 3 mensaje(s) citado(s); correo original de: JOSE ALEJANDRO AYLLON MENESES &lt;jose.ayllon@auna.org&gt;</t>
  </si>
  <si>
    <t>AAQkADdkNThjNzFkLWM0ZmMtNDJhYS04MDVlLTIwNzE4ZDI1Mzg4YgAQAA1hSJoE1lhJoaEgKu7Q-14=-20261014102720</t>
  </si>
  <si>
    <t>AAQkADdkNThjNzFkLWM0ZmMtNDJhYS04MDVlLTIwNzE4ZDI1Mzg4YgAQAA1hSJoE1lhJoaEgKu7Q-14=</t>
  </si>
  <si>
    <t>RE: Solicitud de reembolso – Gastos médicos Clínica San Pedro de Huacho</t>
  </si>
  <si>
    <t>kariasc@san-fernando.com.pe</t>
  </si>
  <si>
    <t>Solicitante: kariasc@san-fernando.com.pe | Hilo con 1 mensaje(s) citado(s); correo original de: Katherine Alejandra Arias Contreras</t>
  </si>
  <si>
    <t>AAQkADdkNThjNzFkLWM0ZmMtNDJhYS04MDVlLTIwNzE4ZDI1Mzg4YgAQAH64cSplyu5MsAZg3MIsRmk=-20261014102733</t>
  </si>
  <si>
    <t>AAQkADdkNThjNzFkLWM0ZmMtNDJhYS04MDVlLTIwNzE4ZDI1Mzg4YgAQAH64cSplyu5MsAZg3MIsRmk=</t>
  </si>
  <si>
    <t>Fernandez Cubas, Antonella Jimena cargó archivos nuevos en tu solicitud para SOLICITUD DE INVESTIGACION A LINEA 24 / Pregunta</t>
  </si>
  <si>
    <t>no-reply@sharepointonline.com</t>
  </si>
  <si>
    <t>Solicitante: no-reply@sharepointonline.com</t>
  </si>
  <si>
    <t>AAQkADdkNThjNzFkLWM0ZmMtNDJhYS04MDVlLTIwNzE4ZDI1Mzg4YgAQAAxGG7oXhCVGksuqK8T6CPQ=-20261014103146</t>
  </si>
  <si>
    <t>AAQkADdkNThjNzFkLWM0ZmMtNDJhYS04MDVlLTIwNzE4ZDI1Mzg4YgAQAAxGG7oXhCVGksuqK8T6CPQ=</t>
  </si>
  <si>
    <t>INFORMACION : BUENOS DIAS SOY PAUL QUIPAS CASTILLO CON DNI 42987029 LES ESCRIBO PARA QUE PORFAVOR ME BRINDER INFORMACION DE PORQUE NO ACEPATAN EL 100 % DE APROBACION PARA LA OPERACION DE MI PADRE . MI PADRE YA CASI UN MES TUVO UN ACCIDENTE LABORAL SU N...</t>
  </si>
  <si>
    <t>paulquipas13@gmail.com</t>
  </si>
  <si>
    <t>Solicitante: paulquipas13@gmail.com</t>
  </si>
  <si>
    <t>AAQkADdkNThjNzFkLWM0ZmMtNDJhYS04MDVlLTIwNzE4ZDI1Mzg4YgAQAE_A9MMCRDRCkMwAicT0fSg=-20261014103604</t>
  </si>
  <si>
    <t>AAQkADdkNThjNzFkLWM0ZmMtNDJhYS04MDVlLTIwNzE4ZDI1Mzg4YgAQAE_A9MMCRDRCkMwAicT0fSg=</t>
  </si>
  <si>
    <t>RE: PERTIENENCIA MEDICA DE MEDICINA- Caso CENTENO MOYOPAZ JAVIER NILSON- SCTR SALUD MAPFRE- PROVEFABRICA DEL PERU</t>
  </si>
  <si>
    <t>cintya.romero@howdengroup.com</t>
  </si>
  <si>
    <t>Solicitante: cintya.romero@howdengroup.com | Hilo con 1 mensaje(s) citado(s); correo original de: Cintya Romero &lt;cintya.romero@howdengroup.com&gt;</t>
  </si>
  <si>
    <t>AAQkADdkNThjNzFkLWM0ZmMtNDJhYS04MDVlLTIwNzE4ZDI1Mzg4YgAQAOHvIhHsiYZKtwO_zPWj67A=-20261014103958</t>
  </si>
  <si>
    <t>AAQkADdkNThjNzFkLWM0ZmMtNDJhYS04MDVlLTIwNzE4ZDI1Mzg4YgAQAOHvIhHsiYZKtwO_zPWj67A=</t>
  </si>
  <si>
    <t>PAZ GUIDINO LENNER</t>
  </si>
  <si>
    <t>openar@atu.gob.pe</t>
  </si>
  <si>
    <t>Solicitante: openar@atu.gob.pe | Hilo con 4 mensaje(s) citado(s); correo original de: Lenner Jesús Paz Ruiz lenner23.4@gmail.com</t>
  </si>
  <si>
    <t>AAQkADdkNThjNzFkLWM0ZmMtNDJhYS04MDVlLTIwNzE4ZDI1Mzg4YgAQALO9qEGSGCpIhy26bT3E4b8=-20261014103928</t>
  </si>
  <si>
    <t>AAQkADdkNThjNzFkLWM0ZmMtNDJhYS04MDVlLTIwNzE4ZDI1Mzg4YgAQALO9qEGSGCpIhy26bT3E4b8=</t>
  </si>
  <si>
    <t>RE: TREBOL | INFORMACIÓN DE BENEFICIOS Y DICTAMEN DE INVALIDEZ - GALAN SUPO</t>
  </si>
  <si>
    <t>celima.peru@lockton.com</t>
  </si>
  <si>
    <t>Solicitante: celima.peru@lockton.com | Hilo con 2 mensaje(s) citado(s); correo original de: Lockton Peru - Celima &lt;celima.peru@lockton.com&gt;</t>
  </si>
  <si>
    <t>AAQkADdkNThjNzFkLWM0ZmMtNDJhYS04MDVlLTIwNzE4ZDI1Mzg4YgAQAIvB6AQm-E9xtEkaIvzE608=-20261014103932</t>
  </si>
  <si>
    <t>AAQkADdkNThjNzFkLWM0ZmMtNDJhYS04MDVlLTIwNzE4ZDI1Mzg4YgAQAIvB6AQm-E9xtEkaIvzE608=</t>
  </si>
  <si>
    <t xml:space="preserve">ESTADO DE CARTA DE GARANTÍA | SERRANO ÑAHIU RAUL 47645156 | MINERA TAURO </t>
  </si>
  <si>
    <t>cypila1@mapfre.com.pe</t>
  </si>
  <si>
    <t>lkcald1@mapfre.com.pe</t>
  </si>
  <si>
    <t>Solicitante: gianella_gonzales@ajg.com</t>
  </si>
  <si>
    <t>AAQkADdkNThjNzFkLWM0ZmMtNDJhYS04MDVlLTIwNzE4ZDI1Mzg4YgAQALL3o2k1W_9Ptvv_EmM_NyU=-20261014103942</t>
  </si>
  <si>
    <t>AAQkADdkNThjNzFkLWM0ZmMtNDJhYS04MDVlLTIwNzE4ZDI1Mzg4YgAQALL3o2k1W_9Ptvv_EmM_NyU=</t>
  </si>
  <si>
    <t>RE: SINIESTRO SCTR SALUD - STEVEN ELIHU  HERRERA ARROYO - CODIGO ROJO TECH SECURITY S.A.C.</t>
  </si>
  <si>
    <t>extanvil@mapfre.com.pe</t>
  </si>
  <si>
    <t>Solicitante: mgraziani@cuidarte.pe | Hilo con 9 mensaje(s) citado(s); correo original de: SCTRSalud &lt;sctrsalud@mapfre.com.pe&gt;</t>
  </si>
  <si>
    <t>AAQkADdkNThjNzFkLWM0ZmMtNDJhYS04MDVlLTIwNzE4ZDI1Mzg4YgAQAJwigJ0q3k4ZjVQdEmuHj7M=-20261014104040</t>
  </si>
  <si>
    <t>AAQkADdkNThjNzFkLWM0ZmMtNDJhYS04MDVlLTIwNzE4ZDI1Mzg4YgAQAJwigJ0q3k4ZjVQdEmuHj7M=</t>
  </si>
  <si>
    <t>CERCADO DE LA CRUZ MERLY MARIBEL</t>
  </si>
  <si>
    <t>Solicitante: openar@atu.gob.pe | Hilo con 9 mensaje(s) citado(s); correo original de: Olga Rosario Emilia Peña Romero &lt;openar@atu.gob.pe&gt;</t>
  </si>
  <si>
    <t>AAQkADdkNThjNzFkLWM0ZmMtNDJhYS04MDVlLTIwNzE4ZDI1Mzg4YgAQAMmDajiwogdEh8WgvL-5tZk=-20261014104240</t>
  </si>
  <si>
    <t>AAQkADdkNThjNzFkLWM0ZmMtNDJhYS04MDVlLTIwNzE4ZDI1Mzg4YgAQAMmDajiwogdEh8WgvL-5tZk=</t>
  </si>
  <si>
    <t>REFERENCIA ACCIDENTE DE TRABAJO - ROJAS CARDENAS, JESUS URBANO</t>
  </si>
  <si>
    <t>gianella_gonzales@ajg.com</t>
  </si>
  <si>
    <t>Solicitante: gianella_gonzales@ajg.com | Hilo con 3 mensaje(s) citado(s); correo original de: BIENESTAR SOCIAL ALFA &lt;bienestarsocialalfa@gmail.com&gt;</t>
  </si>
  <si>
    <t>AAQkADdkNThjNzFkLWM0ZmMtNDJhYS04MDVlLTIwNzE4ZDI1Mzg4YgAQAB1OTfgMEpxMoinX_AVeyyw=-20261014104846</t>
  </si>
  <si>
    <t>AAQkADdkNThjNzFkLWM0ZmMtNDJhYS04MDVlLTIwNzE4ZDI1Mzg4YgAQAB1OTfgMEpxMoinX_AVeyyw=</t>
  </si>
  <si>
    <t xml:space="preserve">RV: Documentos dejados en oficina // Formato 1 // William Chura Huayllani // Víctor Adolfo Zambrano Jove // Cerro Verde </t>
  </si>
  <si>
    <t>siniestros_rh@mapfre.com.pe</t>
  </si>
  <si>
    <t>Solicitante: siniestros_rh@mapfre.com.pe | Hilo con 1 mensaje(s) citado(s); correo original de: Cardenas Castillo, Ana Cecilia</t>
  </si>
  <si>
    <t>AAQkADdkNThjNzFkLWM0ZmMtNDJhYS04MDVlLTIwNzE4ZDI1Mzg4YgAQAFqluvAzANhPi4RMhuaVo_k=-20261014104829</t>
  </si>
  <si>
    <t>AAQkADdkNThjNzFkLWM0ZmMtNDJhYS04MDVlLTIwNzE4ZDI1Mzg4YgAQAFqluvAzANhPi4RMhuaVo_k=</t>
  </si>
  <si>
    <t>REFERENCIA ACCIDENTE DE TRABAJO - AMARILLO CAMARGO, ABEL</t>
  </si>
  <si>
    <t>Solicitante: gianella_gonzales@ajg.com | Hilo con 2 mensaje(s) citado(s); correo original de: BIENESTAR SOCIAL ALFA &lt;bienestarsocialalfa@gmail.com&gt;</t>
  </si>
  <si>
    <t>AAQkADdkNThjNzFkLWM0ZmMtNDJhYS04MDVlLTIwNzE4ZDI1Mzg4YgAQADomMwfTJglDpp-A70H3qnc=-20261014105703</t>
  </si>
  <si>
    <t>AAQkADdkNThjNzFkLWM0ZmMtNDJhYS04MDVlLTIwNzE4ZDI1Mzg4YgAQADomMwfTJglDpp-A70H3qnc=</t>
  </si>
  <si>
    <t>CARTA DE GARANTIA_ SINIESTRO SCTR -  CARI ROJAS JOSE - SUPERDEPORTE PLUS PERU S.A.C.</t>
  </si>
  <si>
    <t>wguevara@gabel.com.pe</t>
  </si>
  <si>
    <t>Solicitante: wguevara@gabel.com.pe | Hilo con 5 mensaje(s) citado(s); correo original de: Wendolly Guevara López &lt;wguevara@gabel.com.pe&gt;</t>
  </si>
  <si>
    <t>AAQkADdkNThjNzFkLWM0ZmMtNDJhYS04MDVlLTIwNzE4ZDI1Mzg4YgAQAAgXrHQpCa5ItsdqilohvB0=-20261014105812</t>
  </si>
  <si>
    <t>AAQkADdkNThjNzFkLWM0ZmMtNDJhYS04MDVlLTIwNzE4ZDI1Mzg4YgAQAAgXrHQpCa5ItsdqilohvB0=</t>
  </si>
  <si>
    <t>RE: INFORME MEDICO PARA PROTESIS ÑAHUI QUISPE</t>
  </si>
  <si>
    <t>Solicitante: extanvil@mapfre.com.pe | Hilo con 3 mensaje(s) citado(s); correo original de: luis miguel farro uceda &lt;lufarro@yahoo.es&gt; | Llegó con el hilo ya respondido</t>
  </si>
  <si>
    <t>AAQkADdkNThjNzFkLWM0ZmMtNDJhYS04MDVlLTIwNzE4ZDI1Mzg4YgAQANLLN4K4VDhGrkhO4n7rkSs=-20261014105851</t>
  </si>
  <si>
    <t>AAQkADdkNThjNzFkLWM0ZmMtNDJhYS04MDVlLTIwNzE4ZDI1Mzg4YgAQANLLN4K4VDhGrkhO4n7rkSs=</t>
  </si>
  <si>
    <t>Re:      URGENTE Christopher Vicuña // Marcan Ingenieros S.A</t>
  </si>
  <si>
    <t>apluisa@mapfre.com.pe</t>
  </si>
  <si>
    <t>Luis Aviles</t>
  </si>
  <si>
    <t>Solicitante: edwin.valentin@peralbe.com</t>
  </si>
  <si>
    <t>AAQkADdkNThjNzFkLWM0ZmMtNDJhYS04MDVlLTIwNzE4ZDI1Mzg4YgAQABv6WqFfLIZMpmfWCjI_J9k=-20261014110045</t>
  </si>
  <si>
    <t>AAQkADdkNThjNzFkLWM0ZmMtNDJhYS04MDVlLTIwNzE4ZDI1Mzg4YgAQABv6WqFfLIZMpmfWCjI_J9k=</t>
  </si>
  <si>
    <t>RE: SOLICITUD DE EVALUACIÓN INTEGRAL - ACCIDENTE DE TRABAJO DANIEL RUIZ BRUNO - PÓLIZA 7012600003193</t>
  </si>
  <si>
    <t>Solicitante: extanvil@mapfre.com.pe | Hilo con 9 mensaje(s) citado(s); correo original de: CUATRO MOLINOS SAC &lt;cuatromolinossac@gmail.com&gt; | Llegó con el hilo ya respondido</t>
  </si>
  <si>
    <t>AAQkADdkNThjNzFkLWM0ZmMtNDJhYS04MDVlLTIwNzE4ZDI1Mzg4YgAQAM_IQ0PkHdtJhS5hGOI6MNY=-20261014110903</t>
  </si>
  <si>
    <t>AAQkADdkNThjNzFkLWM0ZmMtNDJhYS04MDVlLTIwNzE4ZDI1Mzg4YgAQAM_IQ0PkHdtJhS5hGOI6MNY=</t>
  </si>
  <si>
    <t>PROCURADOR SCTR / CASO: 89557742</t>
  </si>
  <si>
    <t>ydiazur@crm.mapfre.com</t>
  </si>
  <si>
    <t>Solicitante: ydiazur@crm.mapfre.com</t>
  </si>
  <si>
    <t>AAQkADdkNThjNzFkLWM0ZmMtNDJhYS04MDVlLTIwNzE4ZDI1Mzg4YgAQAE_2sgtnH3RMopgowMh_FZ4=-20261014110954</t>
  </si>
  <si>
    <t>AAQkADdkNThjNzFkLWM0ZmMtNDJhYS04MDVlLTIwNzE4ZDI1Mzg4YgAQAE_2sgtnH3RMopgowMh_FZ4=</t>
  </si>
  <si>
    <t>RE: DCR MINERIA Y CONSTRUCCION / SCTR SALUD / SOLICITO MEDICAMENTO / ASEG: MEZA AYQUIPA MAXIMILIANO / AT. 21.09.2026</t>
  </si>
  <si>
    <t>cgdanit@mapfre.com.pe</t>
  </si>
  <si>
    <t>Danitza Cabrera Gutiérrez</t>
  </si>
  <si>
    <t>Solicitante: kttito@consejeros.com.pe | Hilo con 3 mensaje(s) citado(s); correo original de: Karen Matto Loayza &lt;kmatto@consejeros.com.pe&gt;</t>
  </si>
  <si>
    <t>AAQkADdkNThjNzFkLWM0ZmMtNDJhYS04MDVlLTIwNzE4ZDI1Mzg4YgAQAAgXrHQpCa5ItsdqilohvB0=-20261014111658</t>
  </si>
  <si>
    <t>gladysgiron@ortopediawong.pe</t>
  </si>
  <si>
    <t>Solicitante: gladysgiron@ortopediawong.pe | Nuevo mensaje en una conversación ya finalizada</t>
  </si>
  <si>
    <t>AAQkADdkNThjNzFkLWM0ZmMtNDJhYS04MDVlLTIwNzE4ZDI1Mzg4YgAQANlYKnbsqIxMnnBlBbkbizc=-20261014111844</t>
  </si>
  <si>
    <t>AAQkADdkNThjNzFkLWM0ZmMtNDJhYS04MDVlLTIwNzE4ZDI1Mzg4YgAQANlYKnbsqIxMnnBlBbkbizc=</t>
  </si>
  <si>
    <t>INGRESO DEL POWER</t>
  </si>
  <si>
    <t>gestionalpaciente_sanmiguel@mapfre.com.pe</t>
  </si>
  <si>
    <t>Solicitante: gestionalpaciente_sanmiguel@mapfre.com.pe</t>
  </si>
  <si>
    <t>AAQkADdkNThjNzFkLWM0ZmMtNDJhYS04MDVlLTIwNzE4ZDI1Mzg4YgAQAAez1Iq0qdtLmS33T9NL7I0=-20261014112736</t>
  </si>
  <si>
    <t>AAQkADdkNThjNzFkLWM0ZmMtNDJhYS04MDVlLTIwNzE4ZDI1Mzg4YgAQAAez1Iq0qdtLmS33T9NL7I0=</t>
  </si>
  <si>
    <t>RE: SUTRAN || SCTR SALUD 7022600006428 | ASEG. JOSE LUIS YUCRA DNI 45345053 | MEDICAMENTOS NO ENTREGADOS | ATENCION 22.09</t>
  </si>
  <si>
    <t>Alexandra Córdova Y</t>
  </si>
  <si>
    <t>Solicitante: mobregon@sifuentesolaechea.com.pe | Hilo con 4 mensaje(s) citado(s); correo original de: MARIA LUCERO OBREGON RAMOS &lt;mobregon@sifuentesolaechea.com.pe&gt;</t>
  </si>
  <si>
    <t>AAQkADdkNThjNzFkLWM0ZmMtNDJhYS04MDVlLTIwNzE4ZDI1Mzg4YgAQAAl41asTPrZJs4KsL6YPKYk=-20261014112925</t>
  </si>
  <si>
    <t>AAQkADdkNThjNzFkLWM0ZmMtNDJhYS04MDVlLTIwNzE4ZDI1Mzg4YgAQAAl41asTPrZJs4KsL6YPKYk=</t>
  </si>
  <si>
    <t>RE: ACTIVACIÓN DE COBERTURA SCTR | AS. PORTAL LORETO SALVADOR FRANCISCO CEX 002713011</t>
  </si>
  <si>
    <t>kmarcee@mapfre.com.pe</t>
  </si>
  <si>
    <t>Marco Gómez</t>
  </si>
  <si>
    <t>Solicitante: mgomez@blcorredoresdeseguros.com | Hilo con 1 mensaje(s) citado(s); correo original de: Marco Gomez &lt;mgomez@blcorredoresdeseguros.com&gt;</t>
  </si>
  <si>
    <t>AAQkADdkNThjNzFkLWM0ZmMtNDJhYS04MDVlLTIwNzE4ZDI1Mzg4YgAQAHRQ7zN0jAtDvJonAiP9Z9g=-20261014113816</t>
  </si>
  <si>
    <t>AAQkADdkNThjNzFkLWM0ZmMtNDJhYS04MDVlLTIwNzE4ZDI1Mzg4YgAQAHRQ7zN0jAtDvJonAiP9Z9g=</t>
  </si>
  <si>
    <t>Respuesta automática: HUARON - MAPFRE SCTR SALUD - YERSON JHONEL ÑAHUI WUISPE  - ORDEN DE PRÓTESIS</t>
  </si>
  <si>
    <t>flor_gamboa@ajg.com</t>
  </si>
  <si>
    <t>Solicitante: aromero@mapfre.com.pe</t>
  </si>
  <si>
    <t>AAQkADdkNThjNzFkLWM0ZmMtNDJhYS04MDVlLTIwNzE4ZDI1Mzg4YgAQAHkUnG7w7l1FmPpDHiG-RMc=-20261014114302</t>
  </si>
  <si>
    <t>AAQkADdkNThjNzFkLWM0ZmMtNDJhYS04MDVlLTIwNzE4ZDI1Mzg4YgAQAHkUnG7w7l1FmPpDHiG-RMc=</t>
  </si>
  <si>
    <t>RE: SUTRAN - POLIZA SCTR: ASEGURADO YUCRA QUICAÑO JOSE LUIS &gt;&gt; REEMBOLSO PROCEDIMIENTO LASER CO2</t>
  </si>
  <si>
    <t>mobregon@sifuentesolaechea.com.pe</t>
  </si>
  <si>
    <t>Solicitante: mobregon@sifuentesolaechea.com.pe | Hilo con 6 mensaje(s) citado(s); correo original de: Diana Espinoza &lt;despinoza@sifuentesolaechea.com.pe&gt;</t>
  </si>
  <si>
    <t>AAQkADdkNThjNzFkLWM0ZmMtNDJhYS04MDVlLTIwNzE4ZDI1Mzg4YgAQACiOxh2RIeRImDOLRbOT260=-20261014114252</t>
  </si>
  <si>
    <t>AAQkADdkNThjNzFkLWM0ZmMtNDJhYS04MDVlLTIwNzE4ZDI1Mzg4YgAQACiOxh2RIeRImDOLRbOT260=</t>
  </si>
  <si>
    <t>Seguimiento de salud - Varillas Cierto, Cesar Walabonzo- Eficacia Perú</t>
  </si>
  <si>
    <t>riesgos.humanos4@arias.com.pe</t>
  </si>
  <si>
    <t>Solicitante: riesgos.humanos4@arias.com.pe</t>
  </si>
  <si>
    <t>AAQkADdkNThjNzFkLWM0ZmMtNDJhYS04MDVlLTIwNzE4ZDI1Mzg4YgAQAKtpEfnG3k8aqwF8aUCClyM=-20261014114403</t>
  </si>
  <si>
    <t>AAQkADdkNThjNzFkLWM0ZmMtNDJhYS04MDVlLTIwNzE4ZDI1Mzg4YgAQAKtpEfnG3k8aqwF8aUCClyM=</t>
  </si>
  <si>
    <t>CONSULTA DE ATENCION SCTR SALUD - ASEG ALEXIS KEVIN SANCHEZ ESPINOZA - SRES SHALOM EMPRESARIAL SAC</t>
  </si>
  <si>
    <t>Solicitante: jcastaneda@accionseguros.net</t>
  </si>
  <si>
    <t>AAQkADdkNThjNzFkLWM0ZmMtNDJhYS04MDVlLTIwNzE4ZDI1Mzg4YgAQAHuX3U1Z0u9Mg94rgXMLoiE=-20261014114726</t>
  </si>
  <si>
    <t>AAQkADdkNThjNzFkLWM0ZmMtNDJhYS04MDVlLTIwNzE4ZDI1Mzg4YgAQAHuX3U1Z0u9Mg94rgXMLoiE=</t>
  </si>
  <si>
    <t>RE: COBERTURA DE INSUMO ASEG. JOSE DAVID FLORES ONOFRE - PRODUCTOS PARAISO DEL PERU</t>
  </si>
  <si>
    <t>Solicitante: cypila1@mapfre.com.pe | Hilo con 1 mensaje(s) citado(s); correo original de: Liliana Chacon Soto &lt;lchacon@gabel.com.pe&gt; | Llegó con el hilo ya respondido</t>
  </si>
  <si>
    <t>AAQkADdkNThjNzFkLWM0ZmMtNDJhYS04MDVlLTIwNzE4ZDI1Mzg4YgAQANFVzywTV02QnLrWMLs850s=-20261014114940</t>
  </si>
  <si>
    <t>AAQkADdkNThjNzFkLWM0ZmMtNDJhYS04MDVlLTIwNzE4ZDI1Mzg4YgAQANFVzywTV02QnLrWMLs850s=</t>
  </si>
  <si>
    <t>RE: SCTR : Consulta cobertura - Efectos FENOMENO DEL NIÑO</t>
  </si>
  <si>
    <t>jsplav1@mapfre.com.pe</t>
  </si>
  <si>
    <t>Jessica Lavanda</t>
  </si>
  <si>
    <t>Solicitante: jsplav1@mapfre.com.pe | Hilo con 1 mensaje(s) citado(s); correo original de: Garcia, William &lt;William.Garcia@marsh.com&gt; | Llegó con el hilo ya respondido</t>
  </si>
  <si>
    <t>AAQkADdkNThjNzFkLWM0ZmMtNDJhYS04MDVlLTIwNzE4ZDI1Mzg4YgAQANFVzywTV02QnLrWMLs850s=-20261014115025</t>
  </si>
  <si>
    <t>Solicitante: jsplav1@mapfre.com.pe | Nuevo mensaje en una conversación ya finalizada</t>
  </si>
  <si>
    <t>AAQkADdkNThjNzFkLWM0ZmMtNDJhYS04MDVlLTIwNzE4ZDI1Mzg4YgAQAHWOV-Pl7JNPh4nQFMfyNks=-20261014115544</t>
  </si>
  <si>
    <t>AAQkADdkNThjNzFkLWM0ZmMtNDJhYS04MDVlLTIwNzE4ZDI1Mzg4YgAQAHWOV-Pl7JNPh4nQFMfyNks=</t>
  </si>
  <si>
    <t>SOLICITUD DE PROTESIS TRABAJADOR EMPRESA SAN DIEGO</t>
  </si>
  <si>
    <t>dibarce@mapfre.com.pe</t>
  </si>
  <si>
    <t>Solicitante: dibarce@mapfre.com.pe</t>
  </si>
  <si>
    <t>AAQkADdkNThjNzFkLWM0ZmMtNDJhYS04MDVlLTIwNzE4ZDI1Mzg4YgAQAEV1MieBe0Wvroz_9cqOHs4=-20261014115545</t>
  </si>
  <si>
    <t>AAQkADdkNThjNzFkLWM0ZmMtNDJhYS04MDVlLTIwNzE4ZDI1Mzg4YgAQAI9J_udwUOxAmW8FPQuP2nE=-20261014115609</t>
  </si>
  <si>
    <t>AAQkADdkNThjNzFkLWM0ZmMtNDJhYS04MDVlLTIwNzE4ZDI1Mzg4YgAQAI9J_udwUOxAmW8FPQuP2nE=</t>
  </si>
  <si>
    <t>RE: SUBSANAR OBSERVACION DE CG - ACCIDENTE SCTR - ASG PAMPA ARI KARINA ROCIO -  TRANSPORTES CRUZ DEL SUR</t>
  </si>
  <si>
    <t>rosario.rodas@howdengroup.com</t>
  </si>
  <si>
    <t>Solicitante: rosario.rodas@howdengroup.com | Hilo con 8 mensaje(s) citado(s); correo original de: Johanna Garcia &lt;johanna.garciaS@howdengroup.com&gt;</t>
  </si>
  <si>
    <t>AAQkADdkNThjNzFkLWM0ZmMtNDJhYS04MDVlLTIwNzE4ZDI1Mzg4YgAQACbUozfmgZ1Ioeq6f_3xRaI=-20261014120123</t>
  </si>
  <si>
    <t>AAQkADdkNThjNzFkLWM0ZmMtNDJhYS04MDVlLTIwNzE4ZDI1Mzg4YgAQACbUozfmgZ1Ioeq6f_3xRaI=</t>
  </si>
  <si>
    <t>MATERIAL ORTOPEDICO CABESTRILLO // PX BRAVO TORRES CESAR NICK // MAPFRE SCTR</t>
  </si>
  <si>
    <t>rroja@sanpablo.com.pe</t>
  </si>
  <si>
    <t>Solicitante: rroja@sanpablo.com.pe</t>
  </si>
  <si>
    <t>AAQkADdkNThjNzFkLWM0ZmMtNDJhYS04MDVlLTIwNzE4ZDI1Mzg4YgAQAOvHlJQx_vtGhqjGiMveI2g=-20261014120014</t>
  </si>
  <si>
    <t>AAQkADdkNThjNzFkLWM0ZmMtNDJhYS04MDVlLTIwNzE4ZDI1Mzg4YgAQAOvHlJQx_vtGhqjGiMveI2g=</t>
  </si>
  <si>
    <t>Re: ACTIVACIÓN SCTR - CONTRATANTE: GEODESIA PERUANA SAC - ASEGURADO: VASQUEZ CACHAY PERCY JULHINIO</t>
  </si>
  <si>
    <t>evelynreano@tas.pe</t>
  </si>
  <si>
    <t>Solicitante: evelynreano@tas.pe</t>
  </si>
  <si>
    <t>AAQkADdkNThjNzFkLWM0ZmMtNDJhYS04MDVlLTIwNzE4ZDI1Mzg4YgAQACkJgn_UwtVOuZeX-Oid8es=-20261014121831</t>
  </si>
  <si>
    <t>AAQkADdkNThjNzFkLWM0ZmMtNDJhYS04MDVlLTIwNzE4ZDI1Mzg4YgAQACkJgn_UwtVOuZeX-Oid8es=</t>
  </si>
  <si>
    <t>SOLICITUD DE PASE PARA TRABAJADOR DE LA EMPRESA JAGUAR ECOSYSTEM</t>
  </si>
  <si>
    <t>AAQkADdkNThjNzFkLWM0ZmMtNDJhYS04MDVlLTIwNzE4ZDI1Mzg4YgAQAKq89i0b0g5AmYDsE_nJldQ=-20261014122211</t>
  </si>
  <si>
    <t>AAQkADdkNThjNzFkLWM0ZmMtNDJhYS04MDVlLTIwNzE4ZDI1Mzg4YgAQAKq89i0b0g5AmYDsE_nJldQ=</t>
  </si>
  <si>
    <t>INGREO AL POWER</t>
  </si>
  <si>
    <t>AAQkADdkNThjNzFkLWM0ZmMtNDJhYS04MDVlLTIwNzE4ZDI1Mzg4YgAQAOjMWBen3v1AnPV8J04RUso=-20261014122348</t>
  </si>
  <si>
    <t>AAQkADdkNThjNzFkLWM0ZmMtNDJhYS04MDVlLTIwNzE4ZDI1Mzg4YgAQAOjMWBen3v1AnPV8J04RUso=</t>
  </si>
  <si>
    <t xml:space="preserve">RE: COSTA DEL SOL: PASE DE ATENCION / SCTR SALUD / CLINICA BELLAVISTA / ASEGURADA: Valeria Priscilla Ruiz Huaranca </t>
  </si>
  <si>
    <t>Solicitante: kmateo@asisteseguros.pe | Hilo con 6 mensaje(s) citado(s); correo original de: Karyn Mateo &lt;kmateo@asisteseguros.pe&gt;</t>
  </si>
  <si>
    <t>AAQkADdkNThjNzFkLWM0ZmMtNDJhYS04MDVlLTIwNzE4ZDI1Mzg4YgAQAHUL3lsl5ORPuwIMqDM_rpA=-20261014122847</t>
  </si>
  <si>
    <t>AAQkADdkNThjNzFkLWM0ZmMtNDJhYS04MDVlLTIwNzE4ZDI1Mzg4YgAQAHUL3lsl5ORPuwIMqDM_rpA=</t>
  </si>
  <si>
    <t>RE: GoodYear - SCTR Salud - Accidente con Quemadura - C. San Gabriel</t>
  </si>
  <si>
    <t>Carmen Acosta C</t>
  </si>
  <si>
    <t>Solicitante: andrea.solismaraboli@marsh.com</t>
  </si>
  <si>
    <t>AAQkADdkNThjNzFkLWM0ZmMtNDJhYS04MDVlLTIwNzE4ZDI1Mzg4YgAQAAVWpVBjSUh6k7n-Bj-vb2U=-20261014123526</t>
  </si>
  <si>
    <t>AAQkADdkNThjNzFkLWM0ZmMtNDJhYS04MDVlLTIwNzE4ZDI1Mzg4YgAQAAVWpVBjSUh6k7n-Bj-vb2U=</t>
  </si>
  <si>
    <t>RE: CELIMA 2 | REVISION COBERTURA SCTR - ANA MONTENEGRO CARRION</t>
  </si>
  <si>
    <t>Solicitante: celima.peru@lockton.com | Hilo con 4 mensaje(s) citado(s); correo original de: Lockton Peru - Celima &lt;celima.peru@lockton.com&gt;</t>
  </si>
  <si>
    <t>AAQkADdkNThjNzFkLWM0ZmMtNDJhYS04MDVlLTIwNzE4ZDI1Mzg4YgAQAHAPxlFqcWFFnv6Rz8nnjRA=-20261014123639</t>
  </si>
  <si>
    <t>AAQkADdkNThjNzFkLWM0ZmMtNDJhYS04MDVlLTIwNzE4ZDI1Mzg4YgAQAHAPxlFqcWFFnv6Rz8nnjRA=</t>
  </si>
  <si>
    <t>REQUERIMIENTO DE INFORMACION ACCIDENTE OCURRIDO AL TRABAJADOR VASQUEZ BENITES FRED</t>
  </si>
  <si>
    <t>agarcia@linea24peru.com.pe</t>
  </si>
  <si>
    <t>Solicitante: agarcia@linea24peru.com.pe</t>
  </si>
  <si>
    <t>AAQkADdkNThjNzFkLWM0ZmMtNDJhYS04MDVlLTIwNzE4ZDI1Mzg4YgAQAJFxSfNv0stPjwHoHXni6eY=-20261014124216</t>
  </si>
  <si>
    <t>AAQkADdkNThjNzFkLWM0ZmMtNDJhYS04MDVlLTIwNzE4ZDI1Mzg4YgAQAJFxSfNv0stPjwHoHXni6eY=</t>
  </si>
  <si>
    <t>RV: TREBOL | REVISION DE CONTINUIDAD DE ATENCION SCTR - ABOLLANEDA TAIPE RONY ANIBAL</t>
  </si>
  <si>
    <t>Solicitante: celima.peru@lockton.com</t>
  </si>
  <si>
    <t>AAQkADdkNThjNzFkLWM0ZmMtNDJhYS04MDVlLTIwNzE4ZDI1Mzg4YgAQAI7hflHYazpEhoEjDWt5TNE=-20261014124734</t>
  </si>
  <si>
    <t>AAQkADdkNThjNzFkLWM0ZmMtNDJhYS04MDVlLTIwNzE4ZDI1Mzg4YgAQAI7hflHYazpEhoEjDWt5TNE=</t>
  </si>
  <si>
    <t>AAQkADdkNThjNzFkLWM0ZmMtNDJhYS04MDVlLTIwNzE4ZDI1Mzg4YgAQALTeVOyp1ahOhiKGTzU2m5A=-20261014124835</t>
  </si>
  <si>
    <t>AAQkADdkNThjNzFkLWM0ZmMtNDJhYS04MDVlLTIwNzE4ZDI1Mzg4YgAQALTeVOyp1ahOhiKGTzU2m5A=</t>
  </si>
  <si>
    <t>AAQkADdkNThjNzFkLWM0ZmMtNDJhYS04MDVlLTIwNzE4ZDI1Mzg4YgAQAAdYpkB5WWVLrAmnDukb_dg=-20261014125054</t>
  </si>
  <si>
    <t>AAQkADdkNThjNzFkLWM0ZmMtNDJhYS04MDVlLTIwNzE4ZDI1Mzg4YgAQAAdYpkB5WWVLrAmnDukb_dg=</t>
  </si>
  <si>
    <t>Fw: Solicitud de formatos SCTR de atención médica</t>
  </si>
  <si>
    <t>aabuhadba@mapfre.com.pe</t>
  </si>
  <si>
    <t>Solicitante: aabuhadba@mapfre.com.pe | Hilo con 1 mensaje(s) citado(s); correo original de: TRAIMMSA RRHH &lt;traimmsarrhh@gmail.com&gt;</t>
  </si>
  <si>
    <t>AAQkADdkNThjNzFkLWM0ZmMtNDJhYS04MDVlLTIwNzE4ZDI1Mzg4YgAQAMF9NAkqGkUGk-ZU7UmRmIc=-20261014125213</t>
  </si>
  <si>
    <t>AAQkADdkNThjNzFkLWM0ZmMtNDJhYS04MDVlLTIwNzE4ZDI1Mzg4YgAQAMF9NAkqGkUGk-ZU7UmRmIc=</t>
  </si>
  <si>
    <t>GARANTIA - RAMOS G</t>
  </si>
  <si>
    <t>mmontoya@clinica-sanbernardo.com</t>
  </si>
  <si>
    <t>Solicitante: mmontoya@clinica-sanbernardo.com</t>
  </si>
  <si>
    <t>AAQkADdkNThjNzFkLWM0ZmMtNDJhYS04MDVlLTIwNzE4ZDI1Mzg4YgAQAE0BlT6FNkR8sB2lHOtTGbs=-20261014125151</t>
  </si>
  <si>
    <t>AAQkADdkNThjNzFkLWM0ZmMtNDJhYS04MDVlLTIwNzE4ZDI1Mzg4YgAQAE0BlT6FNkR8sB2lHOtTGbs=</t>
  </si>
  <si>
    <t>Re: DERIVAR ORDEN PACTE. CASANA VILCA , ERICA ESTER / MAPFRE SCTR</t>
  </si>
  <si>
    <t>cmcami1@mapfre.com.pe</t>
  </si>
  <si>
    <t>Camila Cisneros Mantilla</t>
  </si>
  <si>
    <t>Solicitante: cmcami1@mapfre.com.pe | Hilo con 1 mensaje(s) citado(s); correo original de: Supervisora de Convenio - Surco &lt;admconv_sup_surco@clubdelasalud.pe&gt; | Llegó con el hilo ya respondido</t>
  </si>
  <si>
    <t>AAQkADdkNThjNzFkLWM0ZmMtNDJhYS04MDVlLTIwNzE4ZDI1Mzg4YgAQAJxapqZDCW1Pj7xY01Bz7ZQ=-20261014125516</t>
  </si>
  <si>
    <t>AAQkADdkNThjNzFkLWM0ZmMtNDJhYS04MDVlLTIwNzE4ZDI1Mzg4YgAQAJxapqZDCW1Pj7xY01Bz7ZQ=</t>
  </si>
  <si>
    <t>Re: Re:</t>
  </si>
  <si>
    <t>juancarlosdurandgomez@gmail.com</t>
  </si>
  <si>
    <t>Solicitante: juancarlosdurandgomez@gmail.com | Hilo con 1 mensaje(s) citado(s); correo original de: Juan Carlos Durand Gomez &lt;juancarlosdurandgomez@gmail.com&gt;</t>
  </si>
  <si>
    <t>AAQkADdkNThjNzFkLWM0ZmMtNDJhYS04MDVlLTIwNzE4ZDI1Mzg4YgAQADfMp533ZMtMs4VW-o4YLz4=-20261014125527</t>
  </si>
  <si>
    <t>AAQkADdkNThjNzFkLWM0ZmMtNDJhYS04MDVlLTIwNzE4ZDI1Mzg4YgAQADfMp533ZMtMs4VW-o4YLz4=</t>
  </si>
  <si>
    <t>RE: SOLICITO REVISIÓN  Y EVALUACION  DE RECHAZO -  ASEG. CHERO ALARCON LUZ ANGELICA</t>
  </si>
  <si>
    <t>Solicitante: amriva1@mapfre.com.pe | Hilo con 3 mensaje(s) citado(s); correo original de: Rivas Cobeñas, Ana Maria &lt;AMRIVA1@mapfre.com.pe&gt;</t>
  </si>
  <si>
    <t>AAQkADdkNThjNzFkLWM0ZmMtNDJhYS04MDVlLTIwNzE4ZDI1Mzg4YgAQADGdDgduEkm6l_4p2MNCZ6s=-20261014130354</t>
  </si>
  <si>
    <t>AAQkADdkNThjNzFkLWM0ZmMtNDJhYS04MDVlLTIwNzE4ZDI1Mzg4YgAQADGdDgduEkm6l_4p2MNCZ6s=</t>
  </si>
  <si>
    <t>REPORTE DE ACCIDENTE DE TRABAJO CON ACTIVACIÓN DE SOAT _ DANIEL PETER DEJO TORIBIO _ DNI 40883242 _ COBRA PERU S.A. _ RUC 20253881438</t>
  </si>
  <si>
    <t>jyzquierdo@gabel.com.pe</t>
  </si>
  <si>
    <t>Solicitante: jyzquierdo@gabel.com.pe</t>
  </si>
  <si>
    <t>AAQkADdkNThjNzFkLWM0ZmMtNDJhYS04MDVlLTIwNzE4ZDI1Mzg4YgAQAEQ6XToCu0r9pUuAEqE3D6s=-20261014130741</t>
  </si>
  <si>
    <t>AAQkADdkNThjNzFkLWM0ZmMtNDJhYS04MDVlLTIwNzE4ZDI1Mzg4YgAQAEQ6XToCu0r9pUuAEqE3D6s=</t>
  </si>
  <si>
    <t xml:space="preserve">RE: TRANSAGUI CORP  : ACTIVACION POLIZA SCTR | TT. LOPEZ AYALA CEFERINO SEGUNDO  | MAPFRE SEGUROS </t>
  </si>
  <si>
    <t>sheylan@mapfre.com.pe</t>
  </si>
  <si>
    <t>Solicitante: sheylan@mapfre.com.pe | Hilo con 11 mensaje(s) citado(s); correo original de: recursoshumanos@transagui.com &lt;recursoshumanos@transagui.com&gt; | Llegó con el hilo ya respondido</t>
  </si>
  <si>
    <t>AAQkADdkNThjNzFkLWM0ZmMtNDJhYS04MDVlLTIwNzE4ZDI1Mzg4YgAQAD--_ocADrRBsVSBX02o3eA=-20261014130950</t>
  </si>
  <si>
    <t>AAQkADdkNThjNzFkLWM0ZmMtNDJhYS04MDVlLTIwNzE4ZDI1Mzg4YgAQAD--_ocADrRBsVSBX02o3eA=</t>
  </si>
  <si>
    <t>PCTE. CABALLERO MEDINA ADAN*******RMN MUÑECA DERECHA*******MAPFRE SCTR</t>
  </si>
  <si>
    <t>Solicitante: tramitestomomedicjn@sanpablo.com.pe</t>
  </si>
  <si>
    <t>AAQkADdkNThjNzFkLWM0ZmMtNDJhYS04MDVlLTIwNzE4ZDI1Mzg4YgAQAJcXcCYiSgVBnoJEWxHJa0s=-20261014131216</t>
  </si>
  <si>
    <t>RE: SOLICITO APOYO PARA OBTENCIÓN  DE FERULA  -PCTE. BERRIOS TAUCCAYA PASCUAL DAVID</t>
  </si>
  <si>
    <t>Solicitante: cgarantias@santafeortopedia.com | Nuevo mensaje en una conversación ya finalizada</t>
  </si>
  <si>
    <t>AAQkADdkNThjNzFkLWM0ZmMtNDJhYS04MDVlLTIwNzE4ZDI1Mzg4YgAQAOp7m4bpzMtJv7URPXzcLnc=-20261014131320</t>
  </si>
  <si>
    <t>AAQkADdkNThjNzFkLWM0ZmMtNDJhYS04MDVlLTIwNzE4ZDI1Mzg4YgAQAOp7m4bpzMtJv7URPXzcLnc=</t>
  </si>
  <si>
    <t>RV: ATENCION MEDICA - YONEL PEREZ</t>
  </si>
  <si>
    <t>Solicitante: dbacaa@mapfre.com.pe | Hilo con 6 mensaje(s) citado(s); correo original de: Baca Aranguri, Diana Flor &lt;dbacaa@mapfre.com.pe&gt;</t>
  </si>
  <si>
    <t>AAQkADdkNThjNzFkLWM0ZmMtNDJhYS04MDVlLTIwNzE4ZDI1Mzg4YgAQAAk9S04QbchGjXiJ4VceNNw=-20261014131855</t>
  </si>
  <si>
    <t>AAQkADdkNThjNzFkLWM0ZmMtNDJhYS04MDVlLTIwNzE4ZDI1Mzg4YgAQAAk9S04QbchGjXiJ4VceNNw=</t>
  </si>
  <si>
    <t>RE: INDECO - MAPFRE SCTR SALUD - ASEG. ZAVALETA PAZOS CARLOS - CAMBIO DE CLÍNICA POR MFR.</t>
  </si>
  <si>
    <t>gonzalo_ciudad@ajg.com</t>
  </si>
  <si>
    <t>Solicitante: gonzalo_ciudad@ajg.com | Hilo con 8 mensaje(s) citado(s); correo original de: Carola Elmore</t>
  </si>
  <si>
    <t>AAQkADdkNThjNzFkLWM0ZmMtNDJhYS04MDVlLTIwNzE4ZDI1Mzg4YgAQAEHoKZNfnmpIoBrH0Qtr6Mk=-20261014132126</t>
  </si>
  <si>
    <t>AAQkADdkNThjNzFkLWM0ZmMtNDJhYS04MDVlLTIwNzE4ZDI1Mzg4YgAQAEHoKZNfnmpIoBrH0Qtr6Mk=</t>
  </si>
  <si>
    <t>CG 1160304 | ASEG: BLAZ RUEDA FERMIN HOAQUIN | SCTR</t>
  </si>
  <si>
    <t>Solicitante: cmcami1@mapfre.com.pe</t>
  </si>
  <si>
    <t>AAQkADdkNThjNzFkLWM0ZmMtNDJhYS04MDVlLTIwNzE4ZDI1Mzg4YgAQAHUL3lsl5ORPuwIMqDM_rpA=-20261014132053</t>
  </si>
  <si>
    <t>veronica.trigueros@marsh.com</t>
  </si>
  <si>
    <t>Solicitante: veronica.trigueros@marsh.com | Nuevo mensaje en una conversación ya finalizada</t>
  </si>
  <si>
    <t>AAQkADdkNThjNzFkLWM0ZmMtNDJhYS04MDVlLTIwNzE4ZDI1Mzg4YgAQAH5Axz8ME0O_rV2NplepD00=-20261014132543</t>
  </si>
  <si>
    <t>AAQkADdkNThjNzFkLWM0ZmMtNDJhYS04MDVlLTIwNzE4ZDI1Mzg4YgAQAH5Axz8ME0O_rV2NplepD00=</t>
  </si>
  <si>
    <t>RE: ****URGENTE**** SCTR / ATENCION / MARSELLA INMOBILIARIA SAC RUC 20610744801 / ASEGURADO  CASTILLO BRAMON EDUARDO  DNI 09613743</t>
  </si>
  <si>
    <t>itantaruna@becerrabrokers.com</t>
  </si>
  <si>
    <t>Solicitante: itantaruna@becerrabrokers.com | Hilo con 10 mensaje(s) citado(s); correo original de: Bendezu Quispe, Sandy Yesenia &lt;EXTSYBQ@mapfre.com.pe&gt;</t>
  </si>
  <si>
    <t>AAQkADdkNThjNzFkLWM0ZmMtNDJhYS04MDVlLTIwNzE4ZDI1Mzg4YgAQAKayqpm4VSpBgAD3OG3Kc4s=-20261014133754</t>
  </si>
  <si>
    <t>AAQkADdkNThjNzFkLWM0ZmMtNDJhYS04MDVlLTIwNzE4ZDI1Mzg4YgAQAKayqpm4VSpBgAD3OG3Kc4s=</t>
  </si>
  <si>
    <t>RE: SOLICITUD DE CG SCTR SEDE SAN BORJA // PTE. CARDENAS BALBIN JUAN // CIRUGÍA AMBULATORIA</t>
  </si>
  <si>
    <t>Solicitante: misalce@mapfre.com.pe | Hilo con 1 mensaje(s) citado(s); correo original de: SCTRSalud &lt;sctrsalud@mapfre.com.pe&gt; | Llegó con el hilo ya respondido</t>
  </si>
  <si>
    <t>AAQkADdkNThjNzFkLWM0ZmMtNDJhYS04MDVlLTIwNzE4ZDI1Mzg4YgAQALInJrd15S5CsA4qiTngM3A=-20261014134426</t>
  </si>
  <si>
    <t>AAQkADdkNThjNzFkLWM0ZmMtNDJhYS04MDVlLTIwNzE4ZDI1Mzg4YgAQALInJrd15S5CsA4qiTngM3A=</t>
  </si>
  <si>
    <t>RV: TKT_HC_80041 - EN TRAMITE - ACTIVACION SCTR POR ACCIDENTE DE TRABAJO // APU LLALLAWA</t>
  </si>
  <si>
    <t>reembolsos.peru@aon.com</t>
  </si>
  <si>
    <t>Solicitante: reembolsos.peru@aon.com | Hilo con 4 mensaje(s) citado(s); correo original de: Asistente Social &lt;asistente.social@apullallawa.pe&gt;</t>
  </si>
  <si>
    <t>AAQkADdkNThjNzFkLWM0ZmMtNDJhYS04MDVlLTIwNzE4ZDI1Mzg4YgAQADqQ1EblA0zEhYbgYAJHB6s=-20261014135512</t>
  </si>
  <si>
    <t>AAQkADdkNThjNzFkLWM0ZmMtNDJhYS04MDVlLTIwNzE4ZDI1Mzg4YgAQADqQ1EblA0zEhYbgYAJHB6s=</t>
  </si>
  <si>
    <t xml:space="preserve">RE: KURESA - SCTR - HUILLCA OCHOA SALVADOR </t>
  </si>
  <si>
    <t>Solicitante: cmcami1@mapfre.com.pe | Hilo con 6 mensaje(s) citado(s); correo original de: Arriaga, Yizza &lt;Yizza.Arriaga@marsh.com&gt; | Llegó con el hilo ya respondido</t>
  </si>
  <si>
    <t>AAQkADdkNThjNzFkLWM0ZmMtNDJhYS04MDVlLTIwNzE4ZDI1Mzg4YgAQACDqyEyyhx5AjuWCr9chGqg=-20261014135526</t>
  </si>
  <si>
    <t>AAQkADdkNThjNzFkLWM0ZmMtNDJhYS04MDVlLTIwNzE4ZDI1Mzg4YgAQACDqyEyyhx5AjuWCr9chGqg=</t>
  </si>
  <si>
    <t>RE: SINIESTRO ASEG. ROCA ARGOTE, RENE BENJAMÍN - CONSORCIO SAN MIGUEL</t>
  </si>
  <si>
    <t>Solicitante: jyzquierdo@gabel.com.pe | Hilo con 9 mensaje(s) citado(s); correo original de: Liliana Chacon Soto &lt;lchacon@gabel.com.pe&gt;</t>
  </si>
  <si>
    <t>AAQkADdkNThjNzFkLWM0ZmMtNDJhYS04MDVlLTIwNzE4ZDI1Mzg4YgAQAMBTdbjYN0BLotqWCIwntw4=-20261014140406</t>
  </si>
  <si>
    <t>AAQkADdkNThjNzFkLWM0ZmMtNDJhYS04MDVlLTIwNzE4ZDI1Mzg4YgAQAMBTdbjYN0BLotqWCIwntw4=</t>
  </si>
  <si>
    <t>WURT - URGENTE NUEVAS PÓLIZAS.</t>
  </si>
  <si>
    <t>martin.villavicencio@marsh.com</t>
  </si>
  <si>
    <t>Solicitante: martin.villavicencio@marsh.com</t>
  </si>
  <si>
    <t>AAQkADdkNThjNzFkLWM0ZmMtNDJhYS04MDVlLTIwNzE4ZDI1Mzg4YgAQANt7PoMsk5hHvJkzTQKB04o=-20261014140432</t>
  </si>
  <si>
    <t>AAQkADdkNThjNzFkLWM0ZmMtNDJhYS04MDVlLTIwNzE4ZDI1Mzg4YgAQANt7PoMsk5hHvJkzTQKB04o=</t>
  </si>
  <si>
    <t xml:space="preserve">RE: ACTIVACION DE POLIZA // SEANCAS AQUIÑO ROSA FRANCESA // MAPFRE SCTR </t>
  </si>
  <si>
    <t>Solicitante: lkcald1@mapfre.com.pe | Hilo con 8 mensaje(s) citado(s); correo original de: Patricia del Carmen San Martin Castillo &lt;psanmartin@cinternacional.com.pe&gt; | Llegó con el hilo ya respondido</t>
  </si>
  <si>
    <t>AAQkADdkNThjNzFkLWM0ZmMtNDJhYS04MDVlLTIwNzE4ZDI1Mzg4YgAQANQD2As5pHVJlD7VjvMqW1Y=-20261014141131</t>
  </si>
  <si>
    <t>AAQkADdkNThjNzFkLWM0ZmMtNDJhYS04MDVlLTIwNzE4ZDI1Mzg4YgAQANQD2As5pHVJlD7VjvMqW1Y=</t>
  </si>
  <si>
    <t>Liquidaciones facturados atenciones SCTR-centro Emasalud-Iquitos-Ruc 20607709221</t>
  </si>
  <si>
    <t>facturacion@clinicaespecializadaemanuel.com</t>
  </si>
  <si>
    <t>Solicitante: facturacion@clinicaespecializadaemanuel.com</t>
  </si>
  <si>
    <t>AAQkADdkNThjNzFkLWM0ZmMtNDJhYS04MDVlLTIwNzE4ZDI1Mzg4YgAQANygp6evXU3kgcjhbd-ivDg=-20261014142117</t>
  </si>
  <si>
    <t>AAQkADdkNThjNzFkLWM0ZmMtNDJhYS04MDVlLTIwNzE4ZDI1Mzg4YgAQANygp6evXU3kgcjhbd-ivDg=</t>
  </si>
  <si>
    <t>STATUS CG // ASEGURADO LEIVA NATIVIDAD MARIO VICTOR // HAUG</t>
  </si>
  <si>
    <t>Solicitante: luis.suarez1@aon.com</t>
  </si>
  <si>
    <t>AAQkADdkNThjNzFkLWM0ZmMtNDJhYS04MDVlLTIwNzE4ZDI1Mzg4YgAQAIbFAwUhm5RPs0c9SVs6YZE=-20261014142402</t>
  </si>
  <si>
    <t>AAQkADdkNThjNzFkLWM0ZmMtNDJhYS04MDVlLTIwNzE4ZDI1Mzg4YgAQAIbFAwUhm5RPs0c9SVs6YZE=</t>
  </si>
  <si>
    <t>REPORTE PRELIMINAR - CANAZA ARANDA JHORDIN LENIN</t>
  </si>
  <si>
    <t>cdiaz@linea24peru.com.pe</t>
  </si>
  <si>
    <t>Solicitante: cdiaz@linea24peru.com.pe</t>
  </si>
  <si>
    <t>AAQkADdkNThjNzFkLWM0ZmMtNDJhYS04MDVlLTIwNzE4ZDI1Mzg4YgAQADqQ1EblA0zEhYbgYAJHB6s=-20261014142816</t>
  </si>
  <si>
    <t xml:space="preserve">KURESA - SCTR - HUILLCA OCHOA SALVADOR </t>
  </si>
  <si>
    <t>yizza.arriaga@marsh.com</t>
  </si>
  <si>
    <t>Solicitante: yizza.arriaga@marsh.com | Nuevo mensaje en una conversación ya finalizada</t>
  </si>
  <si>
    <t>AAQkADdkNThjNzFkLWM0ZmMtNDJhYS04MDVlLTIwNzE4ZDI1Mzg4YgAQAHQWYFQZ_0kfnuhsTw_VB98=-20261014143128</t>
  </si>
  <si>
    <t>AAQkADdkNThjNzFkLWM0ZmMtNDJhYS04MDVlLTIwNzE4ZDI1Mzg4YgAQAHQWYFQZ_0kfnuhsTw_VB98=</t>
  </si>
  <si>
    <t>RE: SIMA PERU // RECHAZO DE TERAPIA FÍSICA - CASO DIEGO RAMIREZ RIOS</t>
  </si>
  <si>
    <t>carolina.acuna@marsh.com</t>
  </si>
  <si>
    <t>Solicitante: silvia.siu@marsh.com | Hilo con 7 mensaje(s) citado(s); correo original de: Siu, Silvia &lt;silvia.siu@marsh.com&gt;</t>
  </si>
  <si>
    <t>AAQkADdkNThjNzFkLWM0ZmMtNDJhYS04MDVlLTIwNzE4ZDI1Mzg4YgAQANn4NOox4IhKhq9bXMEeExw=-20261014143708</t>
  </si>
  <si>
    <t>AAQkADdkNThjNzFkLWM0ZmMtNDJhYS04MDVlLTIwNzE4ZDI1Mzg4YgAQANn4NOox4IhKhq9bXMEeExw=</t>
  </si>
  <si>
    <t>URGENTE ACTIVACION PACIENTE SCTR EN WEB OIM // PCTE : URBINA NIEVES MARCOS ALEXIS // CE.008110616</t>
  </si>
  <si>
    <t>aprincipe@sanpablo.com.pe</t>
  </si>
  <si>
    <t>Solicitante: aprincipe@sanpablo.com.pe</t>
  </si>
  <si>
    <t>AAQkADdkNThjNzFkLWM0ZmMtNDJhYS04MDVlLTIwNzE4ZDI1Mzg4YgAQANAF9MxTZh1Gj-w22eZecEg=-20261014144806</t>
  </si>
  <si>
    <t>AAQkADdkNThjNzFkLWM0ZmMtNDJhYS04MDVlLTIwNzE4ZDI1Mzg4YgAQANAF9MxTZh1Gj-w22eZecEg=</t>
  </si>
  <si>
    <t>RV: REEMBOLSO GASTOS MEDICOS SCTR POLIZA 7022600130782 - DOVAS INGENIERIA E.I.R.L.</t>
  </si>
  <si>
    <t>afloresr@mapfre.com.pe</t>
  </si>
  <si>
    <t>Solicitante: afloresr@mapfre.com.pe | Hilo con 3 mensaje(s) citado(s); correo original de: Flores Reategui, Angela Maria &lt;afloresr@mapfre.com.pe&gt;</t>
  </si>
  <si>
    <t>AAQkADdkNThjNzFkLWM0ZmMtNDJhYS04MDVlLTIwNzE4ZDI1Mzg4YgAQADaQaxs5yExIilAn1h2a4KE=-20261014145301</t>
  </si>
  <si>
    <t>AAQkADdkNThjNzFkLWM0ZmMtNDJhYS04MDVlLTIwNzE4ZDI1Mzg4YgAQADaQaxs5yExIilAn1h2a4KE=</t>
  </si>
  <si>
    <t>FB3ADC0 // (INCUMPLIMIENTO) INFORME DE INVESTIGACION - MONTESINOS MENDOZA ELMER</t>
  </si>
  <si>
    <t>ltejedo@linea24peru.com.pe</t>
  </si>
  <si>
    <t>Solicitante: ltejedo@linea24peru.com.pe</t>
  </si>
  <si>
    <t>AAQkADdkNThjNzFkLWM0ZmMtNDJhYS04MDVlLTIwNzE4ZDI1Mzg4YgAQAAx6jT1aRgNDlcvD-MFUuGg=-20261014145355</t>
  </si>
  <si>
    <t>AAQkADdkNThjNzFkLWM0ZmMtNDJhYS04MDVlLTIwNzE4ZDI1Mzg4YgAQAAx6jT1aRgNDlcvD-MFUuGg=</t>
  </si>
  <si>
    <t>Solicitud de información relacionada con el accidente laboral del trabajador CANAZA ARANDA, JHORDIN LENIN</t>
  </si>
  <si>
    <t>AAQkADdkNThjNzFkLWM0ZmMtNDJhYS04MDVlLTIwNzE4ZDI1Mzg4YgAQAOUkxh_7kiNJmiDB2S_Ve3w=-20261014150456</t>
  </si>
  <si>
    <t>AAQkADdkNThjNzFkLWM0ZmMtNDJhYS04MDVlLTIwNzE4ZDI1Mzg4YgAQAOUkxh_7kiNJmiDB2S_Ve3w=</t>
  </si>
  <si>
    <t>EVALUACION DE SINIESTRO ASEG. CHICLLA MENDOZA CHRISTIAN - SKECHERS</t>
  </si>
  <si>
    <t>Solicitante: wguevara@gabel.com.pe | Hilo con 5 mensaje(s) citado(s); correo original de: Liliana Chacon Soto &lt;lchacon@gabel.com.pe&gt;</t>
  </si>
  <si>
    <t>AAQkADdkNThjNzFkLWM0ZmMtNDJhYS04MDVlLTIwNzE4ZDI1Mzg4YgAQAKOgjo-E3XBHo3h9tMNS5mM=-20261014150959</t>
  </si>
  <si>
    <t>AAQkADdkNThjNzFkLWM0ZmMtNDJhYS04MDVlLTIwNzE4ZDI1Mzg4YgAQAKOgjo-E3XBHo3h9tMNS5mM=</t>
  </si>
  <si>
    <t xml:space="preserve">APOYO PAC. APAZA YANARICO JULIA </t>
  </si>
  <si>
    <t>extjnmp@mapfre.com.pe</t>
  </si>
  <si>
    <t>Solicitante: extjnmp@mapfre.com.pe</t>
  </si>
  <si>
    <t>AAQkADdkNThjNzFkLWM0ZmMtNDJhYS04MDVlLTIwNzE4ZDI1Mzg4YgAQAHZvQkw-YZZOhRmiZdJcuqI=-20261014151410</t>
  </si>
  <si>
    <t>AAQkADdkNThjNzFkLWM0ZmMtNDJhYS04MDVlLTIwNzE4ZDI1Mzg4YgAQAHZvQkw-YZZOhRmiZdJcuqI=</t>
  </si>
  <si>
    <t>PACIENTE RODRIGUEZ FREITE, PEDRO (MAPFRE SCTR)</t>
  </si>
  <si>
    <t>cartas_garantia@montefiori.com.pe</t>
  </si>
  <si>
    <t>Solicitante: cartas_garantia@montefiori.com.pe</t>
  </si>
  <si>
    <t>AAQkADdkNThjNzFkLWM0ZmMtNDJhYS04MDVlLTIwNzE4ZDI1Mzg4YgAQAKayqpm4VSpBgAD3OG3Kc4s=-20261014152856</t>
  </si>
  <si>
    <t>Solicitante: esilvera@cinternacional.com.pe | Nuevo mensaje en una conversación ya finalizada</t>
  </si>
  <si>
    <t>AAQkADdkNThjNzFkLWM0ZmMtNDJhYS04MDVlLTIwNzE4ZDI1Mzg4YgAQAJlO9DbXGVtNnRr9pVe7L-s=-20261014153108</t>
  </si>
  <si>
    <t>AAQkADdkNThjNzFkLWM0ZmMtNDJhYS04MDVlLTIwNzE4ZDI1Mzg4YgAQAJlO9DbXGVtNnRr9pVe7L-s=</t>
  </si>
  <si>
    <t>Solicitud de información relacionada con el accidente laboral del trabajador LEON VELA MANUEL ANGEL</t>
  </si>
  <si>
    <t>AAQkADdkNThjNzFkLWM0ZmMtNDJhYS04MDVlLTIwNzE4ZDI1Mzg4YgAQAGxT0lpBQ_xDvdr_LaMPsoY=-20261014153744</t>
  </si>
  <si>
    <t>AAQkADdkNThjNzFkLWM0ZmMtNDJhYS04MDVlLTIwNzE4ZDI1Mzg4YgAQAGxT0lpBQ_xDvdr_LaMPsoY=</t>
  </si>
  <si>
    <t>LOPEZ RAMIREZ MAURILIO</t>
  </si>
  <si>
    <t>Solicitante: cgdanit@mapfre.com.pe</t>
  </si>
  <si>
    <t>AAQkADdkNThjNzFkLWM0ZmMtNDJhYS04MDVlLTIwNzE4ZDI1Mzg4YgAQAC3Xh2Q0pfNEmhPaPDl9FFk=-20261014154225</t>
  </si>
  <si>
    <t>AAQkADdkNThjNzFkLWM0ZmMtNDJhYS04MDVlLTIwNzE4ZDI1Mzg4YgAQAC3Xh2Q0pfNEmhPaPDl9FFk=</t>
  </si>
  <si>
    <t>SINIESTRO SCTR RECHAZADO - CONTRATANTE: QUIMICA ESPECIALIZADA S.A. - ASEGURADO: JUAN CARLOS FRIAS</t>
  </si>
  <si>
    <t>AAQkADdkNThjNzFkLWM0ZmMtNDJhYS04MDVlLTIwNzE4ZDI1Mzg4YgAQANDRC-lsp0ygmOCH23Gzv8s=-20261014154506</t>
  </si>
  <si>
    <t>AAQkADdkNThjNzFkLWM0ZmMtNDJhYS04MDVlLTIwNzE4ZDI1Mzg4YgAQANDRC-lsp0ygmOCH23Gzv8s=</t>
  </si>
  <si>
    <t>DERIVACION MEDICINA FISICA / JAB MANTENIMIENTOS / DOMINGUEZ PEREDA JULIO DNI 09858491</t>
  </si>
  <si>
    <t>Solicitante: mariaf@fyfdaruich.com</t>
  </si>
  <si>
    <t>AAQkADdkNThjNzFkLWM0ZmMtNDJhYS04MDVlLTIwNzE4ZDI1Mzg4YgAQAAYahMp8Cj1MoybXSSjEd9Q=-20261014155330</t>
  </si>
  <si>
    <t>AAQkADdkNThjNzFkLWM0ZmMtNDJhYS04MDVlLTIwNzE4ZDI1Mzg4YgAQAAYahMp8Cj1MoybXSSjEd9Q=</t>
  </si>
  <si>
    <t>RE: REQUIERE, SUSALUD, REYNOSO TORRES DE ALCOCER, ANA MARIA</t>
  </si>
  <si>
    <t>anquiro@mapfre.com.pe</t>
  </si>
  <si>
    <t>Anthony Quiroz</t>
  </si>
  <si>
    <t>Solicitante: anquiro@mapfre.com.pe | Hilo con 2 mensaje(s) citado(s); correo original de: Joseph Mejia &lt;jmejia@llerenaabogados.com&gt; | Llegó con el hilo ya respondido</t>
  </si>
  <si>
    <t>AAQkADdkNThjNzFkLWM0ZmMtNDJhYS04MDVlLTIwNzE4ZDI1Mzg4YgAQAEitfoieuhpKoThHkfeVo_c=-20261014160410</t>
  </si>
  <si>
    <t>AAQkADdkNThjNzFkLWM0ZmMtNDJhYS04MDVlLTIwNzE4ZDI1Mzg4YgAQAEitfoieuhpKoThHkfeVo_c=</t>
  </si>
  <si>
    <t>RE: MOVIL BUS -REACTIVACIÓN SCTR SALUD - TANIA RISCO RENTERIA DNI: 09865183</t>
  </si>
  <si>
    <t>Solicitante: cypila1@mapfre.com.pe | Hilo con 9 mensaje(s) citado(s); correo original de: SCTRSalud &lt;sctrsalud@mapfre.com.pe&gt; | Llegó con el hilo ya respondido</t>
  </si>
  <si>
    <t>AAQkADdkNThjNzFkLWM0ZmMtNDJhYS04MDVlLTIwNzE4ZDI1Mzg4YgAQAHI37PFAgqlDvY2bkJJjR0o=-20261014160909</t>
  </si>
  <si>
    <t>AAQkADdkNThjNzFkLWM0ZmMtNDJhYS04MDVlLTIwNzE4ZDI1Mzg4YgAQAHI37PFAgqlDvY2bkJJjR0o=</t>
  </si>
  <si>
    <t>MAPFRE SCTR SALUD - RISCO RENTERIA TANIA ELIZABETH - MOVIL BUS  S.A.C.</t>
  </si>
  <si>
    <t>Solicitante: cypila1@mapfre.com.pe</t>
  </si>
  <si>
    <t>AAQkADdkNThjNzFkLWM0ZmMtNDJhYS04MDVlLTIwNzE4ZDI1Mzg4YgAQAPe8AyTpopxOrqhLt181enw=-20261014161631</t>
  </si>
  <si>
    <t>AAQkADdkNThjNzFkLWM0ZmMtNDJhYS04MDVlLTIwNzE4ZDI1Mzg4YgAQAPe8AyTpopxOrqhLt181enw=</t>
  </si>
  <si>
    <t>Re: AII/RECLAMO 202612794 - LENG LENG ZHILIN - SCTR - MINERA JINXUN PENI SAC</t>
  </si>
  <si>
    <t>vcxiomy@mapfre.com.pe</t>
  </si>
  <si>
    <t>Xiomy Milagros Vega Cueva</t>
  </si>
  <si>
    <t>Solicitante: vcxiomy@mapfre.com.pe | Hilo con 2 mensaje(s) citado(s); correo original de: Gutierrez Ramirez, Noemi Lizbeth &lt;GRNOEM1@mapfre.com.pe&gt; | Llegó con el hilo ya respondido</t>
  </si>
  <si>
    <t>Feriados</t>
  </si>
  <si>
    <t>Agrega filas a la tabla DIAS_NOLAB cuando haya feriados nuevos.</t>
  </si>
  <si>
    <t>(vacío = PENDIENTE)</t>
  </si>
  <si>
    <t>Días_Transcurridos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</si>
</sst>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/mm/yyyy\ hh:mm"/>
    <numFmt numFmtId="165" formatCode="mmmm\ yyyy"/>
    <numFmt numFmtId="166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8080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6" fontId="0" fillId="0" borderId="0" xfId="0" applyNumberFormat="1"/>
    <xf numFmtId="165" fontId="0" fillId="0" borderId="0" xfId="0" applyNumberFormat="1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7">
    <dxf>
      <numFmt numFmtId="165" formatCode="mmmm\ yyyy"/>
    </dxf>
    <dxf>
      <numFmt numFmtId="166" formatCode="0.0"/>
    </dxf>
    <dxf>
      <numFmt numFmtId="0" formatCode="General"/>
    </dxf>
    <dxf>
      <numFmt numFmtId="164" formatCode="dd/mm/yyyy\ hh:mm"/>
    </dxf>
    <dxf>
      <numFmt numFmtId="164" formatCode="dd/mm/yyyy\ hh:mm"/>
    </dxf>
    <dxf>
      <numFmt numFmtId="164" formatCode="dd/mm/yyyy\ hh:mm"/>
    </dxf>
    <dxf>
      <numFmt numFmtId="164" formatCode="dd/mm/yyyy\ hh:m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Bandeja_SCTR" displayName="Bandeja_SCTR" ref="A1:P104">
  <autoFilter ref="A1:P104"/>
  <tableColumns count="16">
    <tableColumn id="1" name="CasoId"/>
    <tableColumn id="2" name="ConversationId"/>
    <tableColumn id="3" name="Asunto"/>
    <tableColumn id="7" name="FechaRecepcion" dataDxfId="6"/>
    <tableColumn id="9" name="FechaUltimoCorreo" dataDxfId="5"/>
    <tableColumn id="4" name="PersonaUltimaRespuesta" dataDxfId="4"/>
    <tableColumn id="10" name="Estado"/>
    <tableColumn id="11" name="FechaRespuesta" dataDxfId="3"/>
    <tableColumn id="12" name="Persona_Respuesta"/>
    <tableColumn id="15" name="Observaciones"/>
    <tableColumn id="6" name="Días_Transcurridos" dataDxfId="2">
      <calculatedColumnFormula>IF(OR(Bandeja_SCTR[[#This Row],[CasoId]]="",Bandeja_SCTR[[#This Row],[Estado]]="FINALIZADO",Bandeja_SCTR[[#This Row],[FechaUltimoCorreo]]=""),"",NETWORKDAYS(INT(Bandeja_SCTR[[#This Row],[FechaUltimoCorreo]]),TODAY(),DIAS_NOLAB[Feriados]))</calculatedColumnFormula>
    </tableColumn>
    <tableColumn id="16" name="Días_Hab">
      <calculatedColumnFormula>IF(Bandeja_SCTR[[#This Row],[FechaRecepcion]]="","",NETWORKDAYS(INT(Bandeja_SCTR[[#This Row],[FechaRecepcion]]),IF(Bandeja_SCTR[[#This Row],[FechaRespuesta]]="",TODAY(),INT(Bandeja_SCTR[[#This Row],[FechaRespuesta]])),DIAS_NOLAB[Feriados]))</calculatedColumnFormula>
    </tableColumn>
    <tableColumn id="17" name="Horas_Respuesta" dataDxfId="1">
      <calculatedColumnFormula>IF(OR(Bandeja_SCTR[[#This Row],[FechaRecepcion]]="",Bandeja_SCTR[[#This Row],[FechaRespuesta]]=""),"",ROUND((Bandeja_SCTR[[#This Row],[FechaRespuesta]]-Bandeja_SCTR[[#This Row],[FechaRecepcion]])*24,1))</calculatedColumnFormula>
    </tableColumn>
    <tableColumn id="18" name="Mes" dataDxfId="0">
      <calculatedColumnFormula>IF(Bandeja_SCTR[[#This Row],[FechaRecepcion]]="","",DATE(YEAR(Bandeja_SCTR[[#This Row],[FechaRecepcion]]),MONTH(Bandeja_SCTR[[#This Row],[FechaRecepcion]]),1))</calculatedColumnFormula>
    </tableColumn>
    <tableColumn id="19" name="EsFinalizado">
      <calculatedColumnFormula>IF(Bandeja_SCTR[[#This Row],[Estado]]="FINALIZADO",1,0)</calculatedColumnFormula>
    </tableColumn>
    <tableColumn id="20" name="EsPendiente">
      <calculatedColumnFormula>IF(Bandeja_SCTR[[#This Row],[CasoId]]="",0,IF(Bandeja_SCTR[[#This Row],[Estado]]="FINALIZADO",0,1))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IAS_NOLAB" displayName="DIAS_NOLAB" ref="D2:D22">
  <autoFilter ref="D2:D22"/>
  <tableColumns count="1">
    <tableColumn id="1" name="Feriado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4"/>
  <sheetViews>
    <sheetView tabSelected="1" topLeftCell="L1" zoomScale="90" zoomScaleNormal="90" workbookViewId="0">
      <pane ySplit="1" topLeftCell="A2" activePane="bottomLeft" state="frozen"/>
      <selection pane="bottomLeft" activeCell="K6" sqref="K6"/>
    </sheetView>
  </sheetViews>
  <sheetFormatPr baseColWidth="10" defaultColWidth="8.88671875" defaultRowHeight="14.4" x14ac:dyDescent="0.3"/>
  <cols>
    <col min="1" max="1" width="9.109375" customWidth="1"/>
    <col min="2" max="2" width="14" customWidth="1"/>
    <col min="3" max="3" width="24.6640625" customWidth="1"/>
    <col min="4" max="5" width="18" customWidth="1"/>
    <col min="6" max="6" width="32" customWidth="1"/>
    <col min="7" max="7" width="14" customWidth="1"/>
    <col min="8" max="8" width="18" customWidth="1"/>
    <col min="9" max="9" width="28" customWidth="1"/>
    <col min="10" max="11" width="50" customWidth="1"/>
    <col min="12" max="12" width="10" customWidth="1"/>
    <col min="13" max="13" width="16" customWidth="1"/>
    <col min="14" max="14" width="15" customWidth="1"/>
    <col min="15" max="16" width="12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483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6" x14ac:dyDescent="0.3">
      <c r="A2" t="s">
        <v>15</v>
      </c>
      <c r="B2" t="s">
        <v>16</v>
      </c>
      <c r="C2" t="s">
        <v>17</v>
      </c>
      <c r="D2" s="1">
        <v>46309.404988425929</v>
      </c>
      <c r="E2" s="1">
        <v>46309.404988425929</v>
      </c>
      <c r="F2" t="s">
        <v>18</v>
      </c>
      <c r="H2" s="1"/>
      <c r="J2" t="s">
        <v>19</v>
      </c>
      <c r="K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2" s="2" t="str">
        <f>IF(OR(Bandeja_SCTR[[#This Row],[FechaRecepcion]]="",Bandeja_SCTR[[#This Row],[FechaRespuesta]]=""),"",ROUND((Bandeja_SCTR[[#This Row],[FechaRespuesta]]-Bandeja_SCTR[[#This Row],[FechaRecepcion]])*24,1))</f>
        <v/>
      </c>
      <c r="N2" s="3">
        <f>IF(Bandeja_SCTR[[#This Row],[FechaRecepcion]]="","",DATE(YEAR(Bandeja_SCTR[[#This Row],[FechaRecepcion]]),MONTH(Bandeja_SCTR[[#This Row],[FechaRecepcion]]),1))</f>
        <v>46296</v>
      </c>
      <c r="O2">
        <f>IF(Bandeja_SCTR[[#This Row],[Estado]]="FINALIZADO",1,0)</f>
        <v>0</v>
      </c>
      <c r="P2">
        <f>IF(Bandeja_SCTR[[#This Row],[CasoId]]="",0,IF(Bandeja_SCTR[[#This Row],[Estado]]="FINALIZADO",0,1))</f>
        <v>1</v>
      </c>
    </row>
    <row r="3" spans="1:16" x14ac:dyDescent="0.3">
      <c r="A3" t="s">
        <v>20</v>
      </c>
      <c r="B3" t="s">
        <v>21</v>
      </c>
      <c r="C3" t="s">
        <v>22</v>
      </c>
      <c r="D3" s="1">
        <v>46309.405821759261</v>
      </c>
      <c r="E3" s="1">
        <v>46309.405821759261</v>
      </c>
      <c r="F3" s="1" t="s">
        <v>23</v>
      </c>
      <c r="H3" s="1"/>
      <c r="J3" t="s">
        <v>24</v>
      </c>
      <c r="K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3" s="2" t="str">
        <f>IF(OR(Bandeja_SCTR[[#This Row],[FechaRecepcion]]="",Bandeja_SCTR[[#This Row],[FechaRespuesta]]=""),"",ROUND((Bandeja_SCTR[[#This Row],[FechaRespuesta]]-Bandeja_SCTR[[#This Row],[FechaRecepcion]])*24,1))</f>
        <v/>
      </c>
      <c r="N3" s="3">
        <f>IF(Bandeja_SCTR[[#This Row],[FechaRecepcion]]="","",DATE(YEAR(Bandeja_SCTR[[#This Row],[FechaRecepcion]]),MONTH(Bandeja_SCTR[[#This Row],[FechaRecepcion]]),1))</f>
        <v>46296</v>
      </c>
      <c r="O3">
        <f>IF(Bandeja_SCTR[[#This Row],[Estado]]="FINALIZADO",1,0)</f>
        <v>0</v>
      </c>
      <c r="P3">
        <f>IF(Bandeja_SCTR[[#This Row],[CasoId]]="",0,IF(Bandeja_SCTR[[#This Row],[Estado]]="FINALIZADO",0,1))</f>
        <v>1</v>
      </c>
    </row>
    <row r="4" spans="1:16" x14ac:dyDescent="0.3">
      <c r="A4" t="s">
        <v>25</v>
      </c>
      <c r="B4" t="s">
        <v>26</v>
      </c>
      <c r="C4" t="s">
        <v>27</v>
      </c>
      <c r="D4" s="1">
        <v>46309.410208333335</v>
      </c>
      <c r="E4" s="1">
        <v>46309.410208333335</v>
      </c>
      <c r="F4" s="1" t="s">
        <v>28</v>
      </c>
      <c r="G4" t="s">
        <v>29</v>
      </c>
      <c r="H4" s="1">
        <v>46309.410208333335</v>
      </c>
      <c r="I4" t="s">
        <v>28</v>
      </c>
      <c r="J4" t="s">
        <v>30</v>
      </c>
      <c r="K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4" s="2">
        <f>IF(OR(Bandeja_SCTR[[#This Row],[FechaRecepcion]]="",Bandeja_SCTR[[#This Row],[FechaRespuesta]]=""),"",ROUND((Bandeja_SCTR[[#This Row],[FechaRespuesta]]-Bandeja_SCTR[[#This Row],[FechaRecepcion]])*24,1))</f>
        <v>0</v>
      </c>
      <c r="N4" s="3">
        <f>IF(Bandeja_SCTR[[#This Row],[FechaRecepcion]]="","",DATE(YEAR(Bandeja_SCTR[[#This Row],[FechaRecepcion]]),MONTH(Bandeja_SCTR[[#This Row],[FechaRecepcion]]),1))</f>
        <v>46296</v>
      </c>
      <c r="O4">
        <f>IF(Bandeja_SCTR[[#This Row],[Estado]]="FINALIZADO",1,0)</f>
        <v>1</v>
      </c>
      <c r="P4">
        <f>IF(Bandeja_SCTR[[#This Row],[CasoId]]="",0,IF(Bandeja_SCTR[[#This Row],[Estado]]="FINALIZADO",0,1))</f>
        <v>0</v>
      </c>
    </row>
    <row r="5" spans="1:16" x14ac:dyDescent="0.3">
      <c r="A5" t="s">
        <v>31</v>
      </c>
      <c r="B5" t="s">
        <v>32</v>
      </c>
      <c r="C5" t="s">
        <v>33</v>
      </c>
      <c r="D5" s="1">
        <v>46309.411643518513</v>
      </c>
      <c r="E5" s="1">
        <v>46309.531944444447</v>
      </c>
      <c r="F5" s="1" t="s">
        <v>34</v>
      </c>
      <c r="G5" t="s">
        <v>29</v>
      </c>
      <c r="H5" s="1">
        <v>46309.531944444447</v>
      </c>
      <c r="I5" t="s">
        <v>35</v>
      </c>
      <c r="J5" t="s">
        <v>36</v>
      </c>
      <c r="K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5" s="2">
        <f>IF(OR(Bandeja_SCTR[[#This Row],[FechaRecepcion]]="",Bandeja_SCTR[[#This Row],[FechaRespuesta]]=""),"",ROUND((Bandeja_SCTR[[#This Row],[FechaRespuesta]]-Bandeja_SCTR[[#This Row],[FechaRecepcion]])*24,1))</f>
        <v>2.9</v>
      </c>
      <c r="N5" s="3">
        <f>IF(Bandeja_SCTR[[#This Row],[FechaRecepcion]]="","",DATE(YEAR(Bandeja_SCTR[[#This Row],[FechaRecepcion]]),MONTH(Bandeja_SCTR[[#This Row],[FechaRecepcion]]),1))</f>
        <v>46296</v>
      </c>
      <c r="O5">
        <f>IF(Bandeja_SCTR[[#This Row],[Estado]]="FINALIZADO",1,0)</f>
        <v>1</v>
      </c>
      <c r="P5">
        <f>IF(Bandeja_SCTR[[#This Row],[CasoId]]="",0,IF(Bandeja_SCTR[[#This Row],[Estado]]="FINALIZADO",0,1))</f>
        <v>0</v>
      </c>
    </row>
    <row r="6" spans="1:16" x14ac:dyDescent="0.3">
      <c r="A6" t="s">
        <v>37</v>
      </c>
      <c r="B6" t="s">
        <v>38</v>
      </c>
      <c r="C6" t="s">
        <v>39</v>
      </c>
      <c r="D6" s="1">
        <v>46309.412048611106</v>
      </c>
      <c r="E6" s="1">
        <v>46309.412048611106</v>
      </c>
      <c r="F6" s="1" t="s">
        <v>40</v>
      </c>
      <c r="G6" t="s">
        <v>29</v>
      </c>
      <c r="H6" s="1">
        <v>46309.412048611106</v>
      </c>
      <c r="I6" t="s">
        <v>40</v>
      </c>
      <c r="J6" t="s">
        <v>41</v>
      </c>
      <c r="K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6" s="2">
        <f>IF(OR(Bandeja_SCTR[[#This Row],[FechaRecepcion]]="",Bandeja_SCTR[[#This Row],[FechaRespuesta]]=""),"",ROUND((Bandeja_SCTR[[#This Row],[FechaRespuesta]]-Bandeja_SCTR[[#This Row],[FechaRecepcion]])*24,1))</f>
        <v>0</v>
      </c>
      <c r="N6" s="3">
        <f>IF(Bandeja_SCTR[[#This Row],[FechaRecepcion]]="","",DATE(YEAR(Bandeja_SCTR[[#This Row],[FechaRecepcion]]),MONTH(Bandeja_SCTR[[#This Row],[FechaRecepcion]]),1))</f>
        <v>46296</v>
      </c>
      <c r="O6">
        <f>IF(Bandeja_SCTR[[#This Row],[Estado]]="FINALIZADO",1,0)</f>
        <v>1</v>
      </c>
      <c r="P6">
        <f>IF(Bandeja_SCTR[[#This Row],[CasoId]]="",0,IF(Bandeja_SCTR[[#This Row],[Estado]]="FINALIZADO",0,1))</f>
        <v>0</v>
      </c>
    </row>
    <row r="7" spans="1:16" x14ac:dyDescent="0.3">
      <c r="A7" t="s">
        <v>42</v>
      </c>
      <c r="B7" t="s">
        <v>43</v>
      </c>
      <c r="C7" t="s">
        <v>44</v>
      </c>
      <c r="D7" s="1">
        <v>46309.413518518515</v>
      </c>
      <c r="E7" s="1">
        <v>46309.413518518515</v>
      </c>
      <c r="F7" s="1" t="s">
        <v>45</v>
      </c>
      <c r="G7" t="s">
        <v>29</v>
      </c>
      <c r="H7" s="1">
        <v>46309.413518518515</v>
      </c>
      <c r="I7" t="s">
        <v>46</v>
      </c>
      <c r="J7" t="s">
        <v>47</v>
      </c>
      <c r="K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7" s="2">
        <f>IF(OR(Bandeja_SCTR[[#This Row],[FechaRecepcion]]="",Bandeja_SCTR[[#This Row],[FechaRespuesta]]=""),"",ROUND((Bandeja_SCTR[[#This Row],[FechaRespuesta]]-Bandeja_SCTR[[#This Row],[FechaRecepcion]])*24,1))</f>
        <v>0</v>
      </c>
      <c r="N7" s="3">
        <f>IF(Bandeja_SCTR[[#This Row],[FechaRecepcion]]="","",DATE(YEAR(Bandeja_SCTR[[#This Row],[FechaRecepcion]]),MONTH(Bandeja_SCTR[[#This Row],[FechaRecepcion]]),1))</f>
        <v>46296</v>
      </c>
      <c r="O7">
        <f>IF(Bandeja_SCTR[[#This Row],[Estado]]="FINALIZADO",1,0)</f>
        <v>1</v>
      </c>
      <c r="P7">
        <f>IF(Bandeja_SCTR[[#This Row],[CasoId]]="",0,IF(Bandeja_SCTR[[#This Row],[Estado]]="FINALIZADO",0,1))</f>
        <v>0</v>
      </c>
    </row>
    <row r="8" spans="1:16" x14ac:dyDescent="0.3">
      <c r="A8" t="s">
        <v>48</v>
      </c>
      <c r="B8" t="s">
        <v>49</v>
      </c>
      <c r="C8" t="s">
        <v>50</v>
      </c>
      <c r="D8" s="1">
        <v>46309.413599537038</v>
      </c>
      <c r="E8" s="1">
        <v>46309.463634259257</v>
      </c>
      <c r="F8" s="1" t="s">
        <v>51</v>
      </c>
      <c r="G8" t="s">
        <v>29</v>
      </c>
      <c r="H8" s="1">
        <v>46309.463634259257</v>
      </c>
      <c r="I8" t="s">
        <v>52</v>
      </c>
      <c r="J8" t="s">
        <v>53</v>
      </c>
      <c r="K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8" s="2">
        <f>IF(OR(Bandeja_SCTR[[#This Row],[FechaRecepcion]]="",Bandeja_SCTR[[#This Row],[FechaRespuesta]]=""),"",ROUND((Bandeja_SCTR[[#This Row],[FechaRespuesta]]-Bandeja_SCTR[[#This Row],[FechaRecepcion]])*24,1))</f>
        <v>1.2</v>
      </c>
      <c r="N8" s="3">
        <f>IF(Bandeja_SCTR[[#This Row],[FechaRecepcion]]="","",DATE(YEAR(Bandeja_SCTR[[#This Row],[FechaRecepcion]]),MONTH(Bandeja_SCTR[[#This Row],[FechaRecepcion]]),1))</f>
        <v>46296</v>
      </c>
      <c r="O8">
        <f>IF(Bandeja_SCTR[[#This Row],[Estado]]="FINALIZADO",1,0)</f>
        <v>1</v>
      </c>
      <c r="P8">
        <f>IF(Bandeja_SCTR[[#This Row],[CasoId]]="",0,IF(Bandeja_SCTR[[#This Row],[Estado]]="FINALIZADO",0,1))</f>
        <v>0</v>
      </c>
    </row>
    <row r="9" spans="1:16" x14ac:dyDescent="0.3">
      <c r="A9" t="s">
        <v>54</v>
      </c>
      <c r="B9" t="s">
        <v>55</v>
      </c>
      <c r="C9" t="s">
        <v>56</v>
      </c>
      <c r="D9" s="1">
        <v>46309.413622685184</v>
      </c>
      <c r="E9" s="1">
        <v>46309.413622685184</v>
      </c>
      <c r="F9" s="1" t="s">
        <v>57</v>
      </c>
      <c r="G9" t="s">
        <v>29</v>
      </c>
      <c r="H9" s="1">
        <v>46309.413622685184</v>
      </c>
      <c r="I9" t="s">
        <v>57</v>
      </c>
      <c r="J9" t="s">
        <v>58</v>
      </c>
      <c r="K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9" s="2">
        <f>IF(OR(Bandeja_SCTR[[#This Row],[FechaRecepcion]]="",Bandeja_SCTR[[#This Row],[FechaRespuesta]]=""),"",ROUND((Bandeja_SCTR[[#This Row],[FechaRespuesta]]-Bandeja_SCTR[[#This Row],[FechaRecepcion]])*24,1))</f>
        <v>0</v>
      </c>
      <c r="N9" s="3">
        <f>IF(Bandeja_SCTR[[#This Row],[FechaRecepcion]]="","",DATE(YEAR(Bandeja_SCTR[[#This Row],[FechaRecepcion]]),MONTH(Bandeja_SCTR[[#This Row],[FechaRecepcion]]),1))</f>
        <v>46296</v>
      </c>
      <c r="O9">
        <f>IF(Bandeja_SCTR[[#This Row],[Estado]]="FINALIZADO",1,0)</f>
        <v>1</v>
      </c>
      <c r="P9">
        <f>IF(Bandeja_SCTR[[#This Row],[CasoId]]="",0,IF(Bandeja_SCTR[[#This Row],[Estado]]="FINALIZADO",0,1))</f>
        <v>0</v>
      </c>
    </row>
    <row r="10" spans="1:16" x14ac:dyDescent="0.3">
      <c r="A10" t="s">
        <v>59</v>
      </c>
      <c r="B10" t="s">
        <v>60</v>
      </c>
      <c r="C10" t="s">
        <v>61</v>
      </c>
      <c r="D10" s="1">
        <v>46309.417025462964</v>
      </c>
      <c r="E10" s="1">
        <v>46309.417025462964</v>
      </c>
      <c r="F10" s="1" t="s">
        <v>62</v>
      </c>
      <c r="H10" s="1"/>
      <c r="J10" t="s">
        <v>63</v>
      </c>
      <c r="K1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0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10" s="2" t="str">
        <f>IF(OR(Bandeja_SCTR[[#This Row],[FechaRecepcion]]="",Bandeja_SCTR[[#This Row],[FechaRespuesta]]=""),"",ROUND((Bandeja_SCTR[[#This Row],[FechaRespuesta]]-Bandeja_SCTR[[#This Row],[FechaRecepcion]])*24,1))</f>
        <v/>
      </c>
      <c r="N10" s="3">
        <f>IF(Bandeja_SCTR[[#This Row],[FechaRecepcion]]="","",DATE(YEAR(Bandeja_SCTR[[#This Row],[FechaRecepcion]]),MONTH(Bandeja_SCTR[[#This Row],[FechaRecepcion]]),1))</f>
        <v>46296</v>
      </c>
      <c r="O10">
        <f>IF(Bandeja_SCTR[[#This Row],[Estado]]="FINALIZADO",1,0)</f>
        <v>0</v>
      </c>
      <c r="P10">
        <f>IF(Bandeja_SCTR[[#This Row],[CasoId]]="",0,IF(Bandeja_SCTR[[#This Row],[Estado]]="FINALIZADO",0,1))</f>
        <v>1</v>
      </c>
    </row>
    <row r="11" spans="1:16" x14ac:dyDescent="0.3">
      <c r="A11" t="s">
        <v>64</v>
      </c>
      <c r="B11" t="s">
        <v>65</v>
      </c>
      <c r="C11" t="s">
        <v>66</v>
      </c>
      <c r="D11" s="1">
        <v>46309.418541666666</v>
      </c>
      <c r="E11" s="1">
        <v>46309.418541666666</v>
      </c>
      <c r="F11" s="1" t="s">
        <v>67</v>
      </c>
      <c r="G11" t="s">
        <v>29</v>
      </c>
      <c r="H11" s="1">
        <v>46309.418541666666</v>
      </c>
      <c r="I11" t="s">
        <v>68</v>
      </c>
      <c r="J11" t="s">
        <v>69</v>
      </c>
      <c r="K1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11" s="2">
        <f>IF(OR(Bandeja_SCTR[[#This Row],[FechaRecepcion]]="",Bandeja_SCTR[[#This Row],[FechaRespuesta]]=""),"",ROUND((Bandeja_SCTR[[#This Row],[FechaRespuesta]]-Bandeja_SCTR[[#This Row],[FechaRecepcion]])*24,1))</f>
        <v>0</v>
      </c>
      <c r="N11" s="3">
        <f>IF(Bandeja_SCTR[[#This Row],[FechaRecepcion]]="","",DATE(YEAR(Bandeja_SCTR[[#This Row],[FechaRecepcion]]),MONTH(Bandeja_SCTR[[#This Row],[FechaRecepcion]]),1))</f>
        <v>46296</v>
      </c>
      <c r="O11">
        <f>IF(Bandeja_SCTR[[#This Row],[Estado]]="FINALIZADO",1,0)</f>
        <v>1</v>
      </c>
      <c r="P11">
        <f>IF(Bandeja_SCTR[[#This Row],[CasoId]]="",0,IF(Bandeja_SCTR[[#This Row],[Estado]]="FINALIZADO",0,1))</f>
        <v>0</v>
      </c>
    </row>
    <row r="12" spans="1:16" x14ac:dyDescent="0.3">
      <c r="A12" t="s">
        <v>70</v>
      </c>
      <c r="B12" t="s">
        <v>38</v>
      </c>
      <c r="C12" t="s">
        <v>39</v>
      </c>
      <c r="D12" s="1">
        <v>46309.418124999997</v>
      </c>
      <c r="E12" s="1">
        <v>46309.495023148149</v>
      </c>
      <c r="F12" s="1" t="s">
        <v>40</v>
      </c>
      <c r="G12" t="s">
        <v>29</v>
      </c>
      <c r="H12" s="1">
        <v>46309.495023148149</v>
      </c>
      <c r="I12" t="s">
        <v>40</v>
      </c>
      <c r="J12" t="s">
        <v>71</v>
      </c>
      <c r="K1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12" s="2">
        <f>IF(OR(Bandeja_SCTR[[#This Row],[FechaRecepcion]]="",Bandeja_SCTR[[#This Row],[FechaRespuesta]]=""),"",ROUND((Bandeja_SCTR[[#This Row],[FechaRespuesta]]-Bandeja_SCTR[[#This Row],[FechaRecepcion]])*24,1))</f>
        <v>1.8</v>
      </c>
      <c r="N12" s="3">
        <f>IF(Bandeja_SCTR[[#This Row],[FechaRecepcion]]="","",DATE(YEAR(Bandeja_SCTR[[#This Row],[FechaRecepcion]]),MONTH(Bandeja_SCTR[[#This Row],[FechaRecepcion]]),1))</f>
        <v>46296</v>
      </c>
      <c r="O12">
        <f>IF(Bandeja_SCTR[[#This Row],[Estado]]="FINALIZADO",1,0)</f>
        <v>1</v>
      </c>
      <c r="P12">
        <f>IF(Bandeja_SCTR[[#This Row],[CasoId]]="",0,IF(Bandeja_SCTR[[#This Row],[Estado]]="FINALIZADO",0,1))</f>
        <v>0</v>
      </c>
    </row>
    <row r="13" spans="1:16" x14ac:dyDescent="0.3">
      <c r="A13" t="s">
        <v>72</v>
      </c>
      <c r="B13" t="s">
        <v>73</v>
      </c>
      <c r="C13" t="s">
        <v>74</v>
      </c>
      <c r="D13" s="1">
        <v>46309.419560185182</v>
      </c>
      <c r="E13" s="1">
        <v>46309.419560185182</v>
      </c>
      <c r="F13" s="1" t="s">
        <v>75</v>
      </c>
      <c r="H13" s="1"/>
      <c r="J13" t="s">
        <v>76</v>
      </c>
      <c r="K1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3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13" s="2" t="str">
        <f>IF(OR(Bandeja_SCTR[[#This Row],[FechaRecepcion]]="",Bandeja_SCTR[[#This Row],[FechaRespuesta]]=""),"",ROUND((Bandeja_SCTR[[#This Row],[FechaRespuesta]]-Bandeja_SCTR[[#This Row],[FechaRecepcion]])*24,1))</f>
        <v/>
      </c>
      <c r="N13" s="3">
        <f>IF(Bandeja_SCTR[[#This Row],[FechaRecepcion]]="","",DATE(YEAR(Bandeja_SCTR[[#This Row],[FechaRecepcion]]),MONTH(Bandeja_SCTR[[#This Row],[FechaRecepcion]]),1))</f>
        <v>46296</v>
      </c>
      <c r="O13">
        <f>IF(Bandeja_SCTR[[#This Row],[Estado]]="FINALIZADO",1,0)</f>
        <v>0</v>
      </c>
      <c r="P13">
        <f>IF(Bandeja_SCTR[[#This Row],[CasoId]]="",0,IF(Bandeja_SCTR[[#This Row],[Estado]]="FINALIZADO",0,1))</f>
        <v>1</v>
      </c>
    </row>
    <row r="14" spans="1:16" x14ac:dyDescent="0.3">
      <c r="A14" t="s">
        <v>77</v>
      </c>
      <c r="B14" t="s">
        <v>78</v>
      </c>
      <c r="C14" t="s">
        <v>79</v>
      </c>
      <c r="D14" s="1">
        <v>46309.423310185186</v>
      </c>
      <c r="E14" s="1">
        <v>46309.423310185186</v>
      </c>
      <c r="F14" s="1" t="s">
        <v>80</v>
      </c>
      <c r="H14" s="1"/>
      <c r="J14" t="s">
        <v>81</v>
      </c>
      <c r="K1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4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14" s="2" t="str">
        <f>IF(OR(Bandeja_SCTR[[#This Row],[FechaRecepcion]]="",Bandeja_SCTR[[#This Row],[FechaRespuesta]]=""),"",ROUND((Bandeja_SCTR[[#This Row],[FechaRespuesta]]-Bandeja_SCTR[[#This Row],[FechaRecepcion]])*24,1))</f>
        <v/>
      </c>
      <c r="N14" s="3">
        <f>IF(Bandeja_SCTR[[#This Row],[FechaRecepcion]]="","",DATE(YEAR(Bandeja_SCTR[[#This Row],[FechaRecepcion]]),MONTH(Bandeja_SCTR[[#This Row],[FechaRecepcion]]),1))</f>
        <v>46296</v>
      </c>
      <c r="O14">
        <f>IF(Bandeja_SCTR[[#This Row],[Estado]]="FINALIZADO",1,0)</f>
        <v>0</v>
      </c>
      <c r="P14">
        <f>IF(Bandeja_SCTR[[#This Row],[CasoId]]="",0,IF(Bandeja_SCTR[[#This Row],[Estado]]="FINALIZADO",0,1))</f>
        <v>1</v>
      </c>
    </row>
    <row r="15" spans="1:16" x14ac:dyDescent="0.3">
      <c r="A15" t="s">
        <v>82</v>
      </c>
      <c r="B15" t="s">
        <v>83</v>
      </c>
      <c r="C15" t="s">
        <v>84</v>
      </c>
      <c r="D15" s="1">
        <v>46309.42387731481</v>
      </c>
      <c r="E15" s="1">
        <v>46309.430277777778</v>
      </c>
      <c r="F15" s="1" t="s">
        <v>85</v>
      </c>
      <c r="H15" s="1"/>
      <c r="J15" t="s">
        <v>86</v>
      </c>
      <c r="K1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5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15" s="2" t="str">
        <f>IF(OR(Bandeja_SCTR[[#This Row],[FechaRecepcion]]="",Bandeja_SCTR[[#This Row],[FechaRespuesta]]=""),"",ROUND((Bandeja_SCTR[[#This Row],[FechaRespuesta]]-Bandeja_SCTR[[#This Row],[FechaRecepcion]])*24,1))</f>
        <v/>
      </c>
      <c r="N15" s="3">
        <f>IF(Bandeja_SCTR[[#This Row],[FechaRecepcion]]="","",DATE(YEAR(Bandeja_SCTR[[#This Row],[FechaRecepcion]]),MONTH(Bandeja_SCTR[[#This Row],[FechaRecepcion]]),1))</f>
        <v>46296</v>
      </c>
      <c r="O15">
        <f>IF(Bandeja_SCTR[[#This Row],[Estado]]="FINALIZADO",1,0)</f>
        <v>0</v>
      </c>
      <c r="P15">
        <f>IF(Bandeja_SCTR[[#This Row],[CasoId]]="",0,IF(Bandeja_SCTR[[#This Row],[Estado]]="FINALIZADO",0,1))</f>
        <v>1</v>
      </c>
    </row>
    <row r="16" spans="1:16" x14ac:dyDescent="0.3">
      <c r="A16" t="s">
        <v>87</v>
      </c>
      <c r="B16" t="s">
        <v>88</v>
      </c>
      <c r="C16" t="s">
        <v>89</v>
      </c>
      <c r="D16" s="1">
        <v>46309.426921296297</v>
      </c>
      <c r="E16" s="1">
        <v>46309.426921296297</v>
      </c>
      <c r="F16" s="1" t="s">
        <v>90</v>
      </c>
      <c r="G16" t="s">
        <v>29</v>
      </c>
      <c r="H16" s="1">
        <v>46309.426921296297</v>
      </c>
      <c r="I16" t="s">
        <v>90</v>
      </c>
      <c r="J16" t="s">
        <v>91</v>
      </c>
      <c r="K1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16" s="2">
        <f>IF(OR(Bandeja_SCTR[[#This Row],[FechaRecepcion]]="",Bandeja_SCTR[[#This Row],[FechaRespuesta]]=""),"",ROUND((Bandeja_SCTR[[#This Row],[FechaRespuesta]]-Bandeja_SCTR[[#This Row],[FechaRecepcion]])*24,1))</f>
        <v>0</v>
      </c>
      <c r="N16" s="3">
        <f>IF(Bandeja_SCTR[[#This Row],[FechaRecepcion]]="","",DATE(YEAR(Bandeja_SCTR[[#This Row],[FechaRecepcion]]),MONTH(Bandeja_SCTR[[#This Row],[FechaRecepcion]]),1))</f>
        <v>46296</v>
      </c>
      <c r="O16">
        <f>IF(Bandeja_SCTR[[#This Row],[Estado]]="FINALIZADO",1,0)</f>
        <v>1</v>
      </c>
      <c r="P16">
        <f>IF(Bandeja_SCTR[[#This Row],[CasoId]]="",0,IF(Bandeja_SCTR[[#This Row],[Estado]]="FINALIZADO",0,1))</f>
        <v>0</v>
      </c>
    </row>
    <row r="17" spans="1:16" x14ac:dyDescent="0.3">
      <c r="A17" t="s">
        <v>92</v>
      </c>
      <c r="B17" t="s">
        <v>93</v>
      </c>
      <c r="C17" t="s">
        <v>94</v>
      </c>
      <c r="D17" s="1">
        <v>46309.427199074074</v>
      </c>
      <c r="E17" s="1">
        <v>46309.427199074074</v>
      </c>
      <c r="F17" s="1" t="s">
        <v>23</v>
      </c>
      <c r="H17" s="1"/>
      <c r="J17" t="s">
        <v>95</v>
      </c>
      <c r="K1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7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17" s="2" t="str">
        <f>IF(OR(Bandeja_SCTR[[#This Row],[FechaRecepcion]]="",Bandeja_SCTR[[#This Row],[FechaRespuesta]]=""),"",ROUND((Bandeja_SCTR[[#This Row],[FechaRespuesta]]-Bandeja_SCTR[[#This Row],[FechaRecepcion]])*24,1))</f>
        <v/>
      </c>
      <c r="N17" s="3">
        <f>IF(Bandeja_SCTR[[#This Row],[FechaRecepcion]]="","",DATE(YEAR(Bandeja_SCTR[[#This Row],[FechaRecepcion]]),MONTH(Bandeja_SCTR[[#This Row],[FechaRecepcion]]),1))</f>
        <v>46296</v>
      </c>
      <c r="O17">
        <f>IF(Bandeja_SCTR[[#This Row],[Estado]]="FINALIZADO",1,0)</f>
        <v>0</v>
      </c>
      <c r="P17">
        <f>IF(Bandeja_SCTR[[#This Row],[CasoId]]="",0,IF(Bandeja_SCTR[[#This Row],[Estado]]="FINALIZADO",0,1))</f>
        <v>1</v>
      </c>
    </row>
    <row r="18" spans="1:16" x14ac:dyDescent="0.3">
      <c r="A18" t="s">
        <v>96</v>
      </c>
      <c r="B18" t="s">
        <v>97</v>
      </c>
      <c r="C18" t="s">
        <v>98</v>
      </c>
      <c r="D18" s="1">
        <v>46309.427407407406</v>
      </c>
      <c r="E18" s="1">
        <v>46309.427407407406</v>
      </c>
      <c r="F18" s="1" t="s">
        <v>90</v>
      </c>
      <c r="G18" t="s">
        <v>29</v>
      </c>
      <c r="H18" s="1">
        <v>46309.427407407406</v>
      </c>
      <c r="I18" t="s">
        <v>90</v>
      </c>
      <c r="J18" t="s">
        <v>91</v>
      </c>
      <c r="K1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18" s="2">
        <f>IF(OR(Bandeja_SCTR[[#This Row],[FechaRecepcion]]="",Bandeja_SCTR[[#This Row],[FechaRespuesta]]=""),"",ROUND((Bandeja_SCTR[[#This Row],[FechaRespuesta]]-Bandeja_SCTR[[#This Row],[FechaRecepcion]])*24,1))</f>
        <v>0</v>
      </c>
      <c r="N18" s="3">
        <f>IF(Bandeja_SCTR[[#This Row],[FechaRecepcion]]="","",DATE(YEAR(Bandeja_SCTR[[#This Row],[FechaRecepcion]]),MONTH(Bandeja_SCTR[[#This Row],[FechaRecepcion]]),1))</f>
        <v>46296</v>
      </c>
      <c r="O18">
        <f>IF(Bandeja_SCTR[[#This Row],[Estado]]="FINALIZADO",1,0)</f>
        <v>1</v>
      </c>
      <c r="P18">
        <f>IF(Bandeja_SCTR[[#This Row],[CasoId]]="",0,IF(Bandeja_SCTR[[#This Row],[Estado]]="FINALIZADO",0,1))</f>
        <v>0</v>
      </c>
    </row>
    <row r="19" spans="1:16" x14ac:dyDescent="0.3">
      <c r="A19" t="s">
        <v>99</v>
      </c>
      <c r="B19" t="s">
        <v>100</v>
      </c>
      <c r="C19" t="s">
        <v>101</v>
      </c>
      <c r="D19" s="1">
        <v>46309.428379629629</v>
      </c>
      <c r="E19" s="1">
        <v>46309.428379629629</v>
      </c>
      <c r="F19" s="1" t="s">
        <v>102</v>
      </c>
      <c r="H19" s="1"/>
      <c r="J19" t="s">
        <v>103</v>
      </c>
      <c r="K1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9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19" s="2" t="str">
        <f>IF(OR(Bandeja_SCTR[[#This Row],[FechaRecepcion]]="",Bandeja_SCTR[[#This Row],[FechaRespuesta]]=""),"",ROUND((Bandeja_SCTR[[#This Row],[FechaRespuesta]]-Bandeja_SCTR[[#This Row],[FechaRecepcion]])*24,1))</f>
        <v/>
      </c>
      <c r="N19" s="3">
        <f>IF(Bandeja_SCTR[[#This Row],[FechaRecepcion]]="","",DATE(YEAR(Bandeja_SCTR[[#This Row],[FechaRecepcion]]),MONTH(Bandeja_SCTR[[#This Row],[FechaRecepcion]]),1))</f>
        <v>46296</v>
      </c>
      <c r="O19">
        <f>IF(Bandeja_SCTR[[#This Row],[Estado]]="FINALIZADO",1,0)</f>
        <v>0</v>
      </c>
      <c r="P19">
        <f>IF(Bandeja_SCTR[[#This Row],[CasoId]]="",0,IF(Bandeja_SCTR[[#This Row],[Estado]]="FINALIZADO",0,1))</f>
        <v>1</v>
      </c>
    </row>
    <row r="20" spans="1:16" x14ac:dyDescent="0.3">
      <c r="A20" t="s">
        <v>104</v>
      </c>
      <c r="B20" t="s">
        <v>105</v>
      </c>
      <c r="C20" t="s">
        <v>106</v>
      </c>
      <c r="D20" s="1">
        <v>46309.435023148151</v>
      </c>
      <c r="E20" s="1">
        <v>46309.653946759259</v>
      </c>
      <c r="F20" s="1" t="s">
        <v>40</v>
      </c>
      <c r="G20" t="s">
        <v>29</v>
      </c>
      <c r="H20" s="1">
        <v>46309.650763888887</v>
      </c>
      <c r="I20" t="s">
        <v>40</v>
      </c>
      <c r="J20" t="s">
        <v>107</v>
      </c>
      <c r="K2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20" s="2">
        <f>IF(OR(Bandeja_SCTR[[#This Row],[FechaRecepcion]]="",Bandeja_SCTR[[#This Row],[FechaRespuesta]]=""),"",ROUND((Bandeja_SCTR[[#This Row],[FechaRespuesta]]-Bandeja_SCTR[[#This Row],[FechaRecepcion]])*24,1))</f>
        <v>5.2</v>
      </c>
      <c r="N20" s="3">
        <f>IF(Bandeja_SCTR[[#This Row],[FechaRecepcion]]="","",DATE(YEAR(Bandeja_SCTR[[#This Row],[FechaRecepcion]]),MONTH(Bandeja_SCTR[[#This Row],[FechaRecepcion]]),1))</f>
        <v>46296</v>
      </c>
      <c r="O20">
        <f>IF(Bandeja_SCTR[[#This Row],[Estado]]="FINALIZADO",1,0)</f>
        <v>1</v>
      </c>
      <c r="P20">
        <f>IF(Bandeja_SCTR[[#This Row],[CasoId]]="",0,IF(Bandeja_SCTR[[#This Row],[Estado]]="FINALIZADO",0,1))</f>
        <v>0</v>
      </c>
    </row>
    <row r="21" spans="1:16" x14ac:dyDescent="0.3">
      <c r="A21" t="s">
        <v>108</v>
      </c>
      <c r="B21" t="s">
        <v>109</v>
      </c>
      <c r="C21" t="s">
        <v>110</v>
      </c>
      <c r="D21" s="1">
        <v>46309.435648148152</v>
      </c>
      <c r="E21" s="1">
        <v>46309.435648148152</v>
      </c>
      <c r="F21" s="1" t="s">
        <v>111</v>
      </c>
      <c r="H21" s="1"/>
      <c r="J21" t="s">
        <v>112</v>
      </c>
      <c r="K2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1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21" s="2" t="str">
        <f>IF(OR(Bandeja_SCTR[[#This Row],[FechaRecepcion]]="",Bandeja_SCTR[[#This Row],[FechaRespuesta]]=""),"",ROUND((Bandeja_SCTR[[#This Row],[FechaRespuesta]]-Bandeja_SCTR[[#This Row],[FechaRecepcion]])*24,1))</f>
        <v/>
      </c>
      <c r="N21" s="3">
        <f>IF(Bandeja_SCTR[[#This Row],[FechaRecepcion]]="","",DATE(YEAR(Bandeja_SCTR[[#This Row],[FechaRecepcion]]),MONTH(Bandeja_SCTR[[#This Row],[FechaRecepcion]]),1))</f>
        <v>46296</v>
      </c>
      <c r="O21">
        <f>IF(Bandeja_SCTR[[#This Row],[Estado]]="FINALIZADO",1,0)</f>
        <v>0</v>
      </c>
      <c r="P21">
        <f>IF(Bandeja_SCTR[[#This Row],[CasoId]]="",0,IF(Bandeja_SCTR[[#This Row],[Estado]]="FINALIZADO",0,1))</f>
        <v>1</v>
      </c>
    </row>
    <row r="22" spans="1:16" x14ac:dyDescent="0.3">
      <c r="A22" t="s">
        <v>113</v>
      </c>
      <c r="B22" t="s">
        <v>114</v>
      </c>
      <c r="C22" t="s">
        <v>115</v>
      </c>
      <c r="D22" s="1">
        <v>46309.435798611114</v>
      </c>
      <c r="E22" s="1">
        <v>46309.435798611114</v>
      </c>
      <c r="F22" s="1" t="s">
        <v>116</v>
      </c>
      <c r="H22" s="1"/>
      <c r="J22" t="s">
        <v>117</v>
      </c>
      <c r="K2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2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22" s="2" t="str">
        <f>IF(OR(Bandeja_SCTR[[#This Row],[FechaRecepcion]]="",Bandeja_SCTR[[#This Row],[FechaRespuesta]]=""),"",ROUND((Bandeja_SCTR[[#This Row],[FechaRespuesta]]-Bandeja_SCTR[[#This Row],[FechaRecepcion]])*24,1))</f>
        <v/>
      </c>
      <c r="N22" s="3">
        <f>IF(Bandeja_SCTR[[#This Row],[FechaRecepcion]]="","",DATE(YEAR(Bandeja_SCTR[[#This Row],[FechaRecepcion]]),MONTH(Bandeja_SCTR[[#This Row],[FechaRecepcion]]),1))</f>
        <v>46296</v>
      </c>
      <c r="O22">
        <f>IF(Bandeja_SCTR[[#This Row],[Estado]]="FINALIZADO",1,0)</f>
        <v>0</v>
      </c>
      <c r="P22">
        <f>IF(Bandeja_SCTR[[#This Row],[CasoId]]="",0,IF(Bandeja_SCTR[[#This Row],[Estado]]="FINALIZADO",0,1))</f>
        <v>1</v>
      </c>
    </row>
    <row r="23" spans="1:16" x14ac:dyDescent="0.3">
      <c r="A23" t="s">
        <v>118</v>
      </c>
      <c r="B23" t="s">
        <v>119</v>
      </c>
      <c r="C23" t="s">
        <v>120</v>
      </c>
      <c r="D23" s="1">
        <v>46309.438726851848</v>
      </c>
      <c r="E23" s="1">
        <v>46309.438726851848</v>
      </c>
      <c r="F23" s="1" t="s">
        <v>121</v>
      </c>
      <c r="H23" s="1"/>
      <c r="J23" t="s">
        <v>122</v>
      </c>
      <c r="K2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3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23" s="2" t="str">
        <f>IF(OR(Bandeja_SCTR[[#This Row],[FechaRecepcion]]="",Bandeja_SCTR[[#This Row],[FechaRespuesta]]=""),"",ROUND((Bandeja_SCTR[[#This Row],[FechaRespuesta]]-Bandeja_SCTR[[#This Row],[FechaRecepcion]])*24,1))</f>
        <v/>
      </c>
      <c r="N23" s="3">
        <f>IF(Bandeja_SCTR[[#This Row],[FechaRecepcion]]="","",DATE(YEAR(Bandeja_SCTR[[#This Row],[FechaRecepcion]]),MONTH(Bandeja_SCTR[[#This Row],[FechaRecepcion]]),1))</f>
        <v>46296</v>
      </c>
      <c r="O23">
        <f>IF(Bandeja_SCTR[[#This Row],[Estado]]="FINALIZADO",1,0)</f>
        <v>0</v>
      </c>
      <c r="P23">
        <f>IF(Bandeja_SCTR[[#This Row],[CasoId]]="",0,IF(Bandeja_SCTR[[#This Row],[Estado]]="FINALIZADO",0,1))</f>
        <v>1</v>
      </c>
    </row>
    <row r="24" spans="1:16" x14ac:dyDescent="0.3">
      <c r="A24" t="s">
        <v>123</v>
      </c>
      <c r="B24" t="s">
        <v>124</v>
      </c>
      <c r="C24" t="s">
        <v>125</v>
      </c>
      <c r="D24" s="1">
        <v>46309.441712962958</v>
      </c>
      <c r="E24" s="1">
        <v>46309.441712962958</v>
      </c>
      <c r="F24" s="1" t="s">
        <v>126</v>
      </c>
      <c r="H24" s="1"/>
      <c r="J24" t="s">
        <v>127</v>
      </c>
      <c r="K2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4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24" s="2" t="str">
        <f>IF(OR(Bandeja_SCTR[[#This Row],[FechaRecepcion]]="",Bandeja_SCTR[[#This Row],[FechaRespuesta]]=""),"",ROUND((Bandeja_SCTR[[#This Row],[FechaRespuesta]]-Bandeja_SCTR[[#This Row],[FechaRecepcion]])*24,1))</f>
        <v/>
      </c>
      <c r="N24" s="3">
        <f>IF(Bandeja_SCTR[[#This Row],[FechaRecepcion]]="","",DATE(YEAR(Bandeja_SCTR[[#This Row],[FechaRecepcion]]),MONTH(Bandeja_SCTR[[#This Row],[FechaRecepcion]]),1))</f>
        <v>46296</v>
      </c>
      <c r="O24">
        <f>IF(Bandeja_SCTR[[#This Row],[Estado]]="FINALIZADO",1,0)</f>
        <v>0</v>
      </c>
      <c r="P24">
        <f>IF(Bandeja_SCTR[[#This Row],[CasoId]]="",0,IF(Bandeja_SCTR[[#This Row],[Estado]]="FINALIZADO",0,1))</f>
        <v>1</v>
      </c>
    </row>
    <row r="25" spans="1:16" x14ac:dyDescent="0.3">
      <c r="A25" t="s">
        <v>128</v>
      </c>
      <c r="B25" t="s">
        <v>129</v>
      </c>
      <c r="C25" t="s">
        <v>130</v>
      </c>
      <c r="D25" s="1">
        <v>46309.444421296299</v>
      </c>
      <c r="E25" s="1">
        <v>46309.444421296299</v>
      </c>
      <c r="F25" s="1" t="s">
        <v>131</v>
      </c>
      <c r="H25" s="1"/>
      <c r="J25" t="s">
        <v>132</v>
      </c>
      <c r="K2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5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25" s="2" t="str">
        <f>IF(OR(Bandeja_SCTR[[#This Row],[FechaRecepcion]]="",Bandeja_SCTR[[#This Row],[FechaRespuesta]]=""),"",ROUND((Bandeja_SCTR[[#This Row],[FechaRespuesta]]-Bandeja_SCTR[[#This Row],[FechaRecepcion]])*24,1))</f>
        <v/>
      </c>
      <c r="N25" s="3">
        <f>IF(Bandeja_SCTR[[#This Row],[FechaRecepcion]]="","",DATE(YEAR(Bandeja_SCTR[[#This Row],[FechaRecepcion]]),MONTH(Bandeja_SCTR[[#This Row],[FechaRecepcion]]),1))</f>
        <v>46296</v>
      </c>
      <c r="O25">
        <f>IF(Bandeja_SCTR[[#This Row],[Estado]]="FINALIZADO",1,0)</f>
        <v>0</v>
      </c>
      <c r="P25">
        <f>IF(Bandeja_SCTR[[#This Row],[CasoId]]="",0,IF(Bandeja_SCTR[[#This Row],[Estado]]="FINALIZADO",0,1))</f>
        <v>1</v>
      </c>
    </row>
    <row r="26" spans="1:16" x14ac:dyDescent="0.3">
      <c r="A26" t="s">
        <v>133</v>
      </c>
      <c r="B26" t="s">
        <v>134</v>
      </c>
      <c r="C26" t="s">
        <v>135</v>
      </c>
      <c r="D26" s="1">
        <v>46309.444074074076</v>
      </c>
      <c r="E26" s="1">
        <v>46309.444074074076</v>
      </c>
      <c r="F26" s="1" t="s">
        <v>136</v>
      </c>
      <c r="H26" s="1"/>
      <c r="J26" t="s">
        <v>137</v>
      </c>
      <c r="K2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6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26" s="2" t="str">
        <f>IF(OR(Bandeja_SCTR[[#This Row],[FechaRecepcion]]="",Bandeja_SCTR[[#This Row],[FechaRespuesta]]=""),"",ROUND((Bandeja_SCTR[[#This Row],[FechaRespuesta]]-Bandeja_SCTR[[#This Row],[FechaRecepcion]])*24,1))</f>
        <v/>
      </c>
      <c r="N26" s="3">
        <f>IF(Bandeja_SCTR[[#This Row],[FechaRecepcion]]="","",DATE(YEAR(Bandeja_SCTR[[#This Row],[FechaRecepcion]]),MONTH(Bandeja_SCTR[[#This Row],[FechaRecepcion]]),1))</f>
        <v>46296</v>
      </c>
      <c r="O26">
        <f>IF(Bandeja_SCTR[[#This Row],[Estado]]="FINALIZADO",1,0)</f>
        <v>0</v>
      </c>
      <c r="P26">
        <f>IF(Bandeja_SCTR[[#This Row],[CasoId]]="",0,IF(Bandeja_SCTR[[#This Row],[Estado]]="FINALIZADO",0,1))</f>
        <v>1</v>
      </c>
    </row>
    <row r="27" spans="1:16" x14ac:dyDescent="0.3">
      <c r="A27" t="s">
        <v>138</v>
      </c>
      <c r="B27" t="s">
        <v>139</v>
      </c>
      <c r="C27" t="s">
        <v>140</v>
      </c>
      <c r="D27" s="1">
        <v>46309.444120370375</v>
      </c>
      <c r="E27" s="1">
        <v>46309.468900462962</v>
      </c>
      <c r="F27" s="1" t="s">
        <v>141</v>
      </c>
      <c r="G27" t="s">
        <v>29</v>
      </c>
      <c r="H27" s="1">
        <v>46309.454155092593</v>
      </c>
      <c r="I27" t="s">
        <v>142</v>
      </c>
      <c r="J27" t="s">
        <v>143</v>
      </c>
      <c r="K2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27" s="2">
        <f>IF(OR(Bandeja_SCTR[[#This Row],[FechaRecepcion]]="",Bandeja_SCTR[[#This Row],[FechaRespuesta]]=""),"",ROUND((Bandeja_SCTR[[#This Row],[FechaRespuesta]]-Bandeja_SCTR[[#This Row],[FechaRecepcion]])*24,1))</f>
        <v>0.2</v>
      </c>
      <c r="N27" s="3">
        <f>IF(Bandeja_SCTR[[#This Row],[FechaRecepcion]]="","",DATE(YEAR(Bandeja_SCTR[[#This Row],[FechaRecepcion]]),MONTH(Bandeja_SCTR[[#This Row],[FechaRecepcion]]),1))</f>
        <v>46296</v>
      </c>
      <c r="O27">
        <f>IF(Bandeja_SCTR[[#This Row],[Estado]]="FINALIZADO",1,0)</f>
        <v>1</v>
      </c>
      <c r="P27">
        <f>IF(Bandeja_SCTR[[#This Row],[CasoId]]="",0,IF(Bandeja_SCTR[[#This Row],[Estado]]="FINALIZADO",0,1))</f>
        <v>0</v>
      </c>
    </row>
    <row r="28" spans="1:16" x14ac:dyDescent="0.3">
      <c r="A28" t="s">
        <v>144</v>
      </c>
      <c r="B28" t="s">
        <v>145</v>
      </c>
      <c r="C28" t="s">
        <v>146</v>
      </c>
      <c r="D28" s="1">
        <v>46309.444236111114</v>
      </c>
      <c r="E28" s="1">
        <v>46309.490023148144</v>
      </c>
      <c r="F28" s="1" t="s">
        <v>147</v>
      </c>
      <c r="G28" t="s">
        <v>29</v>
      </c>
      <c r="H28" s="1">
        <v>46309.490023148144</v>
      </c>
      <c r="I28" t="s">
        <v>147</v>
      </c>
      <c r="J28" t="s">
        <v>148</v>
      </c>
      <c r="K2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28" s="2">
        <f>IF(OR(Bandeja_SCTR[[#This Row],[FechaRecepcion]]="",Bandeja_SCTR[[#This Row],[FechaRespuesta]]=""),"",ROUND((Bandeja_SCTR[[#This Row],[FechaRespuesta]]-Bandeja_SCTR[[#This Row],[FechaRecepcion]])*24,1))</f>
        <v>1.1000000000000001</v>
      </c>
      <c r="N28" s="3">
        <f>IF(Bandeja_SCTR[[#This Row],[FechaRecepcion]]="","",DATE(YEAR(Bandeja_SCTR[[#This Row],[FechaRecepcion]]),MONTH(Bandeja_SCTR[[#This Row],[FechaRecepcion]]),1))</f>
        <v>46296</v>
      </c>
      <c r="O28">
        <f>IF(Bandeja_SCTR[[#This Row],[Estado]]="FINALIZADO",1,0)</f>
        <v>1</v>
      </c>
      <c r="P28">
        <f>IF(Bandeja_SCTR[[#This Row],[CasoId]]="",0,IF(Bandeja_SCTR[[#This Row],[Estado]]="FINALIZADO",0,1))</f>
        <v>0</v>
      </c>
    </row>
    <row r="29" spans="1:16" x14ac:dyDescent="0.3">
      <c r="A29" t="s">
        <v>149</v>
      </c>
      <c r="B29" t="s">
        <v>150</v>
      </c>
      <c r="C29" t="s">
        <v>151</v>
      </c>
      <c r="D29" s="1">
        <v>46309.444907407407</v>
      </c>
      <c r="E29" s="1">
        <v>46309.444907407407</v>
      </c>
      <c r="F29" s="1" t="s">
        <v>131</v>
      </c>
      <c r="H29" s="1"/>
      <c r="J29" t="s">
        <v>152</v>
      </c>
      <c r="K2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9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29" s="2" t="str">
        <f>IF(OR(Bandeja_SCTR[[#This Row],[FechaRecepcion]]="",Bandeja_SCTR[[#This Row],[FechaRespuesta]]=""),"",ROUND((Bandeja_SCTR[[#This Row],[FechaRespuesta]]-Bandeja_SCTR[[#This Row],[FechaRecepcion]])*24,1))</f>
        <v/>
      </c>
      <c r="N29" s="3">
        <f>IF(Bandeja_SCTR[[#This Row],[FechaRecepcion]]="","",DATE(YEAR(Bandeja_SCTR[[#This Row],[FechaRecepcion]]),MONTH(Bandeja_SCTR[[#This Row],[FechaRecepcion]]),1))</f>
        <v>46296</v>
      </c>
      <c r="O29">
        <f>IF(Bandeja_SCTR[[#This Row],[Estado]]="FINALIZADO",1,0)</f>
        <v>0</v>
      </c>
      <c r="P29">
        <f>IF(Bandeja_SCTR[[#This Row],[CasoId]]="",0,IF(Bandeja_SCTR[[#This Row],[Estado]]="FINALIZADO",0,1))</f>
        <v>1</v>
      </c>
    </row>
    <row r="30" spans="1:16" x14ac:dyDescent="0.3">
      <c r="A30" t="s">
        <v>153</v>
      </c>
      <c r="B30" t="s">
        <v>154</v>
      </c>
      <c r="C30" t="s">
        <v>155</v>
      </c>
      <c r="D30" s="1">
        <v>46309.446296296301</v>
      </c>
      <c r="E30" s="1">
        <v>46309.446296296301</v>
      </c>
      <c r="F30" s="1" t="s">
        <v>156</v>
      </c>
      <c r="H30" s="1"/>
      <c r="J30" t="s">
        <v>157</v>
      </c>
      <c r="K3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0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30" s="2" t="str">
        <f>IF(OR(Bandeja_SCTR[[#This Row],[FechaRecepcion]]="",Bandeja_SCTR[[#This Row],[FechaRespuesta]]=""),"",ROUND((Bandeja_SCTR[[#This Row],[FechaRespuesta]]-Bandeja_SCTR[[#This Row],[FechaRecepcion]])*24,1))</f>
        <v/>
      </c>
      <c r="N30" s="3">
        <f>IF(Bandeja_SCTR[[#This Row],[FechaRecepcion]]="","",DATE(YEAR(Bandeja_SCTR[[#This Row],[FechaRecepcion]]),MONTH(Bandeja_SCTR[[#This Row],[FechaRecepcion]]),1))</f>
        <v>46296</v>
      </c>
      <c r="O30">
        <f>IF(Bandeja_SCTR[[#This Row],[Estado]]="FINALIZADO",1,0)</f>
        <v>0</v>
      </c>
      <c r="P30">
        <f>IF(Bandeja_SCTR[[#This Row],[CasoId]]="",0,IF(Bandeja_SCTR[[#This Row],[Estado]]="FINALIZADO",0,1))</f>
        <v>1</v>
      </c>
    </row>
    <row r="31" spans="1:16" x14ac:dyDescent="0.3">
      <c r="A31" t="s">
        <v>158</v>
      </c>
      <c r="B31" t="s">
        <v>159</v>
      </c>
      <c r="C31" t="s">
        <v>160</v>
      </c>
      <c r="D31" s="1">
        <v>46309.450532407413</v>
      </c>
      <c r="E31" s="1">
        <v>46309.450532407413</v>
      </c>
      <c r="F31" s="1" t="s">
        <v>161</v>
      </c>
      <c r="H31" s="1"/>
      <c r="J31" t="s">
        <v>162</v>
      </c>
      <c r="K3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1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31" s="2" t="str">
        <f>IF(OR(Bandeja_SCTR[[#This Row],[FechaRecepcion]]="",Bandeja_SCTR[[#This Row],[FechaRespuesta]]=""),"",ROUND((Bandeja_SCTR[[#This Row],[FechaRespuesta]]-Bandeja_SCTR[[#This Row],[FechaRecepcion]])*24,1))</f>
        <v/>
      </c>
      <c r="N31" s="3">
        <f>IF(Bandeja_SCTR[[#This Row],[FechaRecepcion]]="","",DATE(YEAR(Bandeja_SCTR[[#This Row],[FechaRecepcion]]),MONTH(Bandeja_SCTR[[#This Row],[FechaRecepcion]]),1))</f>
        <v>46296</v>
      </c>
      <c r="O31">
        <f>IF(Bandeja_SCTR[[#This Row],[Estado]]="FINALIZADO",1,0)</f>
        <v>0</v>
      </c>
      <c r="P31">
        <f>IF(Bandeja_SCTR[[#This Row],[CasoId]]="",0,IF(Bandeja_SCTR[[#This Row],[Estado]]="FINALIZADO",0,1))</f>
        <v>1</v>
      </c>
    </row>
    <row r="32" spans="1:16" x14ac:dyDescent="0.3">
      <c r="A32" t="s">
        <v>163</v>
      </c>
      <c r="B32" t="s">
        <v>164</v>
      </c>
      <c r="C32" t="s">
        <v>165</v>
      </c>
      <c r="D32" s="1">
        <v>46309.450335648144</v>
      </c>
      <c r="E32" s="1">
        <v>46309.523379629631</v>
      </c>
      <c r="F32" s="1" t="s">
        <v>45</v>
      </c>
      <c r="G32" t="s">
        <v>29</v>
      </c>
      <c r="H32" s="1">
        <v>46309.523379629631</v>
      </c>
      <c r="I32" t="s">
        <v>46</v>
      </c>
      <c r="J32" t="s">
        <v>166</v>
      </c>
      <c r="K3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32" s="2">
        <f>IF(OR(Bandeja_SCTR[[#This Row],[FechaRecepcion]]="",Bandeja_SCTR[[#This Row],[FechaRespuesta]]=""),"",ROUND((Bandeja_SCTR[[#This Row],[FechaRespuesta]]-Bandeja_SCTR[[#This Row],[FechaRecepcion]])*24,1))</f>
        <v>1.8</v>
      </c>
      <c r="N32" s="3">
        <f>IF(Bandeja_SCTR[[#This Row],[FechaRecepcion]]="","",DATE(YEAR(Bandeja_SCTR[[#This Row],[FechaRecepcion]]),MONTH(Bandeja_SCTR[[#This Row],[FechaRecepcion]]),1))</f>
        <v>46296</v>
      </c>
      <c r="O32">
        <f>IF(Bandeja_SCTR[[#This Row],[Estado]]="FINALIZADO",1,0)</f>
        <v>1</v>
      </c>
      <c r="P32">
        <f>IF(Bandeja_SCTR[[#This Row],[CasoId]]="",0,IF(Bandeja_SCTR[[#This Row],[Estado]]="FINALIZADO",0,1))</f>
        <v>0</v>
      </c>
    </row>
    <row r="33" spans="1:16" x14ac:dyDescent="0.3">
      <c r="A33" t="s">
        <v>167</v>
      </c>
      <c r="B33" t="s">
        <v>168</v>
      </c>
      <c r="C33" t="s">
        <v>169</v>
      </c>
      <c r="D33" s="1">
        <v>46309.456284722226</v>
      </c>
      <c r="E33" s="1">
        <v>46309.456284722226</v>
      </c>
      <c r="F33" s="1" t="s">
        <v>170</v>
      </c>
      <c r="H33" s="1"/>
      <c r="J33" t="s">
        <v>171</v>
      </c>
      <c r="K3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3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33" s="2" t="str">
        <f>IF(OR(Bandeja_SCTR[[#This Row],[FechaRecepcion]]="",Bandeja_SCTR[[#This Row],[FechaRespuesta]]=""),"",ROUND((Bandeja_SCTR[[#This Row],[FechaRespuesta]]-Bandeja_SCTR[[#This Row],[FechaRecepcion]])*24,1))</f>
        <v/>
      </c>
      <c r="N33" s="3">
        <f>IF(Bandeja_SCTR[[#This Row],[FechaRecepcion]]="","",DATE(YEAR(Bandeja_SCTR[[#This Row],[FechaRecepcion]]),MONTH(Bandeja_SCTR[[#This Row],[FechaRecepcion]]),1))</f>
        <v>46296</v>
      </c>
      <c r="O33">
        <f>IF(Bandeja_SCTR[[#This Row],[Estado]]="FINALIZADO",1,0)</f>
        <v>0</v>
      </c>
      <c r="P33">
        <f>IF(Bandeja_SCTR[[#This Row],[CasoId]]="",0,IF(Bandeja_SCTR[[#This Row],[Estado]]="FINALIZADO",0,1))</f>
        <v>1</v>
      </c>
    </row>
    <row r="34" spans="1:16" x14ac:dyDescent="0.3">
      <c r="A34" t="s">
        <v>172</v>
      </c>
      <c r="B34" t="s">
        <v>173</v>
      </c>
      <c r="C34" t="s">
        <v>174</v>
      </c>
      <c r="D34" s="1">
        <v>46309.457083333335</v>
      </c>
      <c r="E34" s="1">
        <v>46309.457083333335</v>
      </c>
      <c r="F34" s="1" t="s">
        <v>147</v>
      </c>
      <c r="G34" t="s">
        <v>29</v>
      </c>
      <c r="H34" s="1">
        <v>46309.457083333335</v>
      </c>
      <c r="I34" t="s">
        <v>147</v>
      </c>
      <c r="J34" t="s">
        <v>175</v>
      </c>
      <c r="K3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34" s="2">
        <f>IF(OR(Bandeja_SCTR[[#This Row],[FechaRecepcion]]="",Bandeja_SCTR[[#This Row],[FechaRespuesta]]=""),"",ROUND((Bandeja_SCTR[[#This Row],[FechaRespuesta]]-Bandeja_SCTR[[#This Row],[FechaRecepcion]])*24,1))</f>
        <v>0</v>
      </c>
      <c r="N34" s="3">
        <f>IF(Bandeja_SCTR[[#This Row],[FechaRecepcion]]="","",DATE(YEAR(Bandeja_SCTR[[#This Row],[FechaRecepcion]]),MONTH(Bandeja_SCTR[[#This Row],[FechaRecepcion]]),1))</f>
        <v>46296</v>
      </c>
      <c r="O34">
        <f>IF(Bandeja_SCTR[[#This Row],[Estado]]="FINALIZADO",1,0)</f>
        <v>1</v>
      </c>
      <c r="P34">
        <f>IF(Bandeja_SCTR[[#This Row],[CasoId]]="",0,IF(Bandeja_SCTR[[#This Row],[Estado]]="FINALIZADO",0,1))</f>
        <v>0</v>
      </c>
    </row>
    <row r="35" spans="1:16" x14ac:dyDescent="0.3">
      <c r="A35" t="s">
        <v>176</v>
      </c>
      <c r="B35" t="s">
        <v>177</v>
      </c>
      <c r="C35" t="s">
        <v>178</v>
      </c>
      <c r="D35" s="1">
        <v>46309.457534722227</v>
      </c>
      <c r="E35" s="1">
        <v>46309.57603009259</v>
      </c>
      <c r="F35" s="1" t="s">
        <v>179</v>
      </c>
      <c r="G35" t="s">
        <v>29</v>
      </c>
      <c r="H35" s="1">
        <v>46309.57603009259</v>
      </c>
      <c r="I35" t="s">
        <v>180</v>
      </c>
      <c r="J35" t="s">
        <v>181</v>
      </c>
      <c r="K3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35" s="2">
        <f>IF(OR(Bandeja_SCTR[[#This Row],[FechaRecepcion]]="",Bandeja_SCTR[[#This Row],[FechaRespuesta]]=""),"",ROUND((Bandeja_SCTR[[#This Row],[FechaRespuesta]]-Bandeja_SCTR[[#This Row],[FechaRecepcion]])*24,1))</f>
        <v>2.8</v>
      </c>
      <c r="N35" s="3">
        <f>IF(Bandeja_SCTR[[#This Row],[FechaRecepcion]]="","",DATE(YEAR(Bandeja_SCTR[[#This Row],[FechaRecepcion]]),MONTH(Bandeja_SCTR[[#This Row],[FechaRecepcion]]),1))</f>
        <v>46296</v>
      </c>
      <c r="O35">
        <f>IF(Bandeja_SCTR[[#This Row],[Estado]]="FINALIZADO",1,0)</f>
        <v>1</v>
      </c>
      <c r="P35">
        <f>IF(Bandeja_SCTR[[#This Row],[CasoId]]="",0,IF(Bandeja_SCTR[[#This Row],[Estado]]="FINALIZADO",0,1))</f>
        <v>0</v>
      </c>
    </row>
    <row r="36" spans="1:16" x14ac:dyDescent="0.3">
      <c r="A36" t="s">
        <v>182</v>
      </c>
      <c r="B36" t="s">
        <v>183</v>
      </c>
      <c r="C36" t="s">
        <v>184</v>
      </c>
      <c r="D36" s="1">
        <v>46309.458854166667</v>
      </c>
      <c r="E36" s="1">
        <v>46309.458854166667</v>
      </c>
      <c r="F36" s="1" t="s">
        <v>147</v>
      </c>
      <c r="G36" t="s">
        <v>29</v>
      </c>
      <c r="H36" s="1">
        <v>46309.458854166667</v>
      </c>
      <c r="I36" t="s">
        <v>147</v>
      </c>
      <c r="J36" t="s">
        <v>185</v>
      </c>
      <c r="K3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36" s="2">
        <f>IF(OR(Bandeja_SCTR[[#This Row],[FechaRecepcion]]="",Bandeja_SCTR[[#This Row],[FechaRespuesta]]=""),"",ROUND((Bandeja_SCTR[[#This Row],[FechaRespuesta]]-Bandeja_SCTR[[#This Row],[FechaRecepcion]])*24,1))</f>
        <v>0</v>
      </c>
      <c r="N36" s="3">
        <f>IF(Bandeja_SCTR[[#This Row],[FechaRecepcion]]="","",DATE(YEAR(Bandeja_SCTR[[#This Row],[FechaRecepcion]]),MONTH(Bandeja_SCTR[[#This Row],[FechaRecepcion]]),1))</f>
        <v>46296</v>
      </c>
      <c r="O36">
        <f>IF(Bandeja_SCTR[[#This Row],[Estado]]="FINALIZADO",1,0)</f>
        <v>1</v>
      </c>
      <c r="P36">
        <f>IF(Bandeja_SCTR[[#This Row],[CasoId]]="",0,IF(Bandeja_SCTR[[#This Row],[Estado]]="FINALIZADO",0,1))</f>
        <v>0</v>
      </c>
    </row>
    <row r="37" spans="1:16" x14ac:dyDescent="0.3">
      <c r="A37" t="s">
        <v>186</v>
      </c>
      <c r="B37" t="s">
        <v>187</v>
      </c>
      <c r="C37" t="s">
        <v>188</v>
      </c>
      <c r="D37" s="1">
        <v>46309.464618055557</v>
      </c>
      <c r="E37" s="1">
        <v>46309.464618055557</v>
      </c>
      <c r="F37" s="1" t="s">
        <v>189</v>
      </c>
      <c r="H37" s="1"/>
      <c r="J37" t="s">
        <v>190</v>
      </c>
      <c r="K3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7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37" s="2" t="str">
        <f>IF(OR(Bandeja_SCTR[[#This Row],[FechaRecepcion]]="",Bandeja_SCTR[[#This Row],[FechaRespuesta]]=""),"",ROUND((Bandeja_SCTR[[#This Row],[FechaRespuesta]]-Bandeja_SCTR[[#This Row],[FechaRecepcion]])*24,1))</f>
        <v/>
      </c>
      <c r="N37" s="3">
        <f>IF(Bandeja_SCTR[[#This Row],[FechaRecepcion]]="","",DATE(YEAR(Bandeja_SCTR[[#This Row],[FechaRecepcion]]),MONTH(Bandeja_SCTR[[#This Row],[FechaRecepcion]]),1))</f>
        <v>46296</v>
      </c>
      <c r="O37">
        <f>IF(Bandeja_SCTR[[#This Row],[Estado]]="FINALIZADO",1,0)</f>
        <v>0</v>
      </c>
      <c r="P37">
        <f>IF(Bandeja_SCTR[[#This Row],[CasoId]]="",0,IF(Bandeja_SCTR[[#This Row],[Estado]]="FINALIZADO",0,1))</f>
        <v>1</v>
      </c>
    </row>
    <row r="38" spans="1:16" x14ac:dyDescent="0.3">
      <c r="A38" t="s">
        <v>191</v>
      </c>
      <c r="B38" t="s">
        <v>192</v>
      </c>
      <c r="C38" t="s">
        <v>193</v>
      </c>
      <c r="D38" s="1">
        <v>46309.465208333335</v>
      </c>
      <c r="E38" s="1">
        <v>46309.50708333333</v>
      </c>
      <c r="F38" s="1" t="s">
        <v>194</v>
      </c>
      <c r="G38" t="s">
        <v>29</v>
      </c>
      <c r="H38" s="1">
        <v>46309.50708333333</v>
      </c>
      <c r="I38" t="s">
        <v>195</v>
      </c>
      <c r="J38" t="s">
        <v>196</v>
      </c>
      <c r="K3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38" s="2">
        <f>IF(OR(Bandeja_SCTR[[#This Row],[FechaRecepcion]]="",Bandeja_SCTR[[#This Row],[FechaRespuesta]]=""),"",ROUND((Bandeja_SCTR[[#This Row],[FechaRespuesta]]-Bandeja_SCTR[[#This Row],[FechaRecepcion]])*24,1))</f>
        <v>1</v>
      </c>
      <c r="N38" s="3">
        <f>IF(Bandeja_SCTR[[#This Row],[FechaRecepcion]]="","",DATE(YEAR(Bandeja_SCTR[[#This Row],[FechaRecepcion]]),MONTH(Bandeja_SCTR[[#This Row],[FechaRecepcion]]),1))</f>
        <v>46296</v>
      </c>
      <c r="O38">
        <f>IF(Bandeja_SCTR[[#This Row],[Estado]]="FINALIZADO",1,0)</f>
        <v>1</v>
      </c>
      <c r="P38">
        <f>IF(Bandeja_SCTR[[#This Row],[CasoId]]="",0,IF(Bandeja_SCTR[[#This Row],[Estado]]="FINALIZADO",0,1))</f>
        <v>0</v>
      </c>
    </row>
    <row r="39" spans="1:16" x14ac:dyDescent="0.3">
      <c r="A39" t="s">
        <v>197</v>
      </c>
      <c r="B39" t="s">
        <v>173</v>
      </c>
      <c r="C39" t="s">
        <v>174</v>
      </c>
      <c r="D39" s="1">
        <v>46309.47011574074</v>
      </c>
      <c r="E39" s="1">
        <v>46309.47011574074</v>
      </c>
      <c r="F39" s="1" t="s">
        <v>198</v>
      </c>
      <c r="H39" s="1"/>
      <c r="J39" t="s">
        <v>199</v>
      </c>
      <c r="K3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9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39" s="2" t="str">
        <f>IF(OR(Bandeja_SCTR[[#This Row],[FechaRecepcion]]="",Bandeja_SCTR[[#This Row],[FechaRespuesta]]=""),"",ROUND((Bandeja_SCTR[[#This Row],[FechaRespuesta]]-Bandeja_SCTR[[#This Row],[FechaRecepcion]])*24,1))</f>
        <v/>
      </c>
      <c r="N39" s="3">
        <f>IF(Bandeja_SCTR[[#This Row],[FechaRecepcion]]="","",DATE(YEAR(Bandeja_SCTR[[#This Row],[FechaRecepcion]]),MONTH(Bandeja_SCTR[[#This Row],[FechaRecepcion]]),1))</f>
        <v>46296</v>
      </c>
      <c r="O39">
        <f>IF(Bandeja_SCTR[[#This Row],[Estado]]="FINALIZADO",1,0)</f>
        <v>0</v>
      </c>
      <c r="P39">
        <f>IF(Bandeja_SCTR[[#This Row],[CasoId]]="",0,IF(Bandeja_SCTR[[#This Row],[Estado]]="FINALIZADO",0,1))</f>
        <v>1</v>
      </c>
    </row>
    <row r="40" spans="1:16" x14ac:dyDescent="0.3">
      <c r="A40" t="s">
        <v>200</v>
      </c>
      <c r="B40" t="s">
        <v>201</v>
      </c>
      <c r="C40" t="s">
        <v>202</v>
      </c>
      <c r="D40" s="1">
        <v>46309.471342592587</v>
      </c>
      <c r="E40" s="1">
        <v>46309.471342592587</v>
      </c>
      <c r="F40" s="1" t="s">
        <v>203</v>
      </c>
      <c r="H40" s="1"/>
      <c r="J40" t="s">
        <v>204</v>
      </c>
      <c r="K4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40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40" s="2" t="str">
        <f>IF(OR(Bandeja_SCTR[[#This Row],[FechaRecepcion]]="",Bandeja_SCTR[[#This Row],[FechaRespuesta]]=""),"",ROUND((Bandeja_SCTR[[#This Row],[FechaRespuesta]]-Bandeja_SCTR[[#This Row],[FechaRecepcion]])*24,1))</f>
        <v/>
      </c>
      <c r="N40" s="3">
        <f>IF(Bandeja_SCTR[[#This Row],[FechaRecepcion]]="","",DATE(YEAR(Bandeja_SCTR[[#This Row],[FechaRecepcion]]),MONTH(Bandeja_SCTR[[#This Row],[FechaRecepcion]]),1))</f>
        <v>46296</v>
      </c>
      <c r="O40">
        <f>IF(Bandeja_SCTR[[#This Row],[Estado]]="FINALIZADO",1,0)</f>
        <v>0</v>
      </c>
      <c r="P40">
        <f>IF(Bandeja_SCTR[[#This Row],[CasoId]]="",0,IF(Bandeja_SCTR[[#This Row],[Estado]]="FINALIZADO",0,1))</f>
        <v>1</v>
      </c>
    </row>
    <row r="41" spans="1:16" x14ac:dyDescent="0.3">
      <c r="A41" t="s">
        <v>205</v>
      </c>
      <c r="B41" t="s">
        <v>206</v>
      </c>
      <c r="C41" t="s">
        <v>207</v>
      </c>
      <c r="D41" s="1">
        <v>46309.477500000001</v>
      </c>
      <c r="E41" s="1">
        <v>46309.490081018521</v>
      </c>
      <c r="F41" s="1" t="s">
        <v>141</v>
      </c>
      <c r="G41" t="s">
        <v>29</v>
      </c>
      <c r="H41" s="1">
        <v>46309.490081018521</v>
      </c>
      <c r="I41" t="s">
        <v>208</v>
      </c>
      <c r="J41" t="s">
        <v>209</v>
      </c>
      <c r="K4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41" s="2">
        <f>IF(OR(Bandeja_SCTR[[#This Row],[FechaRecepcion]]="",Bandeja_SCTR[[#This Row],[FechaRespuesta]]=""),"",ROUND((Bandeja_SCTR[[#This Row],[FechaRespuesta]]-Bandeja_SCTR[[#This Row],[FechaRecepcion]])*24,1))</f>
        <v>0.3</v>
      </c>
      <c r="N41" s="3">
        <f>IF(Bandeja_SCTR[[#This Row],[FechaRecepcion]]="","",DATE(YEAR(Bandeja_SCTR[[#This Row],[FechaRecepcion]]),MONTH(Bandeja_SCTR[[#This Row],[FechaRecepcion]]),1))</f>
        <v>46296</v>
      </c>
      <c r="O41">
        <f>IF(Bandeja_SCTR[[#This Row],[Estado]]="FINALIZADO",1,0)</f>
        <v>1</v>
      </c>
      <c r="P41">
        <f>IF(Bandeja_SCTR[[#This Row],[CasoId]]="",0,IF(Bandeja_SCTR[[#This Row],[Estado]]="FINALIZADO",0,1))</f>
        <v>0</v>
      </c>
    </row>
    <row r="42" spans="1:16" x14ac:dyDescent="0.3">
      <c r="A42" t="s">
        <v>210</v>
      </c>
      <c r="B42" t="s">
        <v>211</v>
      </c>
      <c r="C42" t="s">
        <v>212</v>
      </c>
      <c r="D42" s="1">
        <v>46309.478761574079</v>
      </c>
      <c r="E42" s="1">
        <v>46309.609490740739</v>
      </c>
      <c r="F42" s="1" t="s">
        <v>213</v>
      </c>
      <c r="G42" t="s">
        <v>29</v>
      </c>
      <c r="H42" s="1">
        <v>46309.609490740739</v>
      </c>
      <c r="I42" t="s">
        <v>214</v>
      </c>
      <c r="J42" t="s">
        <v>215</v>
      </c>
      <c r="K4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42" s="2">
        <f>IF(OR(Bandeja_SCTR[[#This Row],[FechaRecepcion]]="",Bandeja_SCTR[[#This Row],[FechaRespuesta]]=""),"",ROUND((Bandeja_SCTR[[#This Row],[FechaRespuesta]]-Bandeja_SCTR[[#This Row],[FechaRecepcion]])*24,1))</f>
        <v>3.1</v>
      </c>
      <c r="N42" s="3">
        <f>IF(Bandeja_SCTR[[#This Row],[FechaRecepcion]]="","",DATE(YEAR(Bandeja_SCTR[[#This Row],[FechaRecepcion]]),MONTH(Bandeja_SCTR[[#This Row],[FechaRecepcion]]),1))</f>
        <v>46296</v>
      </c>
      <c r="O42">
        <f>IF(Bandeja_SCTR[[#This Row],[Estado]]="FINALIZADO",1,0)</f>
        <v>1</v>
      </c>
      <c r="P42">
        <f>IF(Bandeja_SCTR[[#This Row],[CasoId]]="",0,IF(Bandeja_SCTR[[#This Row],[Estado]]="FINALIZADO",0,1))</f>
        <v>0</v>
      </c>
    </row>
    <row r="43" spans="1:16" x14ac:dyDescent="0.3">
      <c r="A43" t="s">
        <v>216</v>
      </c>
      <c r="B43" t="s">
        <v>217</v>
      </c>
      <c r="C43" t="s">
        <v>218</v>
      </c>
      <c r="D43" s="1">
        <v>46309.484907407408</v>
      </c>
      <c r="E43" s="1">
        <v>46309.576678240745</v>
      </c>
      <c r="F43" s="1" t="s">
        <v>219</v>
      </c>
      <c r="H43" s="1"/>
      <c r="J43" t="s">
        <v>220</v>
      </c>
      <c r="K4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43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43" s="2" t="str">
        <f>IF(OR(Bandeja_SCTR[[#This Row],[FechaRecepcion]]="",Bandeja_SCTR[[#This Row],[FechaRespuesta]]=""),"",ROUND((Bandeja_SCTR[[#This Row],[FechaRespuesta]]-Bandeja_SCTR[[#This Row],[FechaRecepcion]])*24,1))</f>
        <v/>
      </c>
      <c r="N43" s="3">
        <f>IF(Bandeja_SCTR[[#This Row],[FechaRecepcion]]="","",DATE(YEAR(Bandeja_SCTR[[#This Row],[FechaRecepcion]]),MONTH(Bandeja_SCTR[[#This Row],[FechaRecepcion]]),1))</f>
        <v>46296</v>
      </c>
      <c r="O43">
        <f>IF(Bandeja_SCTR[[#This Row],[Estado]]="FINALIZADO",1,0)</f>
        <v>0</v>
      </c>
      <c r="P43">
        <f>IF(Bandeja_SCTR[[#This Row],[CasoId]]="",0,IF(Bandeja_SCTR[[#This Row],[Estado]]="FINALIZADO",0,1))</f>
        <v>1</v>
      </c>
    </row>
    <row r="44" spans="1:16" x14ac:dyDescent="0.3">
      <c r="A44" t="s">
        <v>221</v>
      </c>
      <c r="B44" t="s">
        <v>222</v>
      </c>
      <c r="C44" t="s">
        <v>223</v>
      </c>
      <c r="D44" s="1">
        <v>46309.488217592589</v>
      </c>
      <c r="E44" s="1">
        <v>46309.488217592589</v>
      </c>
      <c r="F44" s="1" t="s">
        <v>224</v>
      </c>
      <c r="H44" s="1"/>
      <c r="J44" t="s">
        <v>225</v>
      </c>
      <c r="K4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44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44" s="2" t="str">
        <f>IF(OR(Bandeja_SCTR[[#This Row],[FechaRecepcion]]="",Bandeja_SCTR[[#This Row],[FechaRespuesta]]=""),"",ROUND((Bandeja_SCTR[[#This Row],[FechaRespuesta]]-Bandeja_SCTR[[#This Row],[FechaRecepcion]])*24,1))</f>
        <v/>
      </c>
      <c r="N44" s="3">
        <f>IF(Bandeja_SCTR[[#This Row],[FechaRecepcion]]="","",DATE(YEAR(Bandeja_SCTR[[#This Row],[FechaRecepcion]]),MONTH(Bandeja_SCTR[[#This Row],[FechaRecepcion]]),1))</f>
        <v>46296</v>
      </c>
      <c r="O44">
        <f>IF(Bandeja_SCTR[[#This Row],[Estado]]="FINALIZADO",1,0)</f>
        <v>0</v>
      </c>
      <c r="P44">
        <f>IF(Bandeja_SCTR[[#This Row],[CasoId]]="",0,IF(Bandeja_SCTR[[#This Row],[Estado]]="FINALIZADO",0,1))</f>
        <v>1</v>
      </c>
    </row>
    <row r="45" spans="1:16" x14ac:dyDescent="0.3">
      <c r="A45" t="s">
        <v>226</v>
      </c>
      <c r="B45" t="s">
        <v>227</v>
      </c>
      <c r="C45" t="s">
        <v>228</v>
      </c>
      <c r="D45" s="1">
        <v>46309.48810185185</v>
      </c>
      <c r="E45" s="1">
        <v>46309.48810185185</v>
      </c>
      <c r="F45" s="1" t="s">
        <v>229</v>
      </c>
      <c r="H45" s="1"/>
      <c r="J45" t="s">
        <v>230</v>
      </c>
      <c r="K4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45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45" s="2" t="str">
        <f>IF(OR(Bandeja_SCTR[[#This Row],[FechaRecepcion]]="",Bandeja_SCTR[[#This Row],[FechaRespuesta]]=""),"",ROUND((Bandeja_SCTR[[#This Row],[FechaRespuesta]]-Bandeja_SCTR[[#This Row],[FechaRecepcion]])*24,1))</f>
        <v/>
      </c>
      <c r="N45" s="3">
        <f>IF(Bandeja_SCTR[[#This Row],[FechaRecepcion]]="","",DATE(YEAR(Bandeja_SCTR[[#This Row],[FechaRecepcion]]),MONTH(Bandeja_SCTR[[#This Row],[FechaRecepcion]]),1))</f>
        <v>46296</v>
      </c>
      <c r="O45">
        <f>IF(Bandeja_SCTR[[#This Row],[Estado]]="FINALIZADO",1,0)</f>
        <v>0</v>
      </c>
      <c r="P45">
        <f>IF(Bandeja_SCTR[[#This Row],[CasoId]]="",0,IF(Bandeja_SCTR[[#This Row],[Estado]]="FINALIZADO",0,1))</f>
        <v>1</v>
      </c>
    </row>
    <row r="46" spans="1:16" x14ac:dyDescent="0.3">
      <c r="A46" t="s">
        <v>231</v>
      </c>
      <c r="B46" t="s">
        <v>232</v>
      </c>
      <c r="C46" t="s">
        <v>233</v>
      </c>
      <c r="D46" s="1">
        <v>46309.488923611112</v>
      </c>
      <c r="E46" s="1">
        <v>46309.62090277778</v>
      </c>
      <c r="F46" s="1" t="s">
        <v>141</v>
      </c>
      <c r="G46" t="s">
        <v>29</v>
      </c>
      <c r="H46" s="1">
        <v>46309.62090277778</v>
      </c>
      <c r="I46" t="s">
        <v>208</v>
      </c>
      <c r="J46" t="s">
        <v>234</v>
      </c>
      <c r="K4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46" s="2">
        <f>IF(OR(Bandeja_SCTR[[#This Row],[FechaRecepcion]]="",Bandeja_SCTR[[#This Row],[FechaRespuesta]]=""),"",ROUND((Bandeja_SCTR[[#This Row],[FechaRespuesta]]-Bandeja_SCTR[[#This Row],[FechaRecepcion]])*24,1))</f>
        <v>3.2</v>
      </c>
      <c r="N46" s="3">
        <f>IF(Bandeja_SCTR[[#This Row],[FechaRecepcion]]="","",DATE(YEAR(Bandeja_SCTR[[#This Row],[FechaRecepcion]]),MONTH(Bandeja_SCTR[[#This Row],[FechaRecepcion]]),1))</f>
        <v>46296</v>
      </c>
      <c r="O46">
        <f>IF(Bandeja_SCTR[[#This Row],[Estado]]="FINALIZADO",1,0)</f>
        <v>1</v>
      </c>
      <c r="P46">
        <f>IF(Bandeja_SCTR[[#This Row],[CasoId]]="",0,IF(Bandeja_SCTR[[#This Row],[Estado]]="FINALIZADO",0,1))</f>
        <v>0</v>
      </c>
    </row>
    <row r="47" spans="1:16" x14ac:dyDescent="0.3">
      <c r="A47" t="s">
        <v>235</v>
      </c>
      <c r="B47" t="s">
        <v>236</v>
      </c>
      <c r="C47" t="s">
        <v>237</v>
      </c>
      <c r="D47" s="1">
        <v>46309.491273148145</v>
      </c>
      <c r="E47" s="1">
        <v>46309.491273148145</v>
      </c>
      <c r="F47" s="1" t="s">
        <v>141</v>
      </c>
      <c r="G47" t="s">
        <v>29</v>
      </c>
      <c r="H47" s="1">
        <v>46309.491273148145</v>
      </c>
      <c r="I47" t="s">
        <v>208</v>
      </c>
      <c r="J47" t="s">
        <v>238</v>
      </c>
      <c r="K4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47" s="2">
        <f>IF(OR(Bandeja_SCTR[[#This Row],[FechaRecepcion]]="",Bandeja_SCTR[[#This Row],[FechaRespuesta]]=""),"",ROUND((Bandeja_SCTR[[#This Row],[FechaRespuesta]]-Bandeja_SCTR[[#This Row],[FechaRecepcion]])*24,1))</f>
        <v>0</v>
      </c>
      <c r="N47" s="3">
        <f>IF(Bandeja_SCTR[[#This Row],[FechaRecepcion]]="","",DATE(YEAR(Bandeja_SCTR[[#This Row],[FechaRecepcion]]),MONTH(Bandeja_SCTR[[#This Row],[FechaRecepcion]]),1))</f>
        <v>46296</v>
      </c>
      <c r="O47">
        <f>IF(Bandeja_SCTR[[#This Row],[Estado]]="FINALIZADO",1,0)</f>
        <v>1</v>
      </c>
      <c r="P47">
        <f>IF(Bandeja_SCTR[[#This Row],[CasoId]]="",0,IF(Bandeja_SCTR[[#This Row],[Estado]]="FINALIZADO",0,1))</f>
        <v>0</v>
      </c>
    </row>
    <row r="48" spans="1:16" x14ac:dyDescent="0.3">
      <c r="A48" t="s">
        <v>239</v>
      </c>
      <c r="B48" t="s">
        <v>240</v>
      </c>
      <c r="C48" t="s">
        <v>241</v>
      </c>
      <c r="D48" s="1">
        <v>46309.49282407407</v>
      </c>
      <c r="E48" s="1">
        <v>46309.49282407407</v>
      </c>
      <c r="F48" s="1" t="s">
        <v>242</v>
      </c>
      <c r="G48" t="s">
        <v>29</v>
      </c>
      <c r="H48" s="1">
        <v>46309.49282407407</v>
      </c>
      <c r="I48" t="s">
        <v>243</v>
      </c>
      <c r="J48" t="s">
        <v>244</v>
      </c>
      <c r="K4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48" s="2">
        <f>IF(OR(Bandeja_SCTR[[#This Row],[FechaRecepcion]]="",Bandeja_SCTR[[#This Row],[FechaRespuesta]]=""),"",ROUND((Bandeja_SCTR[[#This Row],[FechaRespuesta]]-Bandeja_SCTR[[#This Row],[FechaRecepcion]])*24,1))</f>
        <v>0</v>
      </c>
      <c r="N48" s="3">
        <f>IF(Bandeja_SCTR[[#This Row],[FechaRecepcion]]="","",DATE(YEAR(Bandeja_SCTR[[#This Row],[FechaRecepcion]]),MONTH(Bandeja_SCTR[[#This Row],[FechaRecepcion]]),1))</f>
        <v>46296</v>
      </c>
      <c r="O48">
        <f>IF(Bandeja_SCTR[[#This Row],[Estado]]="FINALIZADO",1,0)</f>
        <v>1</v>
      </c>
      <c r="P48">
        <f>IF(Bandeja_SCTR[[#This Row],[CasoId]]="",0,IF(Bandeja_SCTR[[#This Row],[Estado]]="FINALIZADO",0,1))</f>
        <v>0</v>
      </c>
    </row>
    <row r="49" spans="1:16" x14ac:dyDescent="0.3">
      <c r="A49" t="s">
        <v>245</v>
      </c>
      <c r="B49" t="s">
        <v>240</v>
      </c>
      <c r="C49" t="s">
        <v>241</v>
      </c>
      <c r="D49" s="1">
        <v>46309.493344907409</v>
      </c>
      <c r="E49" s="1">
        <v>46309.493344907409</v>
      </c>
      <c r="F49" s="1" t="s">
        <v>242</v>
      </c>
      <c r="H49" s="1"/>
      <c r="J49" t="s">
        <v>246</v>
      </c>
      <c r="K4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49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49" s="2" t="str">
        <f>IF(OR(Bandeja_SCTR[[#This Row],[FechaRecepcion]]="",Bandeja_SCTR[[#This Row],[FechaRespuesta]]=""),"",ROUND((Bandeja_SCTR[[#This Row],[FechaRespuesta]]-Bandeja_SCTR[[#This Row],[FechaRecepcion]])*24,1))</f>
        <v/>
      </c>
      <c r="N49" s="3">
        <f>IF(Bandeja_SCTR[[#This Row],[FechaRecepcion]]="","",DATE(YEAR(Bandeja_SCTR[[#This Row],[FechaRecepcion]]),MONTH(Bandeja_SCTR[[#This Row],[FechaRecepcion]]),1))</f>
        <v>46296</v>
      </c>
      <c r="O49">
        <f>IF(Bandeja_SCTR[[#This Row],[Estado]]="FINALIZADO",1,0)</f>
        <v>0</v>
      </c>
      <c r="P49">
        <f>IF(Bandeja_SCTR[[#This Row],[CasoId]]="",0,IF(Bandeja_SCTR[[#This Row],[Estado]]="FINALIZADO",0,1))</f>
        <v>1</v>
      </c>
    </row>
    <row r="50" spans="1:16" x14ac:dyDescent="0.3">
      <c r="A50" t="s">
        <v>247</v>
      </c>
      <c r="B50" t="s">
        <v>248</v>
      </c>
      <c r="C50" t="s">
        <v>249</v>
      </c>
      <c r="D50" s="1">
        <v>46309.497037037036</v>
      </c>
      <c r="E50" s="1">
        <v>46309.497037037036</v>
      </c>
      <c r="F50" s="1" t="s">
        <v>250</v>
      </c>
      <c r="H50" s="1"/>
      <c r="J50" t="s">
        <v>251</v>
      </c>
      <c r="K5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50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50" s="2" t="str">
        <f>IF(OR(Bandeja_SCTR[[#This Row],[FechaRecepcion]]="",Bandeja_SCTR[[#This Row],[FechaRespuesta]]=""),"",ROUND((Bandeja_SCTR[[#This Row],[FechaRespuesta]]-Bandeja_SCTR[[#This Row],[FechaRecepcion]])*24,1))</f>
        <v/>
      </c>
      <c r="N50" s="3">
        <f>IF(Bandeja_SCTR[[#This Row],[FechaRecepcion]]="","",DATE(YEAR(Bandeja_SCTR[[#This Row],[FechaRecepcion]]),MONTH(Bandeja_SCTR[[#This Row],[FechaRecepcion]]),1))</f>
        <v>46296</v>
      </c>
      <c r="O50">
        <f>IF(Bandeja_SCTR[[#This Row],[Estado]]="FINALIZADO",1,0)</f>
        <v>0</v>
      </c>
      <c r="P50">
        <f>IF(Bandeja_SCTR[[#This Row],[CasoId]]="",0,IF(Bandeja_SCTR[[#This Row],[Estado]]="FINALIZADO",0,1))</f>
        <v>1</v>
      </c>
    </row>
    <row r="51" spans="1:16" x14ac:dyDescent="0.3">
      <c r="A51" t="s">
        <v>252</v>
      </c>
      <c r="B51" t="s">
        <v>38</v>
      </c>
      <c r="C51" t="s">
        <v>39</v>
      </c>
      <c r="D51" s="1">
        <v>46309.497048611112</v>
      </c>
      <c r="E51" s="1">
        <v>46309.497928240744</v>
      </c>
      <c r="F51" s="1" t="s">
        <v>102</v>
      </c>
      <c r="H51" s="1"/>
      <c r="J51" t="s">
        <v>71</v>
      </c>
      <c r="K5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51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51" s="2" t="str">
        <f>IF(OR(Bandeja_SCTR[[#This Row],[FechaRecepcion]]="",Bandeja_SCTR[[#This Row],[FechaRespuesta]]=""),"",ROUND((Bandeja_SCTR[[#This Row],[FechaRespuesta]]-Bandeja_SCTR[[#This Row],[FechaRecepcion]])*24,1))</f>
        <v/>
      </c>
      <c r="N51" s="3">
        <f>IF(Bandeja_SCTR[[#This Row],[FechaRecepcion]]="","",DATE(YEAR(Bandeja_SCTR[[#This Row],[FechaRecepcion]]),MONTH(Bandeja_SCTR[[#This Row],[FechaRecepcion]]),1))</f>
        <v>46296</v>
      </c>
      <c r="O51">
        <f>IF(Bandeja_SCTR[[#This Row],[Estado]]="FINALIZADO",1,0)</f>
        <v>0</v>
      </c>
      <c r="P51">
        <f>IF(Bandeja_SCTR[[#This Row],[CasoId]]="",0,IF(Bandeja_SCTR[[#This Row],[Estado]]="FINALIZADO",0,1))</f>
        <v>1</v>
      </c>
    </row>
    <row r="52" spans="1:16" x14ac:dyDescent="0.3">
      <c r="A52" t="s">
        <v>253</v>
      </c>
      <c r="B52" t="s">
        <v>254</v>
      </c>
      <c r="C52" t="s">
        <v>255</v>
      </c>
      <c r="D52" s="1">
        <v>46309.49732638889</v>
      </c>
      <c r="E52" s="1">
        <v>46309.49732638889</v>
      </c>
      <c r="F52" s="1" t="s">
        <v>256</v>
      </c>
      <c r="H52" s="1"/>
      <c r="J52" t="s">
        <v>257</v>
      </c>
      <c r="K5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52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52" s="2" t="str">
        <f>IF(OR(Bandeja_SCTR[[#This Row],[FechaRecepcion]]="",Bandeja_SCTR[[#This Row],[FechaRespuesta]]=""),"",ROUND((Bandeja_SCTR[[#This Row],[FechaRespuesta]]-Bandeja_SCTR[[#This Row],[FechaRecepcion]])*24,1))</f>
        <v/>
      </c>
      <c r="N52" s="3">
        <f>IF(Bandeja_SCTR[[#This Row],[FechaRecepcion]]="","",DATE(YEAR(Bandeja_SCTR[[#This Row],[FechaRecepcion]]),MONTH(Bandeja_SCTR[[#This Row],[FechaRecepcion]]),1))</f>
        <v>46296</v>
      </c>
      <c r="O52">
        <f>IF(Bandeja_SCTR[[#This Row],[Estado]]="FINALIZADO",1,0)</f>
        <v>0</v>
      </c>
      <c r="P52">
        <f>IF(Bandeja_SCTR[[#This Row],[CasoId]]="",0,IF(Bandeja_SCTR[[#This Row],[Estado]]="FINALIZADO",0,1))</f>
        <v>1</v>
      </c>
    </row>
    <row r="53" spans="1:16" x14ac:dyDescent="0.3">
      <c r="A53" t="s">
        <v>258</v>
      </c>
      <c r="B53" t="s">
        <v>259</v>
      </c>
      <c r="C53" t="s">
        <v>260</v>
      </c>
      <c r="D53" s="1">
        <v>46309.500960648147</v>
      </c>
      <c r="E53" s="1">
        <v>46309.500960648147</v>
      </c>
      <c r="F53" s="1" t="s">
        <v>261</v>
      </c>
      <c r="H53" s="1"/>
      <c r="J53" t="s">
        <v>262</v>
      </c>
      <c r="K5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53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53" s="2" t="str">
        <f>IF(OR(Bandeja_SCTR[[#This Row],[FechaRecepcion]]="",Bandeja_SCTR[[#This Row],[FechaRespuesta]]=""),"",ROUND((Bandeja_SCTR[[#This Row],[FechaRespuesta]]-Bandeja_SCTR[[#This Row],[FechaRecepcion]])*24,1))</f>
        <v/>
      </c>
      <c r="N53" s="3">
        <f>IF(Bandeja_SCTR[[#This Row],[FechaRecepcion]]="","",DATE(YEAR(Bandeja_SCTR[[#This Row],[FechaRecepcion]]),MONTH(Bandeja_SCTR[[#This Row],[FechaRecepcion]]),1))</f>
        <v>46296</v>
      </c>
      <c r="O53">
        <f>IF(Bandeja_SCTR[[#This Row],[Estado]]="FINALIZADO",1,0)</f>
        <v>0</v>
      </c>
      <c r="P53">
        <f>IF(Bandeja_SCTR[[#This Row],[CasoId]]="",0,IF(Bandeja_SCTR[[#This Row],[Estado]]="FINALIZADO",0,1))</f>
        <v>1</v>
      </c>
    </row>
    <row r="54" spans="1:16" x14ac:dyDescent="0.3">
      <c r="A54" t="s">
        <v>263</v>
      </c>
      <c r="B54" t="s">
        <v>264</v>
      </c>
      <c r="C54" t="s">
        <v>265</v>
      </c>
      <c r="D54" s="1">
        <v>46309.500162037039</v>
      </c>
      <c r="E54" s="1">
        <v>46309.500162037039</v>
      </c>
      <c r="F54" s="1" t="s">
        <v>266</v>
      </c>
      <c r="H54" s="1"/>
      <c r="J54" t="s">
        <v>267</v>
      </c>
      <c r="K5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54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54" s="2" t="str">
        <f>IF(OR(Bandeja_SCTR[[#This Row],[FechaRecepcion]]="",Bandeja_SCTR[[#This Row],[FechaRespuesta]]=""),"",ROUND((Bandeja_SCTR[[#This Row],[FechaRespuesta]]-Bandeja_SCTR[[#This Row],[FechaRecepcion]])*24,1))</f>
        <v/>
      </c>
      <c r="N54" s="3">
        <f>IF(Bandeja_SCTR[[#This Row],[FechaRecepcion]]="","",DATE(YEAR(Bandeja_SCTR[[#This Row],[FechaRecepcion]]),MONTH(Bandeja_SCTR[[#This Row],[FechaRecepcion]]),1))</f>
        <v>46296</v>
      </c>
      <c r="O54">
        <f>IF(Bandeja_SCTR[[#This Row],[Estado]]="FINALIZADO",1,0)</f>
        <v>0</v>
      </c>
      <c r="P54">
        <f>IF(Bandeja_SCTR[[#This Row],[CasoId]]="",0,IF(Bandeja_SCTR[[#This Row],[Estado]]="FINALIZADO",0,1))</f>
        <v>1</v>
      </c>
    </row>
    <row r="55" spans="1:16" x14ac:dyDescent="0.3">
      <c r="A55" t="s">
        <v>268</v>
      </c>
      <c r="B55" t="s">
        <v>269</v>
      </c>
      <c r="C55" t="s">
        <v>270</v>
      </c>
      <c r="D55" s="1">
        <v>46309.512858796297</v>
      </c>
      <c r="E55" s="1">
        <v>46309.512858796297</v>
      </c>
      <c r="F55" s="1" t="s">
        <v>250</v>
      </c>
      <c r="H55" s="1"/>
      <c r="J55" t="s">
        <v>251</v>
      </c>
      <c r="K5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55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55" s="2" t="str">
        <f>IF(OR(Bandeja_SCTR[[#This Row],[FechaRecepcion]]="",Bandeja_SCTR[[#This Row],[FechaRespuesta]]=""),"",ROUND((Bandeja_SCTR[[#This Row],[FechaRespuesta]]-Bandeja_SCTR[[#This Row],[FechaRecepcion]])*24,1))</f>
        <v/>
      </c>
      <c r="N55" s="3">
        <f>IF(Bandeja_SCTR[[#This Row],[FechaRecepcion]]="","",DATE(YEAR(Bandeja_SCTR[[#This Row],[FechaRecepcion]]),MONTH(Bandeja_SCTR[[#This Row],[FechaRecepcion]]),1))</f>
        <v>46296</v>
      </c>
      <c r="O55">
        <f>IF(Bandeja_SCTR[[#This Row],[Estado]]="FINALIZADO",1,0)</f>
        <v>0</v>
      </c>
      <c r="P55">
        <f>IF(Bandeja_SCTR[[#This Row],[CasoId]]="",0,IF(Bandeja_SCTR[[#This Row],[Estado]]="FINALIZADO",0,1))</f>
        <v>1</v>
      </c>
    </row>
    <row r="56" spans="1:16" x14ac:dyDescent="0.3">
      <c r="A56" t="s">
        <v>271</v>
      </c>
      <c r="B56" t="s">
        <v>272</v>
      </c>
      <c r="C56" t="s">
        <v>273</v>
      </c>
      <c r="D56" s="1">
        <v>46309.515405092592</v>
      </c>
      <c r="E56" s="1">
        <v>46309.515405092592</v>
      </c>
      <c r="F56" s="1" t="s">
        <v>203</v>
      </c>
      <c r="H56" s="1"/>
      <c r="J56" t="s">
        <v>204</v>
      </c>
      <c r="K5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56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56" s="2" t="str">
        <f>IF(OR(Bandeja_SCTR[[#This Row],[FechaRecepcion]]="",Bandeja_SCTR[[#This Row],[FechaRespuesta]]=""),"",ROUND((Bandeja_SCTR[[#This Row],[FechaRespuesta]]-Bandeja_SCTR[[#This Row],[FechaRecepcion]])*24,1))</f>
        <v/>
      </c>
      <c r="N56" s="3">
        <f>IF(Bandeja_SCTR[[#This Row],[FechaRecepcion]]="","",DATE(YEAR(Bandeja_SCTR[[#This Row],[FechaRecepcion]]),MONTH(Bandeja_SCTR[[#This Row],[FechaRecepcion]]),1))</f>
        <v>46296</v>
      </c>
      <c r="O56">
        <f>IF(Bandeja_SCTR[[#This Row],[Estado]]="FINALIZADO",1,0)</f>
        <v>0</v>
      </c>
      <c r="P56">
        <f>IF(Bandeja_SCTR[[#This Row],[CasoId]]="",0,IF(Bandeja_SCTR[[#This Row],[Estado]]="FINALIZADO",0,1))</f>
        <v>1</v>
      </c>
    </row>
    <row r="57" spans="1:16" x14ac:dyDescent="0.3">
      <c r="A57" t="s">
        <v>274</v>
      </c>
      <c r="B57" t="s">
        <v>275</v>
      </c>
      <c r="C57" t="s">
        <v>276</v>
      </c>
      <c r="D57" s="1">
        <v>46309.516527777778</v>
      </c>
      <c r="E57" s="1">
        <v>46309.531435185185</v>
      </c>
      <c r="F57" s="1" t="s">
        <v>90</v>
      </c>
      <c r="G57" t="s">
        <v>29</v>
      </c>
      <c r="H57" s="1">
        <v>46309.519502314812</v>
      </c>
      <c r="I57" t="s">
        <v>208</v>
      </c>
      <c r="J57" t="s">
        <v>277</v>
      </c>
      <c r="K5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5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57" s="2">
        <f>IF(OR(Bandeja_SCTR[[#This Row],[FechaRecepcion]]="",Bandeja_SCTR[[#This Row],[FechaRespuesta]]=""),"",ROUND((Bandeja_SCTR[[#This Row],[FechaRespuesta]]-Bandeja_SCTR[[#This Row],[FechaRecepcion]])*24,1))</f>
        <v>0.1</v>
      </c>
      <c r="N57" s="3">
        <f>IF(Bandeja_SCTR[[#This Row],[FechaRecepcion]]="","",DATE(YEAR(Bandeja_SCTR[[#This Row],[FechaRecepcion]]),MONTH(Bandeja_SCTR[[#This Row],[FechaRecepcion]]),1))</f>
        <v>46296</v>
      </c>
      <c r="O57">
        <f>IF(Bandeja_SCTR[[#This Row],[Estado]]="FINALIZADO",1,0)</f>
        <v>1</v>
      </c>
      <c r="P57">
        <f>IF(Bandeja_SCTR[[#This Row],[CasoId]]="",0,IF(Bandeja_SCTR[[#This Row],[Estado]]="FINALIZADO",0,1))</f>
        <v>0</v>
      </c>
    </row>
    <row r="58" spans="1:16" x14ac:dyDescent="0.3">
      <c r="A58" t="s">
        <v>278</v>
      </c>
      <c r="B58" t="s">
        <v>279</v>
      </c>
      <c r="C58" t="s">
        <v>280</v>
      </c>
      <c r="D58" s="1">
        <v>46309.519988425927</v>
      </c>
      <c r="E58" s="1">
        <v>46309.545729166668</v>
      </c>
      <c r="F58" s="1" t="s">
        <v>142</v>
      </c>
      <c r="G58" t="s">
        <v>29</v>
      </c>
      <c r="H58" s="1">
        <v>46309.545729166668</v>
      </c>
      <c r="I58" t="s">
        <v>281</v>
      </c>
      <c r="J58" t="s">
        <v>282</v>
      </c>
      <c r="K5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5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58" s="2">
        <f>IF(OR(Bandeja_SCTR[[#This Row],[FechaRecepcion]]="",Bandeja_SCTR[[#This Row],[FechaRespuesta]]=""),"",ROUND((Bandeja_SCTR[[#This Row],[FechaRespuesta]]-Bandeja_SCTR[[#This Row],[FechaRecepcion]])*24,1))</f>
        <v>0.6</v>
      </c>
      <c r="N58" s="3">
        <f>IF(Bandeja_SCTR[[#This Row],[FechaRecepcion]]="","",DATE(YEAR(Bandeja_SCTR[[#This Row],[FechaRecepcion]]),MONTH(Bandeja_SCTR[[#This Row],[FechaRecepcion]]),1))</f>
        <v>46296</v>
      </c>
      <c r="O58">
        <f>IF(Bandeja_SCTR[[#This Row],[Estado]]="FINALIZADO",1,0)</f>
        <v>1</v>
      </c>
      <c r="P58">
        <f>IF(Bandeja_SCTR[[#This Row],[CasoId]]="",0,IF(Bandeja_SCTR[[#This Row],[Estado]]="FINALIZADO",0,1))</f>
        <v>0</v>
      </c>
    </row>
    <row r="59" spans="1:16" x14ac:dyDescent="0.3">
      <c r="A59" t="s">
        <v>283</v>
      </c>
      <c r="B59" t="s">
        <v>284</v>
      </c>
      <c r="C59" t="s">
        <v>285</v>
      </c>
      <c r="D59" s="1">
        <v>46309.524606481486</v>
      </c>
      <c r="E59" s="1">
        <v>46309.524606481486</v>
      </c>
      <c r="F59" s="1" t="s">
        <v>136</v>
      </c>
      <c r="H59" s="1"/>
      <c r="J59" t="s">
        <v>286</v>
      </c>
      <c r="K5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59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59" s="2" t="str">
        <f>IF(OR(Bandeja_SCTR[[#This Row],[FechaRecepcion]]="",Bandeja_SCTR[[#This Row],[FechaRespuesta]]=""),"",ROUND((Bandeja_SCTR[[#This Row],[FechaRespuesta]]-Bandeja_SCTR[[#This Row],[FechaRecepcion]])*24,1))</f>
        <v/>
      </c>
      <c r="N59" s="3">
        <f>IF(Bandeja_SCTR[[#This Row],[FechaRecepcion]]="","",DATE(YEAR(Bandeja_SCTR[[#This Row],[FechaRecepcion]]),MONTH(Bandeja_SCTR[[#This Row],[FechaRecepcion]]),1))</f>
        <v>46296</v>
      </c>
      <c r="O59">
        <f>IF(Bandeja_SCTR[[#This Row],[Estado]]="FINALIZADO",1,0)</f>
        <v>0</v>
      </c>
      <c r="P59">
        <f>IF(Bandeja_SCTR[[#This Row],[CasoId]]="",0,IF(Bandeja_SCTR[[#This Row],[Estado]]="FINALIZADO",0,1))</f>
        <v>1</v>
      </c>
    </row>
    <row r="60" spans="1:16" x14ac:dyDescent="0.3">
      <c r="A60" t="s">
        <v>287</v>
      </c>
      <c r="B60" t="s">
        <v>288</v>
      </c>
      <c r="C60" t="s">
        <v>289</v>
      </c>
      <c r="D60" s="1">
        <v>46309.525451388894</v>
      </c>
      <c r="E60" s="1">
        <v>46309.525451388894</v>
      </c>
      <c r="F60" s="1" t="s">
        <v>290</v>
      </c>
      <c r="H60" s="1"/>
      <c r="J60" t="s">
        <v>291</v>
      </c>
      <c r="K6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60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60" s="2" t="str">
        <f>IF(OR(Bandeja_SCTR[[#This Row],[FechaRecepcion]]="",Bandeja_SCTR[[#This Row],[FechaRespuesta]]=""),"",ROUND((Bandeja_SCTR[[#This Row],[FechaRespuesta]]-Bandeja_SCTR[[#This Row],[FechaRecepcion]])*24,1))</f>
        <v/>
      </c>
      <c r="N60" s="3">
        <f>IF(Bandeja_SCTR[[#This Row],[FechaRecepcion]]="","",DATE(YEAR(Bandeja_SCTR[[#This Row],[FechaRecepcion]]),MONTH(Bandeja_SCTR[[#This Row],[FechaRecepcion]]),1))</f>
        <v>46296</v>
      </c>
      <c r="O60">
        <f>IF(Bandeja_SCTR[[#This Row],[Estado]]="FINALIZADO",1,0)</f>
        <v>0</v>
      </c>
      <c r="P60">
        <f>IF(Bandeja_SCTR[[#This Row],[CasoId]]="",0,IF(Bandeja_SCTR[[#This Row],[Estado]]="FINALIZADO",0,1))</f>
        <v>1</v>
      </c>
    </row>
    <row r="61" spans="1:16" x14ac:dyDescent="0.3">
      <c r="A61" t="s">
        <v>292</v>
      </c>
      <c r="B61" t="s">
        <v>293</v>
      </c>
      <c r="C61" t="s">
        <v>294</v>
      </c>
      <c r="D61" s="1">
        <v>46309.529351851852</v>
      </c>
      <c r="E61" s="1">
        <v>46309.529351851852</v>
      </c>
      <c r="F61" s="1" t="s">
        <v>136</v>
      </c>
      <c r="H61" s="1"/>
      <c r="J61" t="s">
        <v>295</v>
      </c>
      <c r="K6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61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61" s="2" t="str">
        <f>IF(OR(Bandeja_SCTR[[#This Row],[FechaRecepcion]]="",Bandeja_SCTR[[#This Row],[FechaRespuesta]]=""),"",ROUND((Bandeja_SCTR[[#This Row],[FechaRespuesta]]-Bandeja_SCTR[[#This Row],[FechaRecepcion]])*24,1))</f>
        <v/>
      </c>
      <c r="N61" s="3">
        <f>IF(Bandeja_SCTR[[#This Row],[FechaRecepcion]]="","",DATE(YEAR(Bandeja_SCTR[[#This Row],[FechaRecepcion]]),MONTH(Bandeja_SCTR[[#This Row],[FechaRecepcion]]),1))</f>
        <v>46296</v>
      </c>
      <c r="O61">
        <f>IF(Bandeja_SCTR[[#This Row],[Estado]]="FINALIZADO",1,0)</f>
        <v>0</v>
      </c>
      <c r="P61">
        <f>IF(Bandeja_SCTR[[#This Row],[CasoId]]="",0,IF(Bandeja_SCTR[[#This Row],[Estado]]="FINALIZADO",0,1))</f>
        <v>1</v>
      </c>
    </row>
    <row r="62" spans="1:16" x14ac:dyDescent="0.3">
      <c r="A62" t="s">
        <v>296</v>
      </c>
      <c r="B62" t="s">
        <v>297</v>
      </c>
      <c r="C62" t="s">
        <v>202</v>
      </c>
      <c r="D62" s="1">
        <v>46309.533032407402</v>
      </c>
      <c r="E62" s="1">
        <v>46309.533032407402</v>
      </c>
      <c r="F62" s="1" t="s">
        <v>203</v>
      </c>
      <c r="H62" s="1"/>
      <c r="J62" t="s">
        <v>204</v>
      </c>
      <c r="K6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62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62" s="2" t="str">
        <f>IF(OR(Bandeja_SCTR[[#This Row],[FechaRecepcion]]="",Bandeja_SCTR[[#This Row],[FechaRespuesta]]=""),"",ROUND((Bandeja_SCTR[[#This Row],[FechaRespuesta]]-Bandeja_SCTR[[#This Row],[FechaRecepcion]])*24,1))</f>
        <v/>
      </c>
      <c r="N62" s="3">
        <f>IF(Bandeja_SCTR[[#This Row],[FechaRecepcion]]="","",DATE(YEAR(Bandeja_SCTR[[#This Row],[FechaRecepcion]]),MONTH(Bandeja_SCTR[[#This Row],[FechaRecepcion]]),1))</f>
        <v>46296</v>
      </c>
      <c r="O62">
        <f>IF(Bandeja_SCTR[[#This Row],[Estado]]="FINALIZADO",1,0)</f>
        <v>0</v>
      </c>
      <c r="P62">
        <f>IF(Bandeja_SCTR[[#This Row],[CasoId]]="",0,IF(Bandeja_SCTR[[#This Row],[Estado]]="FINALIZADO",0,1))</f>
        <v>1</v>
      </c>
    </row>
    <row r="63" spans="1:16" x14ac:dyDescent="0.3">
      <c r="A63" t="s">
        <v>298</v>
      </c>
      <c r="B63" t="s">
        <v>299</v>
      </c>
      <c r="C63" t="s">
        <v>202</v>
      </c>
      <c r="D63" s="1">
        <v>46309.533738425926</v>
      </c>
      <c r="E63" s="1">
        <v>46309.533738425926</v>
      </c>
      <c r="F63" s="1" t="s">
        <v>203</v>
      </c>
      <c r="H63" s="1"/>
      <c r="J63" t="s">
        <v>204</v>
      </c>
      <c r="K6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63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63" s="2" t="str">
        <f>IF(OR(Bandeja_SCTR[[#This Row],[FechaRecepcion]]="",Bandeja_SCTR[[#This Row],[FechaRespuesta]]=""),"",ROUND((Bandeja_SCTR[[#This Row],[FechaRespuesta]]-Bandeja_SCTR[[#This Row],[FechaRecepcion]])*24,1))</f>
        <v/>
      </c>
      <c r="N63" s="3">
        <f>IF(Bandeja_SCTR[[#This Row],[FechaRecepcion]]="","",DATE(YEAR(Bandeja_SCTR[[#This Row],[FechaRecepcion]]),MONTH(Bandeja_SCTR[[#This Row],[FechaRecepcion]]),1))</f>
        <v>46296</v>
      </c>
      <c r="O63">
        <f>IF(Bandeja_SCTR[[#This Row],[Estado]]="FINALIZADO",1,0)</f>
        <v>0</v>
      </c>
      <c r="P63">
        <f>IF(Bandeja_SCTR[[#This Row],[CasoId]]="",0,IF(Bandeja_SCTR[[#This Row],[Estado]]="FINALIZADO",0,1))</f>
        <v>1</v>
      </c>
    </row>
    <row r="64" spans="1:16" x14ac:dyDescent="0.3">
      <c r="A64" t="s">
        <v>300</v>
      </c>
      <c r="B64" t="s">
        <v>301</v>
      </c>
      <c r="C64" t="s">
        <v>302</v>
      </c>
      <c r="D64" s="1">
        <v>46309.53534722222</v>
      </c>
      <c r="E64" s="1">
        <v>46309.563113425931</v>
      </c>
      <c r="F64" s="1" t="s">
        <v>303</v>
      </c>
      <c r="H64" s="1"/>
      <c r="J64" t="s">
        <v>304</v>
      </c>
      <c r="K6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64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64" s="2" t="str">
        <f>IF(OR(Bandeja_SCTR[[#This Row],[FechaRecepcion]]="",Bandeja_SCTR[[#This Row],[FechaRespuesta]]=""),"",ROUND((Bandeja_SCTR[[#This Row],[FechaRespuesta]]-Bandeja_SCTR[[#This Row],[FechaRecepcion]])*24,1))</f>
        <v/>
      </c>
      <c r="N64" s="3">
        <f>IF(Bandeja_SCTR[[#This Row],[FechaRecepcion]]="","",DATE(YEAR(Bandeja_SCTR[[#This Row],[FechaRecepcion]]),MONTH(Bandeja_SCTR[[#This Row],[FechaRecepcion]]),1))</f>
        <v>46296</v>
      </c>
      <c r="O64">
        <f>IF(Bandeja_SCTR[[#This Row],[Estado]]="FINALIZADO",1,0)</f>
        <v>0</v>
      </c>
      <c r="P64">
        <f>IF(Bandeja_SCTR[[#This Row],[CasoId]]="",0,IF(Bandeja_SCTR[[#This Row],[Estado]]="FINALIZADO",0,1))</f>
        <v>1</v>
      </c>
    </row>
    <row r="65" spans="1:16" x14ac:dyDescent="0.3">
      <c r="A65" t="s">
        <v>305</v>
      </c>
      <c r="B65" t="s">
        <v>306</v>
      </c>
      <c r="C65" t="s">
        <v>307</v>
      </c>
      <c r="D65" s="1">
        <v>46309.536261574074</v>
      </c>
      <c r="E65" s="1">
        <v>46309.536261574074</v>
      </c>
      <c r="F65" s="1" t="s">
        <v>308</v>
      </c>
      <c r="H65" s="1"/>
      <c r="J65" t="s">
        <v>309</v>
      </c>
      <c r="K6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65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65" s="2" t="str">
        <f>IF(OR(Bandeja_SCTR[[#This Row],[FechaRecepcion]]="",Bandeja_SCTR[[#This Row],[FechaRespuesta]]=""),"",ROUND((Bandeja_SCTR[[#This Row],[FechaRespuesta]]-Bandeja_SCTR[[#This Row],[FechaRecepcion]])*24,1))</f>
        <v/>
      </c>
      <c r="N65" s="3">
        <f>IF(Bandeja_SCTR[[#This Row],[FechaRecepcion]]="","",DATE(YEAR(Bandeja_SCTR[[#This Row],[FechaRecepcion]]),MONTH(Bandeja_SCTR[[#This Row],[FechaRecepcion]]),1))</f>
        <v>46296</v>
      </c>
      <c r="O65">
        <f>IF(Bandeja_SCTR[[#This Row],[Estado]]="FINALIZADO",1,0)</f>
        <v>0</v>
      </c>
      <c r="P65">
        <f>IF(Bandeja_SCTR[[#This Row],[CasoId]]="",0,IF(Bandeja_SCTR[[#This Row],[Estado]]="FINALIZADO",0,1))</f>
        <v>1</v>
      </c>
    </row>
    <row r="66" spans="1:16" x14ac:dyDescent="0.3">
      <c r="A66" t="s">
        <v>310</v>
      </c>
      <c r="B66" t="s">
        <v>311</v>
      </c>
      <c r="C66" t="s">
        <v>312</v>
      </c>
      <c r="D66" s="1">
        <v>46309.536006944443</v>
      </c>
      <c r="E66" s="1">
        <v>46309.536006944443</v>
      </c>
      <c r="F66" s="1" t="s">
        <v>313</v>
      </c>
      <c r="G66" t="s">
        <v>29</v>
      </c>
      <c r="H66" s="1">
        <v>46309.536006944443</v>
      </c>
      <c r="I66" t="s">
        <v>314</v>
      </c>
      <c r="J66" t="s">
        <v>315</v>
      </c>
      <c r="K6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6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66" s="2">
        <f>IF(OR(Bandeja_SCTR[[#This Row],[FechaRecepcion]]="",Bandeja_SCTR[[#This Row],[FechaRespuesta]]=""),"",ROUND((Bandeja_SCTR[[#This Row],[FechaRespuesta]]-Bandeja_SCTR[[#This Row],[FechaRecepcion]])*24,1))</f>
        <v>0</v>
      </c>
      <c r="N66" s="3">
        <f>IF(Bandeja_SCTR[[#This Row],[FechaRecepcion]]="","",DATE(YEAR(Bandeja_SCTR[[#This Row],[FechaRecepcion]]),MONTH(Bandeja_SCTR[[#This Row],[FechaRecepcion]]),1))</f>
        <v>46296</v>
      </c>
      <c r="O66">
        <f>IF(Bandeja_SCTR[[#This Row],[Estado]]="FINALIZADO",1,0)</f>
        <v>1</v>
      </c>
      <c r="P66">
        <f>IF(Bandeja_SCTR[[#This Row],[CasoId]]="",0,IF(Bandeja_SCTR[[#This Row],[Estado]]="FINALIZADO",0,1))</f>
        <v>0</v>
      </c>
    </row>
    <row r="67" spans="1:16" x14ac:dyDescent="0.3">
      <c r="A67" t="s">
        <v>316</v>
      </c>
      <c r="B67" t="s">
        <v>317</v>
      </c>
      <c r="C67" t="s">
        <v>318</v>
      </c>
      <c r="D67" s="1">
        <v>46309.53837962963</v>
      </c>
      <c r="E67" s="1">
        <v>46309.53837962963</v>
      </c>
      <c r="F67" s="1" t="s">
        <v>319</v>
      </c>
      <c r="H67" s="1"/>
      <c r="J67" t="s">
        <v>320</v>
      </c>
      <c r="K6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67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67" s="2" t="str">
        <f>IF(OR(Bandeja_SCTR[[#This Row],[FechaRecepcion]]="",Bandeja_SCTR[[#This Row],[FechaRespuesta]]=""),"",ROUND((Bandeja_SCTR[[#This Row],[FechaRespuesta]]-Bandeja_SCTR[[#This Row],[FechaRecepcion]])*24,1))</f>
        <v/>
      </c>
      <c r="N67" s="3">
        <f>IF(Bandeja_SCTR[[#This Row],[FechaRecepcion]]="","",DATE(YEAR(Bandeja_SCTR[[#This Row],[FechaRecepcion]]),MONTH(Bandeja_SCTR[[#This Row],[FechaRecepcion]]),1))</f>
        <v>46296</v>
      </c>
      <c r="O67">
        <f>IF(Bandeja_SCTR[[#This Row],[Estado]]="FINALIZADO",1,0)</f>
        <v>0</v>
      </c>
      <c r="P67">
        <f>IF(Bandeja_SCTR[[#This Row],[CasoId]]="",0,IF(Bandeja_SCTR[[#This Row],[Estado]]="FINALIZADO",0,1))</f>
        <v>1</v>
      </c>
    </row>
    <row r="68" spans="1:16" x14ac:dyDescent="0.3">
      <c r="A68" t="s">
        <v>321</v>
      </c>
      <c r="B68" t="s">
        <v>322</v>
      </c>
      <c r="C68" t="s">
        <v>323</v>
      </c>
      <c r="D68" s="1">
        <v>46309.538506944446</v>
      </c>
      <c r="E68" s="1">
        <v>46309.538506944446</v>
      </c>
      <c r="F68" s="1" t="s">
        <v>34</v>
      </c>
      <c r="H68" s="1"/>
      <c r="J68" t="s">
        <v>324</v>
      </c>
      <c r="K6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68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68" s="2" t="str">
        <f>IF(OR(Bandeja_SCTR[[#This Row],[FechaRecepcion]]="",Bandeja_SCTR[[#This Row],[FechaRespuesta]]=""),"",ROUND((Bandeja_SCTR[[#This Row],[FechaRespuesta]]-Bandeja_SCTR[[#This Row],[FechaRecepcion]])*24,1))</f>
        <v/>
      </c>
      <c r="N68" s="3">
        <f>IF(Bandeja_SCTR[[#This Row],[FechaRecepcion]]="","",DATE(YEAR(Bandeja_SCTR[[#This Row],[FechaRecepcion]]),MONTH(Bandeja_SCTR[[#This Row],[FechaRecepcion]]),1))</f>
        <v>46296</v>
      </c>
      <c r="O68">
        <f>IF(Bandeja_SCTR[[#This Row],[Estado]]="FINALIZADO",1,0)</f>
        <v>0</v>
      </c>
      <c r="P68">
        <f>IF(Bandeja_SCTR[[#This Row],[CasoId]]="",0,IF(Bandeja_SCTR[[#This Row],[Estado]]="FINALIZADO",0,1))</f>
        <v>1</v>
      </c>
    </row>
    <row r="69" spans="1:16" x14ac:dyDescent="0.3">
      <c r="A69" t="s">
        <v>325</v>
      </c>
      <c r="B69" t="s">
        <v>326</v>
      </c>
      <c r="C69" t="s">
        <v>327</v>
      </c>
      <c r="D69" s="1">
        <v>46309.544374999998</v>
      </c>
      <c r="E69" s="1">
        <v>46309.544374999998</v>
      </c>
      <c r="F69" s="1" t="s">
        <v>328</v>
      </c>
      <c r="H69" s="1"/>
      <c r="J69" t="s">
        <v>329</v>
      </c>
      <c r="K6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69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69" s="2" t="str">
        <f>IF(OR(Bandeja_SCTR[[#This Row],[FechaRecepcion]]="",Bandeja_SCTR[[#This Row],[FechaRespuesta]]=""),"",ROUND((Bandeja_SCTR[[#This Row],[FechaRespuesta]]-Bandeja_SCTR[[#This Row],[FechaRecepcion]])*24,1))</f>
        <v/>
      </c>
      <c r="N69" s="3">
        <f>IF(Bandeja_SCTR[[#This Row],[FechaRecepcion]]="","",DATE(YEAR(Bandeja_SCTR[[#This Row],[FechaRecepcion]]),MONTH(Bandeja_SCTR[[#This Row],[FechaRecepcion]]),1))</f>
        <v>46296</v>
      </c>
      <c r="O69">
        <f>IF(Bandeja_SCTR[[#This Row],[Estado]]="FINALIZADO",1,0)</f>
        <v>0</v>
      </c>
      <c r="P69">
        <f>IF(Bandeja_SCTR[[#This Row],[CasoId]]="",0,IF(Bandeja_SCTR[[#This Row],[Estado]]="FINALIZADO",0,1))</f>
        <v>1</v>
      </c>
    </row>
    <row r="70" spans="1:16" x14ac:dyDescent="0.3">
      <c r="A70" t="s">
        <v>330</v>
      </c>
      <c r="B70" t="s">
        <v>331</v>
      </c>
      <c r="C70" t="s">
        <v>332</v>
      </c>
      <c r="D70" s="1">
        <v>46309.547002314815</v>
      </c>
      <c r="E70" s="1">
        <v>46309.547002314815</v>
      </c>
      <c r="F70" s="1" t="s">
        <v>333</v>
      </c>
      <c r="G70" t="s">
        <v>29</v>
      </c>
      <c r="H70" s="1">
        <v>46309.547002314815</v>
      </c>
      <c r="I70" t="s">
        <v>333</v>
      </c>
      <c r="J70" t="s">
        <v>334</v>
      </c>
      <c r="K7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70" s="2">
        <f>IF(OR(Bandeja_SCTR[[#This Row],[FechaRecepcion]]="",Bandeja_SCTR[[#This Row],[FechaRespuesta]]=""),"",ROUND((Bandeja_SCTR[[#This Row],[FechaRespuesta]]-Bandeja_SCTR[[#This Row],[FechaRecepcion]])*24,1))</f>
        <v>0</v>
      </c>
      <c r="N70" s="3">
        <f>IF(Bandeja_SCTR[[#This Row],[FechaRecepcion]]="","",DATE(YEAR(Bandeja_SCTR[[#This Row],[FechaRecepcion]]),MONTH(Bandeja_SCTR[[#This Row],[FechaRecepcion]]),1))</f>
        <v>46296</v>
      </c>
      <c r="O70">
        <f>IF(Bandeja_SCTR[[#This Row],[Estado]]="FINALIZADO",1,0)</f>
        <v>1</v>
      </c>
      <c r="P70">
        <f>IF(Bandeja_SCTR[[#This Row],[CasoId]]="",0,IF(Bandeja_SCTR[[#This Row],[Estado]]="FINALIZADO",0,1))</f>
        <v>0</v>
      </c>
    </row>
    <row r="71" spans="1:16" x14ac:dyDescent="0.3">
      <c r="A71" t="s">
        <v>335</v>
      </c>
      <c r="B71" t="s">
        <v>336</v>
      </c>
      <c r="C71" t="s">
        <v>337</v>
      </c>
      <c r="D71" s="1">
        <v>46309.548495370371</v>
      </c>
      <c r="E71" s="1">
        <v>46309.55363425926</v>
      </c>
      <c r="F71" s="1" t="s">
        <v>194</v>
      </c>
      <c r="G71" t="s">
        <v>29</v>
      </c>
      <c r="H71" s="1">
        <v>46309.55363425926</v>
      </c>
      <c r="I71" t="s">
        <v>195</v>
      </c>
      <c r="J71" t="s">
        <v>338</v>
      </c>
      <c r="K7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71" s="2">
        <f>IF(OR(Bandeja_SCTR[[#This Row],[FechaRecepcion]]="",Bandeja_SCTR[[#This Row],[FechaRespuesta]]=""),"",ROUND((Bandeja_SCTR[[#This Row],[FechaRespuesta]]-Bandeja_SCTR[[#This Row],[FechaRecepcion]])*24,1))</f>
        <v>0.1</v>
      </c>
      <c r="N71" s="3">
        <f>IF(Bandeja_SCTR[[#This Row],[FechaRecepcion]]="","",DATE(YEAR(Bandeja_SCTR[[#This Row],[FechaRecepcion]]),MONTH(Bandeja_SCTR[[#This Row],[FechaRecepcion]]),1))</f>
        <v>46296</v>
      </c>
      <c r="O71">
        <f>IF(Bandeja_SCTR[[#This Row],[Estado]]="FINALIZADO",1,0)</f>
        <v>1</v>
      </c>
      <c r="P71">
        <f>IF(Bandeja_SCTR[[#This Row],[CasoId]]="",0,IF(Bandeja_SCTR[[#This Row],[Estado]]="FINALIZADO",0,1))</f>
        <v>0</v>
      </c>
    </row>
    <row r="72" spans="1:16" x14ac:dyDescent="0.3">
      <c r="A72" t="s">
        <v>339</v>
      </c>
      <c r="B72" t="s">
        <v>32</v>
      </c>
      <c r="C72" t="s">
        <v>340</v>
      </c>
      <c r="D72" s="1">
        <v>46309.550185185188</v>
      </c>
      <c r="E72" s="1">
        <v>46309.550185185188</v>
      </c>
      <c r="F72" s="1" t="s">
        <v>85</v>
      </c>
      <c r="H72" s="1"/>
      <c r="J72" t="s">
        <v>341</v>
      </c>
      <c r="K7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72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72" s="2" t="str">
        <f>IF(OR(Bandeja_SCTR[[#This Row],[FechaRecepcion]]="",Bandeja_SCTR[[#This Row],[FechaRespuesta]]=""),"",ROUND((Bandeja_SCTR[[#This Row],[FechaRespuesta]]-Bandeja_SCTR[[#This Row],[FechaRecepcion]])*24,1))</f>
        <v/>
      </c>
      <c r="N72" s="3">
        <f>IF(Bandeja_SCTR[[#This Row],[FechaRecepcion]]="","",DATE(YEAR(Bandeja_SCTR[[#This Row],[FechaRecepcion]]),MONTH(Bandeja_SCTR[[#This Row],[FechaRecepcion]]),1))</f>
        <v>46296</v>
      </c>
      <c r="O72">
        <f>IF(Bandeja_SCTR[[#This Row],[Estado]]="FINALIZADO",1,0)</f>
        <v>0</v>
      </c>
      <c r="P72">
        <f>IF(Bandeja_SCTR[[#This Row],[CasoId]]="",0,IF(Bandeja_SCTR[[#This Row],[Estado]]="FINALIZADO",0,1))</f>
        <v>1</v>
      </c>
    </row>
    <row r="73" spans="1:16" x14ac:dyDescent="0.3">
      <c r="A73" t="s">
        <v>342</v>
      </c>
      <c r="B73" t="s">
        <v>343</v>
      </c>
      <c r="C73" t="s">
        <v>344</v>
      </c>
      <c r="D73" s="1">
        <v>46309.550925925927</v>
      </c>
      <c r="E73" s="1">
        <v>46309.615949074076</v>
      </c>
      <c r="F73" s="1" t="s">
        <v>90</v>
      </c>
      <c r="G73" t="s">
        <v>29</v>
      </c>
      <c r="H73" s="1">
        <v>46309.59311342593</v>
      </c>
      <c r="I73" t="s">
        <v>314</v>
      </c>
      <c r="J73" t="s">
        <v>345</v>
      </c>
      <c r="K7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73" s="2">
        <f>IF(OR(Bandeja_SCTR[[#This Row],[FechaRecepcion]]="",Bandeja_SCTR[[#This Row],[FechaRespuesta]]=""),"",ROUND((Bandeja_SCTR[[#This Row],[FechaRespuesta]]-Bandeja_SCTR[[#This Row],[FechaRecepcion]])*24,1))</f>
        <v>1</v>
      </c>
      <c r="N73" s="3">
        <f>IF(Bandeja_SCTR[[#This Row],[FechaRecepcion]]="","",DATE(YEAR(Bandeja_SCTR[[#This Row],[FechaRecepcion]]),MONTH(Bandeja_SCTR[[#This Row],[FechaRecepcion]]),1))</f>
        <v>46296</v>
      </c>
      <c r="O73">
        <f>IF(Bandeja_SCTR[[#This Row],[Estado]]="FINALIZADO",1,0)</f>
        <v>1</v>
      </c>
      <c r="P73">
        <f>IF(Bandeja_SCTR[[#This Row],[CasoId]]="",0,IF(Bandeja_SCTR[[#This Row],[Estado]]="FINALIZADO",0,1))</f>
        <v>0</v>
      </c>
    </row>
    <row r="74" spans="1:16" x14ac:dyDescent="0.3">
      <c r="A74" t="s">
        <v>346</v>
      </c>
      <c r="B74" t="s">
        <v>347</v>
      </c>
      <c r="C74" t="s">
        <v>348</v>
      </c>
      <c r="D74" s="1">
        <v>46309.554803240739</v>
      </c>
      <c r="E74" s="1">
        <v>46309.554803240739</v>
      </c>
      <c r="F74" s="1" t="s">
        <v>349</v>
      </c>
      <c r="H74" s="1"/>
      <c r="J74" t="s">
        <v>350</v>
      </c>
      <c r="K7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74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74" s="2" t="str">
        <f>IF(OR(Bandeja_SCTR[[#This Row],[FechaRecepcion]]="",Bandeja_SCTR[[#This Row],[FechaRespuesta]]=""),"",ROUND((Bandeja_SCTR[[#This Row],[FechaRespuesta]]-Bandeja_SCTR[[#This Row],[FechaRecepcion]])*24,1))</f>
        <v/>
      </c>
      <c r="N74" s="3">
        <f>IF(Bandeja_SCTR[[#This Row],[FechaRecepcion]]="","",DATE(YEAR(Bandeja_SCTR[[#This Row],[FechaRecepcion]]),MONTH(Bandeja_SCTR[[#This Row],[FechaRecepcion]]),1))</f>
        <v>46296</v>
      </c>
      <c r="O74">
        <f>IF(Bandeja_SCTR[[#This Row],[Estado]]="FINALIZADO",1,0)</f>
        <v>0</v>
      </c>
      <c r="P74">
        <f>IF(Bandeja_SCTR[[#This Row],[CasoId]]="",0,IF(Bandeja_SCTR[[#This Row],[Estado]]="FINALIZADO",0,1))</f>
        <v>1</v>
      </c>
    </row>
    <row r="75" spans="1:16" x14ac:dyDescent="0.3">
      <c r="A75" t="s">
        <v>351</v>
      </c>
      <c r="B75" t="s">
        <v>352</v>
      </c>
      <c r="C75" t="s">
        <v>353</v>
      </c>
      <c r="D75" s="1">
        <v>46309.556550925925</v>
      </c>
      <c r="E75" s="1">
        <v>46309.556550925925</v>
      </c>
      <c r="F75" s="1" t="s">
        <v>313</v>
      </c>
      <c r="H75" s="1"/>
      <c r="J75" t="s">
        <v>354</v>
      </c>
      <c r="K7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75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75" s="2" t="str">
        <f>IF(OR(Bandeja_SCTR[[#This Row],[FechaRecepcion]]="",Bandeja_SCTR[[#This Row],[FechaRespuesta]]=""),"",ROUND((Bandeja_SCTR[[#This Row],[FechaRespuesta]]-Bandeja_SCTR[[#This Row],[FechaRecepcion]])*24,1))</f>
        <v/>
      </c>
      <c r="N75" s="3">
        <f>IF(Bandeja_SCTR[[#This Row],[FechaRecepcion]]="","",DATE(YEAR(Bandeja_SCTR[[#This Row],[FechaRecepcion]]),MONTH(Bandeja_SCTR[[#This Row],[FechaRecepcion]]),1))</f>
        <v>46296</v>
      </c>
      <c r="O75">
        <f>IF(Bandeja_SCTR[[#This Row],[Estado]]="FINALIZADO",1,0)</f>
        <v>0</v>
      </c>
      <c r="P75">
        <f>IF(Bandeja_SCTR[[#This Row],[CasoId]]="",0,IF(Bandeja_SCTR[[#This Row],[Estado]]="FINALIZADO",0,1))</f>
        <v>1</v>
      </c>
    </row>
    <row r="76" spans="1:16" x14ac:dyDescent="0.3">
      <c r="A76" t="s">
        <v>355</v>
      </c>
      <c r="B76" t="s">
        <v>279</v>
      </c>
      <c r="C76" t="s">
        <v>280</v>
      </c>
      <c r="D76" s="1">
        <v>46309.556168981479</v>
      </c>
      <c r="E76" s="1">
        <v>46309.556168981479</v>
      </c>
      <c r="F76" s="1" t="s">
        <v>356</v>
      </c>
      <c r="H76" s="1"/>
      <c r="J76" t="s">
        <v>357</v>
      </c>
      <c r="K7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76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76" s="2" t="str">
        <f>IF(OR(Bandeja_SCTR[[#This Row],[FechaRecepcion]]="",Bandeja_SCTR[[#This Row],[FechaRespuesta]]=""),"",ROUND((Bandeja_SCTR[[#This Row],[FechaRespuesta]]-Bandeja_SCTR[[#This Row],[FechaRecepcion]])*24,1))</f>
        <v/>
      </c>
      <c r="N76" s="3">
        <f>IF(Bandeja_SCTR[[#This Row],[FechaRecepcion]]="","",DATE(YEAR(Bandeja_SCTR[[#This Row],[FechaRecepcion]]),MONTH(Bandeja_SCTR[[#This Row],[FechaRecepcion]]),1))</f>
        <v>46296</v>
      </c>
      <c r="O76">
        <f>IF(Bandeja_SCTR[[#This Row],[Estado]]="FINALIZADO",1,0)</f>
        <v>0</v>
      </c>
      <c r="P76">
        <f>IF(Bandeja_SCTR[[#This Row],[CasoId]]="",0,IF(Bandeja_SCTR[[#This Row],[Estado]]="FINALIZADO",0,1))</f>
        <v>1</v>
      </c>
    </row>
    <row r="77" spans="1:16" x14ac:dyDescent="0.3">
      <c r="A77" t="s">
        <v>358</v>
      </c>
      <c r="B77" t="s">
        <v>359</v>
      </c>
      <c r="C77" t="s">
        <v>360</v>
      </c>
      <c r="D77" s="1">
        <v>46309.559525462959</v>
      </c>
      <c r="E77" s="1">
        <v>46309.671226851853</v>
      </c>
      <c r="F77" s="1" t="s">
        <v>361</v>
      </c>
      <c r="H77" s="1"/>
      <c r="J77" t="s">
        <v>362</v>
      </c>
      <c r="K7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77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77" s="2" t="str">
        <f>IF(OR(Bandeja_SCTR[[#This Row],[FechaRecepcion]]="",Bandeja_SCTR[[#This Row],[FechaRespuesta]]=""),"",ROUND((Bandeja_SCTR[[#This Row],[FechaRespuesta]]-Bandeja_SCTR[[#This Row],[FechaRecepcion]])*24,1))</f>
        <v/>
      </c>
      <c r="N77" s="3">
        <f>IF(Bandeja_SCTR[[#This Row],[FechaRecepcion]]="","",DATE(YEAR(Bandeja_SCTR[[#This Row],[FechaRecepcion]]),MONTH(Bandeja_SCTR[[#This Row],[FechaRecepcion]]),1))</f>
        <v>46296</v>
      </c>
      <c r="O77">
        <f>IF(Bandeja_SCTR[[#This Row],[Estado]]="FINALIZADO",1,0)</f>
        <v>0</v>
      </c>
      <c r="P77">
        <f>IF(Bandeja_SCTR[[#This Row],[CasoId]]="",0,IF(Bandeja_SCTR[[#This Row],[Estado]]="FINALIZADO",0,1))</f>
        <v>1</v>
      </c>
    </row>
    <row r="78" spans="1:16" x14ac:dyDescent="0.3">
      <c r="A78" t="s">
        <v>363</v>
      </c>
      <c r="B78" t="s">
        <v>364</v>
      </c>
      <c r="C78" t="s">
        <v>365</v>
      </c>
      <c r="D78" s="1">
        <v>46309.567986111113</v>
      </c>
      <c r="E78" s="1">
        <v>46309.567986111113</v>
      </c>
      <c r="F78" s="1" t="s">
        <v>28</v>
      </c>
      <c r="G78" t="s">
        <v>29</v>
      </c>
      <c r="H78" s="1">
        <v>46309.567986111113</v>
      </c>
      <c r="I78" t="s">
        <v>28</v>
      </c>
      <c r="J78" t="s">
        <v>366</v>
      </c>
      <c r="K7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78" s="2">
        <f>IF(OR(Bandeja_SCTR[[#This Row],[FechaRecepcion]]="",Bandeja_SCTR[[#This Row],[FechaRespuesta]]=""),"",ROUND((Bandeja_SCTR[[#This Row],[FechaRespuesta]]-Bandeja_SCTR[[#This Row],[FechaRecepcion]])*24,1))</f>
        <v>0</v>
      </c>
      <c r="N78" s="3">
        <f>IF(Bandeja_SCTR[[#This Row],[FechaRecepcion]]="","",DATE(YEAR(Bandeja_SCTR[[#This Row],[FechaRecepcion]]),MONTH(Bandeja_SCTR[[#This Row],[FechaRecepcion]]),1))</f>
        <v>46296</v>
      </c>
      <c r="O78">
        <f>IF(Bandeja_SCTR[[#This Row],[Estado]]="FINALIZADO",1,0)</f>
        <v>1</v>
      </c>
      <c r="P78">
        <f>IF(Bandeja_SCTR[[#This Row],[CasoId]]="",0,IF(Bandeja_SCTR[[#This Row],[Estado]]="FINALIZADO",0,1))</f>
        <v>0</v>
      </c>
    </row>
    <row r="79" spans="1:16" x14ac:dyDescent="0.3">
      <c r="A79" t="s">
        <v>367</v>
      </c>
      <c r="B79" t="s">
        <v>368</v>
      </c>
      <c r="C79" t="s">
        <v>369</v>
      </c>
      <c r="D79" s="1">
        <v>46309.572523148148</v>
      </c>
      <c r="E79" s="1">
        <v>46309.572523148148</v>
      </c>
      <c r="F79" s="1" t="s">
        <v>370</v>
      </c>
      <c r="H79" s="1"/>
      <c r="J79" t="s">
        <v>371</v>
      </c>
      <c r="K7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79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79" s="2" t="str">
        <f>IF(OR(Bandeja_SCTR[[#This Row],[FechaRecepcion]]="",Bandeja_SCTR[[#This Row],[FechaRespuesta]]=""),"",ROUND((Bandeja_SCTR[[#This Row],[FechaRespuesta]]-Bandeja_SCTR[[#This Row],[FechaRecepcion]])*24,1))</f>
        <v/>
      </c>
      <c r="N79" s="3">
        <f>IF(Bandeja_SCTR[[#This Row],[FechaRecepcion]]="","",DATE(YEAR(Bandeja_SCTR[[#This Row],[FechaRecepcion]]),MONTH(Bandeja_SCTR[[#This Row],[FechaRecepcion]]),1))</f>
        <v>46296</v>
      </c>
      <c r="O79">
        <f>IF(Bandeja_SCTR[[#This Row],[Estado]]="FINALIZADO",1,0)</f>
        <v>0</v>
      </c>
      <c r="P79">
        <f>IF(Bandeja_SCTR[[#This Row],[CasoId]]="",0,IF(Bandeja_SCTR[[#This Row],[Estado]]="FINALIZADO",0,1))</f>
        <v>1</v>
      </c>
    </row>
    <row r="80" spans="1:16" x14ac:dyDescent="0.3">
      <c r="A80" t="s">
        <v>372</v>
      </c>
      <c r="B80" t="s">
        <v>373</v>
      </c>
      <c r="C80" t="s">
        <v>374</v>
      </c>
      <c r="D80" s="1">
        <v>46309.58</v>
      </c>
      <c r="E80" s="1">
        <v>46309.58</v>
      </c>
      <c r="F80" s="1" t="s">
        <v>313</v>
      </c>
      <c r="G80" t="s">
        <v>29</v>
      </c>
      <c r="H80" s="1">
        <v>46309.58</v>
      </c>
      <c r="I80" t="s">
        <v>314</v>
      </c>
      <c r="J80" t="s">
        <v>375</v>
      </c>
      <c r="K8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8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80" s="2">
        <f>IF(OR(Bandeja_SCTR[[#This Row],[FechaRecepcion]]="",Bandeja_SCTR[[#This Row],[FechaRespuesta]]=""),"",ROUND((Bandeja_SCTR[[#This Row],[FechaRespuesta]]-Bandeja_SCTR[[#This Row],[FechaRecepcion]])*24,1))</f>
        <v>0</v>
      </c>
      <c r="N80" s="3">
        <f>IF(Bandeja_SCTR[[#This Row],[FechaRecepcion]]="","",DATE(YEAR(Bandeja_SCTR[[#This Row],[FechaRecepcion]]),MONTH(Bandeja_SCTR[[#This Row],[FechaRecepcion]]),1))</f>
        <v>46296</v>
      </c>
      <c r="O80">
        <f>IF(Bandeja_SCTR[[#This Row],[Estado]]="FINALIZADO",1,0)</f>
        <v>1</v>
      </c>
      <c r="P80">
        <f>IF(Bandeja_SCTR[[#This Row],[CasoId]]="",0,IF(Bandeja_SCTR[[#This Row],[Estado]]="FINALIZADO",0,1))</f>
        <v>0</v>
      </c>
    </row>
    <row r="81" spans="1:16" x14ac:dyDescent="0.3">
      <c r="A81" t="s">
        <v>376</v>
      </c>
      <c r="B81" t="s">
        <v>377</v>
      </c>
      <c r="C81" t="s">
        <v>378</v>
      </c>
      <c r="D81" s="1">
        <v>46309.580162037033</v>
      </c>
      <c r="E81" s="1">
        <v>46309.580162037033</v>
      </c>
      <c r="F81" s="1" t="s">
        <v>328</v>
      </c>
      <c r="H81" s="1"/>
      <c r="J81" t="s">
        <v>379</v>
      </c>
      <c r="K8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81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81" s="2" t="str">
        <f>IF(OR(Bandeja_SCTR[[#This Row],[FechaRecepcion]]="",Bandeja_SCTR[[#This Row],[FechaRespuesta]]=""),"",ROUND((Bandeja_SCTR[[#This Row],[FechaRespuesta]]-Bandeja_SCTR[[#This Row],[FechaRecepcion]])*24,1))</f>
        <v/>
      </c>
      <c r="N81" s="3">
        <f>IF(Bandeja_SCTR[[#This Row],[FechaRecepcion]]="","",DATE(YEAR(Bandeja_SCTR[[#This Row],[FechaRecepcion]]),MONTH(Bandeja_SCTR[[#This Row],[FechaRecepcion]]),1))</f>
        <v>46296</v>
      </c>
      <c r="O81">
        <f>IF(Bandeja_SCTR[[#This Row],[Estado]]="FINALIZADO",1,0)</f>
        <v>0</v>
      </c>
      <c r="P81">
        <f>IF(Bandeja_SCTR[[#This Row],[CasoId]]="",0,IF(Bandeja_SCTR[[#This Row],[Estado]]="FINALIZADO",0,1))</f>
        <v>1</v>
      </c>
    </row>
    <row r="82" spans="1:16" x14ac:dyDescent="0.3">
      <c r="A82" t="s">
        <v>380</v>
      </c>
      <c r="B82" t="s">
        <v>381</v>
      </c>
      <c r="C82" t="s">
        <v>382</v>
      </c>
      <c r="D82" s="1">
        <v>46309.586180555554</v>
      </c>
      <c r="E82" s="1">
        <v>46309.586180555554</v>
      </c>
      <c r="F82" s="1" t="s">
        <v>383</v>
      </c>
      <c r="H82" s="1"/>
      <c r="J82" t="s">
        <v>384</v>
      </c>
      <c r="K8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82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82" s="2" t="str">
        <f>IF(OR(Bandeja_SCTR[[#This Row],[FechaRecepcion]]="",Bandeja_SCTR[[#This Row],[FechaRespuesta]]=""),"",ROUND((Bandeja_SCTR[[#This Row],[FechaRespuesta]]-Bandeja_SCTR[[#This Row],[FechaRecepcion]])*24,1))</f>
        <v/>
      </c>
      <c r="N82" s="3">
        <f>IF(Bandeja_SCTR[[#This Row],[FechaRecepcion]]="","",DATE(YEAR(Bandeja_SCTR[[#This Row],[FechaRecepcion]]),MONTH(Bandeja_SCTR[[#This Row],[FechaRecepcion]]),1))</f>
        <v>46296</v>
      </c>
      <c r="O82">
        <f>IF(Bandeja_SCTR[[#This Row],[Estado]]="FINALIZADO",1,0)</f>
        <v>0</v>
      </c>
      <c r="P82">
        <f>IF(Bandeja_SCTR[[#This Row],[CasoId]]="",0,IF(Bandeja_SCTR[[#This Row],[Estado]]="FINALIZADO",0,1))</f>
        <v>1</v>
      </c>
    </row>
    <row r="83" spans="1:16" x14ac:dyDescent="0.3">
      <c r="A83" t="s">
        <v>385</v>
      </c>
      <c r="B83" t="s">
        <v>386</v>
      </c>
      <c r="C83" t="s">
        <v>387</v>
      </c>
      <c r="D83" s="1">
        <v>46309.586481481485</v>
      </c>
      <c r="E83" s="1">
        <v>46309.586481481485</v>
      </c>
      <c r="F83" s="1" t="s">
        <v>142</v>
      </c>
      <c r="G83" t="s">
        <v>29</v>
      </c>
      <c r="H83" s="1">
        <v>46309.586481481485</v>
      </c>
      <c r="I83" t="s">
        <v>142</v>
      </c>
      <c r="J83" t="s">
        <v>388</v>
      </c>
      <c r="K8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8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83" s="2">
        <f>IF(OR(Bandeja_SCTR[[#This Row],[FechaRecepcion]]="",Bandeja_SCTR[[#This Row],[FechaRespuesta]]=""),"",ROUND((Bandeja_SCTR[[#This Row],[FechaRespuesta]]-Bandeja_SCTR[[#This Row],[FechaRecepcion]])*24,1))</f>
        <v>0</v>
      </c>
      <c r="N83" s="3">
        <f>IF(Bandeja_SCTR[[#This Row],[FechaRecepcion]]="","",DATE(YEAR(Bandeja_SCTR[[#This Row],[FechaRecepcion]]),MONTH(Bandeja_SCTR[[#This Row],[FechaRecepcion]]),1))</f>
        <v>46296</v>
      </c>
      <c r="O83">
        <f>IF(Bandeja_SCTR[[#This Row],[Estado]]="FINALIZADO",1,0)</f>
        <v>1</v>
      </c>
      <c r="P83">
        <f>IF(Bandeja_SCTR[[#This Row],[CasoId]]="",0,IF(Bandeja_SCTR[[#This Row],[Estado]]="FINALIZADO",0,1))</f>
        <v>0</v>
      </c>
    </row>
    <row r="84" spans="1:16" x14ac:dyDescent="0.3">
      <c r="A84" t="s">
        <v>389</v>
      </c>
      <c r="B84" t="s">
        <v>390</v>
      </c>
      <c r="C84" t="s">
        <v>391</v>
      </c>
      <c r="D84" s="1">
        <v>46309.591331018513</v>
      </c>
      <c r="E84" s="1">
        <v>46309.591331018513</v>
      </c>
      <c r="F84" s="1" t="s">
        <v>392</v>
      </c>
      <c r="H84" s="1"/>
      <c r="J84" t="s">
        <v>393</v>
      </c>
      <c r="K8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84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84" s="2" t="str">
        <f>IF(OR(Bandeja_SCTR[[#This Row],[FechaRecepcion]]="",Bandeja_SCTR[[#This Row],[FechaRespuesta]]=""),"",ROUND((Bandeja_SCTR[[#This Row],[FechaRespuesta]]-Bandeja_SCTR[[#This Row],[FechaRecepcion]])*24,1))</f>
        <v/>
      </c>
      <c r="N84" s="3">
        <f>IF(Bandeja_SCTR[[#This Row],[FechaRecepcion]]="","",DATE(YEAR(Bandeja_SCTR[[#This Row],[FechaRecepcion]]),MONTH(Bandeja_SCTR[[#This Row],[FechaRecepcion]]),1))</f>
        <v>46296</v>
      </c>
      <c r="O84">
        <f>IF(Bandeja_SCTR[[#This Row],[Estado]]="FINALIZADO",1,0)</f>
        <v>0</v>
      </c>
      <c r="P84">
        <f>IF(Bandeja_SCTR[[#This Row],[CasoId]]="",0,IF(Bandeja_SCTR[[#This Row],[Estado]]="FINALIZADO",0,1))</f>
        <v>1</v>
      </c>
    </row>
    <row r="85" spans="1:16" x14ac:dyDescent="0.3">
      <c r="A85" t="s">
        <v>394</v>
      </c>
      <c r="B85" t="s">
        <v>395</v>
      </c>
      <c r="C85" t="s">
        <v>396</v>
      </c>
      <c r="D85" s="1">
        <v>46309.598113425927</v>
      </c>
      <c r="E85" s="1">
        <v>46309.617407407408</v>
      </c>
      <c r="F85" s="1" t="s">
        <v>62</v>
      </c>
      <c r="H85" s="1"/>
      <c r="J85" t="s">
        <v>397</v>
      </c>
      <c r="K8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85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85" s="2" t="str">
        <f>IF(OR(Bandeja_SCTR[[#This Row],[FechaRecepcion]]="",Bandeja_SCTR[[#This Row],[FechaRespuesta]]=""),"",ROUND((Bandeja_SCTR[[#This Row],[FechaRespuesta]]-Bandeja_SCTR[[#This Row],[FechaRecepcion]])*24,1))</f>
        <v/>
      </c>
      <c r="N85" s="3">
        <f>IF(Bandeja_SCTR[[#This Row],[FechaRecepcion]]="","",DATE(YEAR(Bandeja_SCTR[[#This Row],[FechaRecepcion]]),MONTH(Bandeja_SCTR[[#This Row],[FechaRecepcion]]),1))</f>
        <v>46296</v>
      </c>
      <c r="O85">
        <f>IF(Bandeja_SCTR[[#This Row],[Estado]]="FINALIZADO",1,0)</f>
        <v>0</v>
      </c>
      <c r="P85">
        <f>IF(Bandeja_SCTR[[#This Row],[CasoId]]="",0,IF(Bandeja_SCTR[[#This Row],[Estado]]="FINALIZADO",0,1))</f>
        <v>1</v>
      </c>
    </row>
    <row r="86" spans="1:16" x14ac:dyDescent="0.3">
      <c r="A86" t="s">
        <v>398</v>
      </c>
      <c r="B86" t="s">
        <v>399</v>
      </c>
      <c r="C86" t="s">
        <v>400</v>
      </c>
      <c r="D86" s="1">
        <v>46309.600023148145</v>
      </c>
      <c r="E86" s="1">
        <v>46309.600023148145</v>
      </c>
      <c r="F86" s="1" t="s">
        <v>401</v>
      </c>
      <c r="H86" s="1"/>
      <c r="J86" t="s">
        <v>402</v>
      </c>
      <c r="K8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86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86" s="2" t="str">
        <f>IF(OR(Bandeja_SCTR[[#This Row],[FechaRecepcion]]="",Bandeja_SCTR[[#This Row],[FechaRespuesta]]=""),"",ROUND((Bandeja_SCTR[[#This Row],[FechaRespuesta]]-Bandeja_SCTR[[#This Row],[FechaRecepcion]])*24,1))</f>
        <v/>
      </c>
      <c r="N86" s="3">
        <f>IF(Bandeja_SCTR[[#This Row],[FechaRecepcion]]="","",DATE(YEAR(Bandeja_SCTR[[#This Row],[FechaRecepcion]]),MONTH(Bandeja_SCTR[[#This Row],[FechaRecepcion]]),1))</f>
        <v>46296</v>
      </c>
      <c r="O86">
        <f>IF(Bandeja_SCTR[[#This Row],[Estado]]="FINALIZADO",1,0)</f>
        <v>0</v>
      </c>
      <c r="P86">
        <f>IF(Bandeja_SCTR[[#This Row],[CasoId]]="",0,IF(Bandeja_SCTR[[#This Row],[Estado]]="FINALIZADO",0,1))</f>
        <v>1</v>
      </c>
    </row>
    <row r="87" spans="1:16" x14ac:dyDescent="0.3">
      <c r="A87" t="s">
        <v>403</v>
      </c>
      <c r="B87" t="s">
        <v>373</v>
      </c>
      <c r="C87" t="s">
        <v>404</v>
      </c>
      <c r="D87" s="1">
        <v>46309.602962962963</v>
      </c>
      <c r="E87" s="1">
        <v>46309.602962962963</v>
      </c>
      <c r="F87" s="1" t="s">
        <v>405</v>
      </c>
      <c r="H87" s="1"/>
      <c r="J87" t="s">
        <v>406</v>
      </c>
      <c r="K8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87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87" s="2" t="str">
        <f>IF(OR(Bandeja_SCTR[[#This Row],[FechaRecepcion]]="",Bandeja_SCTR[[#This Row],[FechaRespuesta]]=""),"",ROUND((Bandeja_SCTR[[#This Row],[FechaRespuesta]]-Bandeja_SCTR[[#This Row],[FechaRecepcion]])*24,1))</f>
        <v/>
      </c>
      <c r="N87" s="3">
        <f>IF(Bandeja_SCTR[[#This Row],[FechaRecepcion]]="","",DATE(YEAR(Bandeja_SCTR[[#This Row],[FechaRecepcion]]),MONTH(Bandeja_SCTR[[#This Row],[FechaRecepcion]]),1))</f>
        <v>46296</v>
      </c>
      <c r="O87">
        <f>IF(Bandeja_SCTR[[#This Row],[Estado]]="FINALIZADO",1,0)</f>
        <v>0</v>
      </c>
      <c r="P87">
        <f>IF(Bandeja_SCTR[[#This Row],[CasoId]]="",0,IF(Bandeja_SCTR[[#This Row],[Estado]]="FINALIZADO",0,1))</f>
        <v>1</v>
      </c>
    </row>
    <row r="88" spans="1:16" x14ac:dyDescent="0.3">
      <c r="A88" t="s">
        <v>407</v>
      </c>
      <c r="B88" t="s">
        <v>408</v>
      </c>
      <c r="C88" t="s">
        <v>409</v>
      </c>
      <c r="D88" s="1">
        <v>46309.605185185181</v>
      </c>
      <c r="E88" s="1">
        <v>46309.6096412037</v>
      </c>
      <c r="F88" s="1" t="s">
        <v>410</v>
      </c>
      <c r="H88" s="1"/>
      <c r="J88" t="s">
        <v>411</v>
      </c>
      <c r="K8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88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88" s="2" t="str">
        <f>IF(OR(Bandeja_SCTR[[#This Row],[FechaRecepcion]]="",Bandeja_SCTR[[#This Row],[FechaRespuesta]]=""),"",ROUND((Bandeja_SCTR[[#This Row],[FechaRespuesta]]-Bandeja_SCTR[[#This Row],[FechaRecepcion]])*24,1))</f>
        <v/>
      </c>
      <c r="N88" s="3">
        <f>IF(Bandeja_SCTR[[#This Row],[FechaRecepcion]]="","",DATE(YEAR(Bandeja_SCTR[[#This Row],[FechaRecepcion]]),MONTH(Bandeja_SCTR[[#This Row],[FechaRecepcion]]),1))</f>
        <v>46296</v>
      </c>
      <c r="O88">
        <f>IF(Bandeja_SCTR[[#This Row],[Estado]]="FINALIZADO",1,0)</f>
        <v>0</v>
      </c>
      <c r="P88">
        <f>IF(Bandeja_SCTR[[#This Row],[CasoId]]="",0,IF(Bandeja_SCTR[[#This Row],[Estado]]="FINALIZADO",0,1))</f>
        <v>1</v>
      </c>
    </row>
    <row r="89" spans="1:16" x14ac:dyDescent="0.3">
      <c r="A89" t="s">
        <v>412</v>
      </c>
      <c r="B89" t="s">
        <v>413</v>
      </c>
      <c r="C89" t="s">
        <v>414</v>
      </c>
      <c r="D89" s="1">
        <v>46309.609120370369</v>
      </c>
      <c r="E89" s="1">
        <v>46309.609120370369</v>
      </c>
      <c r="F89" s="1" t="s">
        <v>415</v>
      </c>
      <c r="H89" s="1"/>
      <c r="J89" t="s">
        <v>416</v>
      </c>
      <c r="K8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89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89" s="2" t="str">
        <f>IF(OR(Bandeja_SCTR[[#This Row],[FechaRecepcion]]="",Bandeja_SCTR[[#This Row],[FechaRespuesta]]=""),"",ROUND((Bandeja_SCTR[[#This Row],[FechaRespuesta]]-Bandeja_SCTR[[#This Row],[FechaRecepcion]])*24,1))</f>
        <v/>
      </c>
      <c r="N89" s="3">
        <f>IF(Bandeja_SCTR[[#This Row],[FechaRecepcion]]="","",DATE(YEAR(Bandeja_SCTR[[#This Row],[FechaRecepcion]]),MONTH(Bandeja_SCTR[[#This Row],[FechaRecepcion]]),1))</f>
        <v>46296</v>
      </c>
      <c r="O89">
        <f>IF(Bandeja_SCTR[[#This Row],[Estado]]="FINALIZADO",1,0)</f>
        <v>0</v>
      </c>
      <c r="P89">
        <f>IF(Bandeja_SCTR[[#This Row],[CasoId]]="",0,IF(Bandeja_SCTR[[#This Row],[Estado]]="FINALIZADO",0,1))</f>
        <v>1</v>
      </c>
    </row>
    <row r="90" spans="1:16" x14ac:dyDescent="0.3">
      <c r="A90" t="s">
        <v>417</v>
      </c>
      <c r="B90" t="s">
        <v>418</v>
      </c>
      <c r="C90" t="s">
        <v>419</v>
      </c>
      <c r="D90" s="1">
        <v>46309.616736111115</v>
      </c>
      <c r="E90" s="1">
        <v>46309.616736111115</v>
      </c>
      <c r="F90" s="1" t="s">
        <v>420</v>
      </c>
      <c r="H90" s="1"/>
      <c r="J90" t="s">
        <v>421</v>
      </c>
      <c r="K9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90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90" s="2" t="str">
        <f>IF(OR(Bandeja_SCTR[[#This Row],[FechaRecepcion]]="",Bandeja_SCTR[[#This Row],[FechaRespuesta]]=""),"",ROUND((Bandeja_SCTR[[#This Row],[FechaRespuesta]]-Bandeja_SCTR[[#This Row],[FechaRecepcion]])*24,1))</f>
        <v/>
      </c>
      <c r="N90" s="3">
        <f>IF(Bandeja_SCTR[[#This Row],[FechaRecepcion]]="","",DATE(YEAR(Bandeja_SCTR[[#This Row],[FechaRecepcion]]),MONTH(Bandeja_SCTR[[#This Row],[FechaRecepcion]]),1))</f>
        <v>46296</v>
      </c>
      <c r="O90">
        <f>IF(Bandeja_SCTR[[#This Row],[Estado]]="FINALIZADO",1,0)</f>
        <v>0</v>
      </c>
      <c r="P90">
        <f>IF(Bandeja_SCTR[[#This Row],[CasoId]]="",0,IF(Bandeja_SCTR[[#This Row],[Estado]]="FINALIZADO",0,1))</f>
        <v>1</v>
      </c>
    </row>
    <row r="91" spans="1:16" x14ac:dyDescent="0.3">
      <c r="A91" t="s">
        <v>422</v>
      </c>
      <c r="B91" t="s">
        <v>423</v>
      </c>
      <c r="C91" t="s">
        <v>424</v>
      </c>
      <c r="D91" s="1">
        <v>46309.620150462964</v>
      </c>
      <c r="E91" s="1">
        <v>46309.620150462964</v>
      </c>
      <c r="F91" s="1" t="s">
        <v>425</v>
      </c>
      <c r="H91" s="1"/>
      <c r="J91" t="s">
        <v>426</v>
      </c>
      <c r="K9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91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91" s="2" t="str">
        <f>IF(OR(Bandeja_SCTR[[#This Row],[FechaRecepcion]]="",Bandeja_SCTR[[#This Row],[FechaRespuesta]]=""),"",ROUND((Bandeja_SCTR[[#This Row],[FechaRespuesta]]-Bandeja_SCTR[[#This Row],[FechaRecepcion]])*24,1))</f>
        <v/>
      </c>
      <c r="N91" s="3">
        <f>IF(Bandeja_SCTR[[#This Row],[FechaRecepcion]]="","",DATE(YEAR(Bandeja_SCTR[[#This Row],[FechaRecepcion]]),MONTH(Bandeja_SCTR[[#This Row],[FechaRecepcion]]),1))</f>
        <v>46296</v>
      </c>
      <c r="O91">
        <f>IF(Bandeja_SCTR[[#This Row],[Estado]]="FINALIZADO",1,0)</f>
        <v>0</v>
      </c>
      <c r="P91">
        <f>IF(Bandeja_SCTR[[#This Row],[CasoId]]="",0,IF(Bandeja_SCTR[[#This Row],[Estado]]="FINALIZADO",0,1))</f>
        <v>1</v>
      </c>
    </row>
    <row r="92" spans="1:16" x14ac:dyDescent="0.3">
      <c r="A92" t="s">
        <v>427</v>
      </c>
      <c r="B92" t="s">
        <v>428</v>
      </c>
      <c r="C92" t="s">
        <v>429</v>
      </c>
      <c r="D92" s="1">
        <v>46309.620775462958</v>
      </c>
      <c r="E92" s="1">
        <v>46309.620775462958</v>
      </c>
      <c r="F92" s="1" t="s">
        <v>401</v>
      </c>
      <c r="H92" s="1"/>
      <c r="J92" t="s">
        <v>402</v>
      </c>
      <c r="K9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92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92" s="2" t="str">
        <f>IF(OR(Bandeja_SCTR[[#This Row],[FechaRecepcion]]="",Bandeja_SCTR[[#This Row],[FechaRespuesta]]=""),"",ROUND((Bandeja_SCTR[[#This Row],[FechaRespuesta]]-Bandeja_SCTR[[#This Row],[FechaRecepcion]])*24,1))</f>
        <v/>
      </c>
      <c r="N92" s="3">
        <f>IF(Bandeja_SCTR[[#This Row],[FechaRecepcion]]="","",DATE(YEAR(Bandeja_SCTR[[#This Row],[FechaRecepcion]]),MONTH(Bandeja_SCTR[[#This Row],[FechaRecepcion]]),1))</f>
        <v>46296</v>
      </c>
      <c r="O92">
        <f>IF(Bandeja_SCTR[[#This Row],[Estado]]="FINALIZADO",1,0)</f>
        <v>0</v>
      </c>
      <c r="P92">
        <f>IF(Bandeja_SCTR[[#This Row],[CasoId]]="",0,IF(Bandeja_SCTR[[#This Row],[Estado]]="FINALIZADO",0,1))</f>
        <v>1</v>
      </c>
    </row>
    <row r="93" spans="1:16" x14ac:dyDescent="0.3">
      <c r="A93" t="s">
        <v>430</v>
      </c>
      <c r="B93" t="s">
        <v>431</v>
      </c>
      <c r="C93" t="s">
        <v>432</v>
      </c>
      <c r="D93" s="1">
        <v>46309.628425925926</v>
      </c>
      <c r="E93" s="1">
        <v>46309.628425925926</v>
      </c>
      <c r="F93" s="1" t="s">
        <v>170</v>
      </c>
      <c r="H93" s="1"/>
      <c r="J93" t="s">
        <v>433</v>
      </c>
      <c r="K9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93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93" s="2" t="str">
        <f>IF(OR(Bandeja_SCTR[[#This Row],[FechaRecepcion]]="",Bandeja_SCTR[[#This Row],[FechaRespuesta]]=""),"",ROUND((Bandeja_SCTR[[#This Row],[FechaRespuesta]]-Bandeja_SCTR[[#This Row],[FechaRecepcion]])*24,1))</f>
        <v/>
      </c>
      <c r="N93" s="3">
        <f>IF(Bandeja_SCTR[[#This Row],[FechaRecepcion]]="","",DATE(YEAR(Bandeja_SCTR[[#This Row],[FechaRecepcion]]),MONTH(Bandeja_SCTR[[#This Row],[FechaRecepcion]]),1))</f>
        <v>46296</v>
      </c>
      <c r="O93">
        <f>IF(Bandeja_SCTR[[#This Row],[Estado]]="FINALIZADO",1,0)</f>
        <v>0</v>
      </c>
      <c r="P93">
        <f>IF(Bandeja_SCTR[[#This Row],[CasoId]]="",0,IF(Bandeja_SCTR[[#This Row],[Estado]]="FINALIZADO",0,1))</f>
        <v>1</v>
      </c>
    </row>
    <row r="94" spans="1:16" x14ac:dyDescent="0.3">
      <c r="A94" t="s">
        <v>434</v>
      </c>
      <c r="B94" t="s">
        <v>435</v>
      </c>
      <c r="C94" t="s">
        <v>436</v>
      </c>
      <c r="D94" s="1">
        <v>46309.631932870368</v>
      </c>
      <c r="E94" s="1">
        <v>46309.631932870368</v>
      </c>
      <c r="F94" s="1" t="s">
        <v>437</v>
      </c>
      <c r="H94" s="1"/>
      <c r="J94" t="s">
        <v>438</v>
      </c>
      <c r="K9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94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94" s="2" t="str">
        <f>IF(OR(Bandeja_SCTR[[#This Row],[FechaRecepcion]]="",Bandeja_SCTR[[#This Row],[FechaRespuesta]]=""),"",ROUND((Bandeja_SCTR[[#This Row],[FechaRespuesta]]-Bandeja_SCTR[[#This Row],[FechaRecepcion]])*24,1))</f>
        <v/>
      </c>
      <c r="N94" s="3">
        <f>IF(Bandeja_SCTR[[#This Row],[FechaRecepcion]]="","",DATE(YEAR(Bandeja_SCTR[[#This Row],[FechaRecepcion]]),MONTH(Bandeja_SCTR[[#This Row],[FechaRecepcion]]),1))</f>
        <v>46296</v>
      </c>
      <c r="O94">
        <f>IF(Bandeja_SCTR[[#This Row],[Estado]]="FINALIZADO",1,0)</f>
        <v>0</v>
      </c>
      <c r="P94">
        <f>IF(Bandeja_SCTR[[#This Row],[CasoId]]="",0,IF(Bandeja_SCTR[[#This Row],[Estado]]="FINALIZADO",0,1))</f>
        <v>1</v>
      </c>
    </row>
    <row r="95" spans="1:16" x14ac:dyDescent="0.3">
      <c r="A95" t="s">
        <v>439</v>
      </c>
      <c r="B95" t="s">
        <v>440</v>
      </c>
      <c r="C95" t="s">
        <v>441</v>
      </c>
      <c r="D95" s="1">
        <v>46309.634837962964</v>
      </c>
      <c r="E95" s="1">
        <v>46309.634837962964</v>
      </c>
      <c r="F95" s="1" t="s">
        <v>442</v>
      </c>
      <c r="H95" s="1"/>
      <c r="J95" t="s">
        <v>443</v>
      </c>
      <c r="K9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95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95" s="2" t="str">
        <f>IF(OR(Bandeja_SCTR[[#This Row],[FechaRecepcion]]="",Bandeja_SCTR[[#This Row],[FechaRespuesta]]=""),"",ROUND((Bandeja_SCTR[[#This Row],[FechaRespuesta]]-Bandeja_SCTR[[#This Row],[FechaRecepcion]])*24,1))</f>
        <v/>
      </c>
      <c r="N95" s="3">
        <f>IF(Bandeja_SCTR[[#This Row],[FechaRecepcion]]="","",DATE(YEAR(Bandeja_SCTR[[#This Row],[FechaRecepcion]]),MONTH(Bandeja_SCTR[[#This Row],[FechaRecepcion]]),1))</f>
        <v>46296</v>
      </c>
      <c r="O95">
        <f>IF(Bandeja_SCTR[[#This Row],[Estado]]="FINALIZADO",1,0)</f>
        <v>0</v>
      </c>
      <c r="P95">
        <f>IF(Bandeja_SCTR[[#This Row],[CasoId]]="",0,IF(Bandeja_SCTR[[#This Row],[Estado]]="FINALIZADO",0,1))</f>
        <v>1</v>
      </c>
    </row>
    <row r="96" spans="1:16" x14ac:dyDescent="0.3">
      <c r="A96" t="s">
        <v>444</v>
      </c>
      <c r="B96" t="s">
        <v>364</v>
      </c>
      <c r="C96" t="s">
        <v>365</v>
      </c>
      <c r="D96" s="1">
        <v>46309.645092592589</v>
      </c>
      <c r="E96" s="1">
        <v>46309.658495370371</v>
      </c>
      <c r="F96" s="1" t="s">
        <v>28</v>
      </c>
      <c r="G96" t="s">
        <v>29</v>
      </c>
      <c r="H96" s="1">
        <v>46309.658495370371</v>
      </c>
      <c r="I96" t="s">
        <v>28</v>
      </c>
      <c r="J96" t="s">
        <v>445</v>
      </c>
      <c r="K9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9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96" s="2">
        <f>IF(OR(Bandeja_SCTR[[#This Row],[FechaRecepcion]]="",Bandeja_SCTR[[#This Row],[FechaRespuesta]]=""),"",ROUND((Bandeja_SCTR[[#This Row],[FechaRespuesta]]-Bandeja_SCTR[[#This Row],[FechaRecepcion]])*24,1))</f>
        <v>0.3</v>
      </c>
      <c r="N96" s="3">
        <f>IF(Bandeja_SCTR[[#This Row],[FechaRecepcion]]="","",DATE(YEAR(Bandeja_SCTR[[#This Row],[FechaRecepcion]]),MONTH(Bandeja_SCTR[[#This Row],[FechaRecepcion]]),1))</f>
        <v>46296</v>
      </c>
      <c r="O96">
        <f>IF(Bandeja_SCTR[[#This Row],[Estado]]="FINALIZADO",1,0)</f>
        <v>1</v>
      </c>
      <c r="P96">
        <f>IF(Bandeja_SCTR[[#This Row],[CasoId]]="",0,IF(Bandeja_SCTR[[#This Row],[Estado]]="FINALIZADO",0,1))</f>
        <v>0</v>
      </c>
    </row>
    <row r="97" spans="1:16" x14ac:dyDescent="0.3">
      <c r="A97" t="s">
        <v>446</v>
      </c>
      <c r="B97" t="s">
        <v>447</v>
      </c>
      <c r="C97" t="s">
        <v>448</v>
      </c>
      <c r="D97" s="1">
        <v>46309.646620370375</v>
      </c>
      <c r="E97" s="1">
        <v>46309.646620370375</v>
      </c>
      <c r="F97" s="1" t="s">
        <v>401</v>
      </c>
      <c r="H97" s="1"/>
      <c r="J97" t="s">
        <v>402</v>
      </c>
      <c r="K9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97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97" s="2" t="str">
        <f>IF(OR(Bandeja_SCTR[[#This Row],[FechaRecepcion]]="",Bandeja_SCTR[[#This Row],[FechaRespuesta]]=""),"",ROUND((Bandeja_SCTR[[#This Row],[FechaRespuesta]]-Bandeja_SCTR[[#This Row],[FechaRecepcion]])*24,1))</f>
        <v/>
      </c>
      <c r="N97" s="3">
        <f>IF(Bandeja_SCTR[[#This Row],[FechaRecepcion]]="","",DATE(YEAR(Bandeja_SCTR[[#This Row],[FechaRecepcion]]),MONTH(Bandeja_SCTR[[#This Row],[FechaRecepcion]]),1))</f>
        <v>46296</v>
      </c>
      <c r="O97">
        <f>IF(Bandeja_SCTR[[#This Row],[Estado]]="FINALIZADO",1,0)</f>
        <v>0</v>
      </c>
      <c r="P97">
        <f>IF(Bandeja_SCTR[[#This Row],[CasoId]]="",0,IF(Bandeja_SCTR[[#This Row],[Estado]]="FINALIZADO",0,1))</f>
        <v>1</v>
      </c>
    </row>
    <row r="98" spans="1:16" x14ac:dyDescent="0.3">
      <c r="A98" t="s">
        <v>449</v>
      </c>
      <c r="B98" t="s">
        <v>450</v>
      </c>
      <c r="C98" t="s">
        <v>451</v>
      </c>
      <c r="D98" s="1">
        <v>46309.651203703703</v>
      </c>
      <c r="E98" s="1">
        <v>46309.651203703703</v>
      </c>
      <c r="F98" s="1" t="s">
        <v>194</v>
      </c>
      <c r="H98" s="1"/>
      <c r="J98" t="s">
        <v>452</v>
      </c>
      <c r="K9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98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98" s="2" t="str">
        <f>IF(OR(Bandeja_SCTR[[#This Row],[FechaRecepcion]]="",Bandeja_SCTR[[#This Row],[FechaRespuesta]]=""),"",ROUND((Bandeja_SCTR[[#This Row],[FechaRespuesta]]-Bandeja_SCTR[[#This Row],[FechaRecepcion]])*24,1))</f>
        <v/>
      </c>
      <c r="N98" s="3">
        <f>IF(Bandeja_SCTR[[#This Row],[FechaRecepcion]]="","",DATE(YEAR(Bandeja_SCTR[[#This Row],[FechaRecepcion]]),MONTH(Bandeja_SCTR[[#This Row],[FechaRecepcion]]),1))</f>
        <v>46296</v>
      </c>
      <c r="O98">
        <f>IF(Bandeja_SCTR[[#This Row],[Estado]]="FINALIZADO",1,0)</f>
        <v>0</v>
      </c>
      <c r="P98">
        <f>IF(Bandeja_SCTR[[#This Row],[CasoId]]="",0,IF(Bandeja_SCTR[[#This Row],[Estado]]="FINALIZADO",0,1))</f>
        <v>1</v>
      </c>
    </row>
    <row r="99" spans="1:16" x14ac:dyDescent="0.3">
      <c r="A99" t="s">
        <v>453</v>
      </c>
      <c r="B99" t="s">
        <v>454</v>
      </c>
      <c r="C99" t="s">
        <v>455</v>
      </c>
      <c r="D99" s="1">
        <v>46309.654456018514</v>
      </c>
      <c r="E99" s="1">
        <v>46309.654456018514</v>
      </c>
      <c r="F99" s="1" t="s">
        <v>266</v>
      </c>
      <c r="H99" s="1"/>
      <c r="J99" t="s">
        <v>267</v>
      </c>
      <c r="K9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99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99" s="2" t="str">
        <f>IF(OR(Bandeja_SCTR[[#This Row],[FechaRecepcion]]="",Bandeja_SCTR[[#This Row],[FechaRespuesta]]=""),"",ROUND((Bandeja_SCTR[[#This Row],[FechaRespuesta]]-Bandeja_SCTR[[#This Row],[FechaRecepcion]])*24,1))</f>
        <v/>
      </c>
      <c r="N99" s="3">
        <f>IF(Bandeja_SCTR[[#This Row],[FechaRecepcion]]="","",DATE(YEAR(Bandeja_SCTR[[#This Row],[FechaRecepcion]]),MONTH(Bandeja_SCTR[[#This Row],[FechaRecepcion]]),1))</f>
        <v>46296</v>
      </c>
      <c r="O99">
        <f>IF(Bandeja_SCTR[[#This Row],[Estado]]="FINALIZADO",1,0)</f>
        <v>0</v>
      </c>
      <c r="P99">
        <f>IF(Bandeja_SCTR[[#This Row],[CasoId]]="",0,IF(Bandeja_SCTR[[#This Row],[Estado]]="FINALIZADO",0,1))</f>
        <v>1</v>
      </c>
    </row>
    <row r="100" spans="1:16" x14ac:dyDescent="0.3">
      <c r="A100" t="s">
        <v>456</v>
      </c>
      <c r="B100" t="s">
        <v>457</v>
      </c>
      <c r="C100" t="s">
        <v>458</v>
      </c>
      <c r="D100" s="1">
        <v>46309.656319444446</v>
      </c>
      <c r="E100" s="1">
        <v>46309.656319444446</v>
      </c>
      <c r="F100" s="1" t="s">
        <v>102</v>
      </c>
      <c r="H100" s="1"/>
      <c r="J100" t="s">
        <v>459</v>
      </c>
      <c r="K10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00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100" s="2" t="str">
        <f>IF(OR(Bandeja_SCTR[[#This Row],[FechaRecepcion]]="",Bandeja_SCTR[[#This Row],[FechaRespuesta]]=""),"",ROUND((Bandeja_SCTR[[#This Row],[FechaRespuesta]]-Bandeja_SCTR[[#This Row],[FechaRecepcion]])*24,1))</f>
        <v/>
      </c>
      <c r="N100" s="3">
        <f>IF(Bandeja_SCTR[[#This Row],[FechaRecepcion]]="","",DATE(YEAR(Bandeja_SCTR[[#This Row],[FechaRecepcion]]),MONTH(Bandeja_SCTR[[#This Row],[FechaRecepcion]]),1))</f>
        <v>46296</v>
      </c>
      <c r="O100">
        <f>IF(Bandeja_SCTR[[#This Row],[Estado]]="FINALIZADO",1,0)</f>
        <v>0</v>
      </c>
      <c r="P100">
        <f>IF(Bandeja_SCTR[[#This Row],[CasoId]]="",0,IF(Bandeja_SCTR[[#This Row],[Estado]]="FINALIZADO",0,1))</f>
        <v>1</v>
      </c>
    </row>
    <row r="101" spans="1:16" x14ac:dyDescent="0.3">
      <c r="A101" t="s">
        <v>460</v>
      </c>
      <c r="B101" t="s">
        <v>461</v>
      </c>
      <c r="C101" t="s">
        <v>462</v>
      </c>
      <c r="D101" s="1">
        <v>46309.662152777775</v>
      </c>
      <c r="E101" s="1">
        <v>46309.662152777775</v>
      </c>
      <c r="F101" s="1" t="s">
        <v>463</v>
      </c>
      <c r="G101" t="s">
        <v>29</v>
      </c>
      <c r="H101" s="1">
        <v>46309.662152777775</v>
      </c>
      <c r="I101" t="s">
        <v>464</v>
      </c>
      <c r="J101" t="s">
        <v>465</v>
      </c>
      <c r="K10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0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101" s="2">
        <f>IF(OR(Bandeja_SCTR[[#This Row],[FechaRecepcion]]="",Bandeja_SCTR[[#This Row],[FechaRespuesta]]=""),"",ROUND((Bandeja_SCTR[[#This Row],[FechaRespuesta]]-Bandeja_SCTR[[#This Row],[FechaRecepcion]])*24,1))</f>
        <v>0</v>
      </c>
      <c r="N101" s="3">
        <f>IF(Bandeja_SCTR[[#This Row],[FechaRecepcion]]="","",DATE(YEAR(Bandeja_SCTR[[#This Row],[FechaRecepcion]]),MONTH(Bandeja_SCTR[[#This Row],[FechaRecepcion]]),1))</f>
        <v>46296</v>
      </c>
      <c r="O101">
        <f>IF(Bandeja_SCTR[[#This Row],[Estado]]="FINALIZADO",1,0)</f>
        <v>1</v>
      </c>
      <c r="P101">
        <f>IF(Bandeja_SCTR[[#This Row],[CasoId]]="",0,IF(Bandeja_SCTR[[#This Row],[Estado]]="FINALIZADO",0,1))</f>
        <v>0</v>
      </c>
    </row>
    <row r="102" spans="1:16" x14ac:dyDescent="0.3">
      <c r="A102" t="s">
        <v>466</v>
      </c>
      <c r="B102" t="s">
        <v>467</v>
      </c>
      <c r="C102" t="s">
        <v>468</v>
      </c>
      <c r="D102" s="1">
        <v>46309.669560185182</v>
      </c>
      <c r="E102" s="1">
        <v>46309.669560185182</v>
      </c>
      <c r="F102" s="1" t="s">
        <v>141</v>
      </c>
      <c r="G102" t="s">
        <v>29</v>
      </c>
      <c r="H102" s="1">
        <v>46309.669560185182</v>
      </c>
      <c r="I102" t="s">
        <v>208</v>
      </c>
      <c r="J102" t="s">
        <v>469</v>
      </c>
      <c r="K10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0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102" s="2">
        <f>IF(OR(Bandeja_SCTR[[#This Row],[FechaRecepcion]]="",Bandeja_SCTR[[#This Row],[FechaRespuesta]]=""),"",ROUND((Bandeja_SCTR[[#This Row],[FechaRespuesta]]-Bandeja_SCTR[[#This Row],[FechaRecepcion]])*24,1))</f>
        <v>0</v>
      </c>
      <c r="N102" s="3">
        <f>IF(Bandeja_SCTR[[#This Row],[FechaRecepcion]]="","",DATE(YEAR(Bandeja_SCTR[[#This Row],[FechaRecepcion]]),MONTH(Bandeja_SCTR[[#This Row],[FechaRecepcion]]),1))</f>
        <v>46296</v>
      </c>
      <c r="O102">
        <f>IF(Bandeja_SCTR[[#This Row],[Estado]]="FINALIZADO",1,0)</f>
        <v>1</v>
      </c>
      <c r="P102">
        <f>IF(Bandeja_SCTR[[#This Row],[CasoId]]="",0,IF(Bandeja_SCTR[[#This Row],[Estado]]="FINALIZADO",0,1))</f>
        <v>0</v>
      </c>
    </row>
    <row r="103" spans="1:16" x14ac:dyDescent="0.3">
      <c r="A103" t="s">
        <v>470</v>
      </c>
      <c r="B103" t="s">
        <v>471</v>
      </c>
      <c r="C103" t="s">
        <v>472</v>
      </c>
      <c r="D103" s="1">
        <v>46309.673020833332</v>
      </c>
      <c r="E103" s="1">
        <v>46309.673020833332</v>
      </c>
      <c r="F103" s="1" t="s">
        <v>141</v>
      </c>
      <c r="H103" s="1"/>
      <c r="J103" t="s">
        <v>473</v>
      </c>
      <c r="K10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03">
        <f ca="1">IF(Bandeja_SCTR[[#This Row],[FechaRecepcion]]="","",NETWORKDAYS(INT(Bandeja_SCTR[[#This Row],[FechaRecepcion]]),IF(Bandeja_SCTR[[#This Row],[FechaRespuesta]]="",TODAY(),INT(Bandeja_SCTR[[#This Row],[FechaRespuesta]])),DIAS_NOLAB[Feriados]))</f>
        <v>2</v>
      </c>
      <c r="M103" s="2" t="str">
        <f>IF(OR(Bandeja_SCTR[[#This Row],[FechaRecepcion]]="",Bandeja_SCTR[[#This Row],[FechaRespuesta]]=""),"",ROUND((Bandeja_SCTR[[#This Row],[FechaRespuesta]]-Bandeja_SCTR[[#This Row],[FechaRecepcion]])*24,1))</f>
        <v/>
      </c>
      <c r="N103" s="3">
        <f>IF(Bandeja_SCTR[[#This Row],[FechaRecepcion]]="","",DATE(YEAR(Bandeja_SCTR[[#This Row],[FechaRecepcion]]),MONTH(Bandeja_SCTR[[#This Row],[FechaRecepcion]]),1))</f>
        <v>46296</v>
      </c>
      <c r="O103">
        <f>IF(Bandeja_SCTR[[#This Row],[Estado]]="FINALIZADO",1,0)</f>
        <v>0</v>
      </c>
      <c r="P103">
        <f>IF(Bandeja_SCTR[[#This Row],[CasoId]]="",0,IF(Bandeja_SCTR[[#This Row],[Estado]]="FINALIZADO",0,1))</f>
        <v>1</v>
      </c>
    </row>
    <row r="104" spans="1:16" x14ac:dyDescent="0.3">
      <c r="A104" t="s">
        <v>474</v>
      </c>
      <c r="B104" t="s">
        <v>475</v>
      </c>
      <c r="C104" t="s">
        <v>476</v>
      </c>
      <c r="D104" s="1">
        <v>46309.678136574075</v>
      </c>
      <c r="E104" s="1">
        <v>46309.678136574075</v>
      </c>
      <c r="F104" s="1" t="s">
        <v>477</v>
      </c>
      <c r="G104" t="s">
        <v>29</v>
      </c>
      <c r="H104" s="1">
        <v>46309.678136574075</v>
      </c>
      <c r="I104" t="s">
        <v>478</v>
      </c>
      <c r="J104" t="s">
        <v>479</v>
      </c>
      <c r="K10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0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M104" s="2">
        <f>IF(OR(Bandeja_SCTR[[#This Row],[FechaRecepcion]]="",Bandeja_SCTR[[#This Row],[FechaRespuesta]]=""),"",ROUND((Bandeja_SCTR[[#This Row],[FechaRespuesta]]-Bandeja_SCTR[[#This Row],[FechaRecepcion]])*24,1))</f>
        <v>0</v>
      </c>
      <c r="N104" s="3">
        <f>IF(Bandeja_SCTR[[#This Row],[FechaRecepcion]]="","",DATE(YEAR(Bandeja_SCTR[[#This Row],[FechaRecepcion]]),MONTH(Bandeja_SCTR[[#This Row],[FechaRecepcion]]),1))</f>
        <v>46296</v>
      </c>
      <c r="O104">
        <f>IF(Bandeja_SCTR[[#This Row],[Estado]]="FINALIZADO",1,0)</f>
        <v>1</v>
      </c>
      <c r="P104">
        <f>IF(Bandeja_SCTR[[#This Row],[CasoId]]="",0,IF(Bandeja_SCTR[[#This Row],[Estado]]="FINALIZADO",0,1))</f>
        <v>0</v>
      </c>
    </row>
  </sheetData>
  <dataValidations count="1">
    <dataValidation type="list" allowBlank="1" sqref="G2:G20102">
      <formula1>"FINALIZADO"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2"/>
  <sheetViews>
    <sheetView workbookViewId="0"/>
  </sheetViews>
  <sheetFormatPr baseColWidth="10" defaultColWidth="8.88671875" defaultRowHeight="14.4" x14ac:dyDescent="0.3"/>
  <cols>
    <col min="2" max="2" width="22" customWidth="1"/>
    <col min="4" max="4" width="14" customWidth="1"/>
  </cols>
  <sheetData>
    <row r="2" spans="2:6" x14ac:dyDescent="0.3">
      <c r="B2" s="4" t="s">
        <v>6</v>
      </c>
      <c r="D2" t="s">
        <v>480</v>
      </c>
      <c r="F2" s="5" t="s">
        <v>481</v>
      </c>
    </row>
    <row r="3" spans="2:6" x14ac:dyDescent="0.3">
      <c r="B3" t="s">
        <v>29</v>
      </c>
      <c r="D3" s="6">
        <v>45938</v>
      </c>
    </row>
    <row r="4" spans="2:6" x14ac:dyDescent="0.3">
      <c r="B4" s="5" t="s">
        <v>482</v>
      </c>
      <c r="D4" s="6">
        <v>45962</v>
      </c>
    </row>
    <row r="5" spans="2:6" x14ac:dyDescent="0.3">
      <c r="D5" s="6">
        <v>45999</v>
      </c>
    </row>
    <row r="6" spans="2:6" x14ac:dyDescent="0.3">
      <c r="D6" s="6">
        <v>46000</v>
      </c>
    </row>
    <row r="7" spans="2:6" x14ac:dyDescent="0.3">
      <c r="D7" s="6">
        <v>46016</v>
      </c>
    </row>
    <row r="8" spans="2:6" x14ac:dyDescent="0.3">
      <c r="D8" s="6">
        <v>46023</v>
      </c>
    </row>
    <row r="9" spans="2:6" x14ac:dyDescent="0.3">
      <c r="D9" s="6">
        <v>46114</v>
      </c>
    </row>
    <row r="10" spans="2:6" x14ac:dyDescent="0.3">
      <c r="D10" s="6">
        <v>46115</v>
      </c>
    </row>
    <row r="11" spans="2:6" x14ac:dyDescent="0.3">
      <c r="D11" s="6">
        <v>46143</v>
      </c>
    </row>
    <row r="12" spans="2:6" x14ac:dyDescent="0.3">
      <c r="D12" s="6">
        <v>46202</v>
      </c>
    </row>
    <row r="13" spans="2:6" x14ac:dyDescent="0.3">
      <c r="D13" s="6">
        <v>46226</v>
      </c>
    </row>
    <row r="14" spans="2:6" x14ac:dyDescent="0.3">
      <c r="D14" s="6">
        <v>46231</v>
      </c>
    </row>
    <row r="15" spans="2:6" x14ac:dyDescent="0.3">
      <c r="D15" s="6">
        <v>46232</v>
      </c>
    </row>
    <row r="16" spans="2:6" x14ac:dyDescent="0.3">
      <c r="D16" s="6">
        <v>46240</v>
      </c>
    </row>
    <row r="17" spans="4:4" x14ac:dyDescent="0.3">
      <c r="D17" s="6">
        <v>46264</v>
      </c>
    </row>
    <row r="18" spans="4:4" x14ac:dyDescent="0.3">
      <c r="D18" s="6">
        <v>46303</v>
      </c>
    </row>
    <row r="19" spans="4:4" x14ac:dyDescent="0.3">
      <c r="D19" s="6">
        <v>46327</v>
      </c>
    </row>
    <row r="20" spans="4:4" x14ac:dyDescent="0.3">
      <c r="D20" s="6">
        <v>46364</v>
      </c>
    </row>
    <row r="21" spans="4:4" x14ac:dyDescent="0.3">
      <c r="D21" s="6">
        <v>46365</v>
      </c>
    </row>
    <row r="22" spans="4:4" x14ac:dyDescent="0.3">
      <c r="D22" s="6">
        <v>46381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BANDEJA</vt:lpstr>
      <vt:lpstr>LISTAS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Claudia Grimaldi</cp:lastModifiedBy>
  <cp:revision/>
  <dcterms:created xsi:type="dcterms:W3CDTF">2026-10-13T22:57:45Z</dcterms:created>
  <dcterms:modified xsi:type="dcterms:W3CDTF">2026-10-15T16:52:46Z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0x010100055F873CD8E35B46AA94A8258DDC3D10</vt:lpwstr>
  </property>
  <property fmtid="{D5CDD505-2E9C-101B-9397-08002B2CF9AE}" pid="3" name="MediaServiceImageTags">
    <vt:lpwstr/>
  </property>
</Properties>
</file>