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C:\Users\claro\Downloads\AUTOMATIZACIÓN SCTR SALUD\8 CIERRE AUTOMATICO DE CORREOS\"/>
    </mc:Choice>
  </mc:AlternateContent>
  <xr:revisionPtr revIDLastSave="3949" documentId="11_DBF5ABAD1607E281165A29E6BF758D0E1A37F2EC" xr6:coauthVersionLast="47" xr6:coauthVersionMax="47" xr10:uidLastSave="{DEBAD070-FFC4-4E6C-B30F-CBF6C6B73C60}"/>
  <bookViews>
    <workbookView xWindow="0" yWindow="0" windowWidth="11748" windowHeight="3396" xr2:uid="{00000000-000D-0000-FFFF-FFFF00000000}"/>
  </bookViews>
  <sheets>
    <sheet name="BANDEJA" sheetId="1" r:id="rId1"/>
    <sheet name="LISTAS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46" i="1" l="1"/>
  <c r="L446" i="1"/>
  <c r="M446" i="1"/>
  <c r="N446" i="1"/>
  <c r="O446" i="1"/>
  <c r="P446" i="1"/>
  <c r="K445" i="1"/>
  <c r="L445" i="1"/>
  <c r="M445" i="1"/>
  <c r="N445" i="1"/>
  <c r="O445" i="1"/>
  <c r="P445" i="1"/>
  <c r="K444" i="1"/>
  <c r="L444" i="1"/>
  <c r="M444" i="1"/>
  <c r="N444" i="1"/>
  <c r="O444" i="1"/>
  <c r="P444" i="1"/>
  <c r="K443" i="1"/>
  <c r="L443" i="1"/>
  <c r="M443" i="1"/>
  <c r="N443" i="1"/>
  <c r="O443" i="1"/>
  <c r="P443" i="1"/>
  <c r="K442" i="1"/>
  <c r="L442" i="1"/>
  <c r="M442" i="1"/>
  <c r="N442" i="1"/>
  <c r="O442" i="1"/>
  <c r="P442" i="1"/>
  <c r="K441" i="1"/>
  <c r="L441" i="1"/>
  <c r="M441" i="1"/>
  <c r="N441" i="1"/>
  <c r="O441" i="1"/>
  <c r="P441" i="1"/>
  <c r="K440" i="1"/>
  <c r="L440" i="1"/>
  <c r="M440" i="1"/>
  <c r="N440" i="1"/>
  <c r="O440" i="1"/>
  <c r="P440" i="1"/>
  <c r="K439" i="1"/>
  <c r="L439" i="1"/>
  <c r="M439" i="1"/>
  <c r="N439" i="1"/>
  <c r="O439" i="1"/>
  <c r="P439" i="1"/>
  <c r="K438" i="1"/>
  <c r="L438" i="1"/>
  <c r="M438" i="1"/>
  <c r="N438" i="1"/>
  <c r="O438" i="1"/>
  <c r="P438" i="1"/>
  <c r="K437" i="1"/>
  <c r="L437" i="1"/>
  <c r="M437" i="1"/>
  <c r="N437" i="1"/>
  <c r="O437" i="1"/>
  <c r="P437" i="1"/>
  <c r="K436" i="1"/>
  <c r="L436" i="1"/>
  <c r="M436" i="1"/>
  <c r="N436" i="1"/>
  <c r="O436" i="1"/>
  <c r="P436" i="1"/>
  <c r="K435" i="1"/>
  <c r="L435" i="1"/>
  <c r="M435" i="1"/>
  <c r="N435" i="1"/>
  <c r="O435" i="1"/>
  <c r="P435" i="1"/>
  <c r="K434" i="1"/>
  <c r="L434" i="1"/>
  <c r="M434" i="1"/>
  <c r="N434" i="1"/>
  <c r="O434" i="1"/>
  <c r="P434" i="1"/>
  <c r="K433" i="1"/>
  <c r="L433" i="1"/>
  <c r="M433" i="1"/>
  <c r="N433" i="1"/>
  <c r="O433" i="1"/>
  <c r="P433" i="1"/>
  <c r="K432" i="1"/>
  <c r="L432" i="1"/>
  <c r="M432" i="1"/>
  <c r="N432" i="1"/>
  <c r="O432" i="1"/>
  <c r="P432" i="1"/>
  <c r="K431" i="1"/>
  <c r="L431" i="1"/>
  <c r="M431" i="1"/>
  <c r="N431" i="1"/>
  <c r="O431" i="1"/>
  <c r="P431" i="1"/>
  <c r="K430" i="1"/>
  <c r="L430" i="1"/>
  <c r="M430" i="1"/>
  <c r="N430" i="1"/>
  <c r="O430" i="1"/>
  <c r="P430" i="1"/>
  <c r="K429" i="1"/>
  <c r="L429" i="1"/>
  <c r="M429" i="1"/>
  <c r="N429" i="1"/>
  <c r="O429" i="1"/>
  <c r="P429" i="1"/>
  <c r="K428" i="1"/>
  <c r="L428" i="1"/>
  <c r="M428" i="1"/>
  <c r="N428" i="1"/>
  <c r="O428" i="1"/>
  <c r="P428" i="1"/>
  <c r="K427" i="1"/>
  <c r="L427" i="1"/>
  <c r="M427" i="1"/>
  <c r="N427" i="1"/>
  <c r="O427" i="1"/>
  <c r="P427" i="1"/>
  <c r="K426" i="1"/>
  <c r="L426" i="1"/>
  <c r="M426" i="1"/>
  <c r="N426" i="1"/>
  <c r="O426" i="1"/>
  <c r="P426" i="1"/>
  <c r="K425" i="1"/>
  <c r="L425" i="1"/>
  <c r="M425" i="1"/>
  <c r="N425" i="1"/>
  <c r="O425" i="1"/>
  <c r="P425" i="1"/>
  <c r="K424" i="1"/>
  <c r="L424" i="1"/>
  <c r="M424" i="1"/>
  <c r="N424" i="1"/>
  <c r="O424" i="1"/>
  <c r="P424" i="1"/>
  <c r="K423" i="1"/>
  <c r="L423" i="1"/>
  <c r="M423" i="1"/>
  <c r="N423" i="1"/>
  <c r="O423" i="1"/>
  <c r="P423" i="1"/>
  <c r="K422" i="1"/>
  <c r="L422" i="1"/>
  <c r="M422" i="1"/>
  <c r="N422" i="1"/>
  <c r="O422" i="1"/>
  <c r="P422" i="1"/>
  <c r="K421" i="1"/>
  <c r="L421" i="1"/>
  <c r="M421" i="1"/>
  <c r="N421" i="1"/>
  <c r="O421" i="1"/>
  <c r="P421" i="1"/>
  <c r="K420" i="1"/>
  <c r="L420" i="1"/>
  <c r="M420" i="1"/>
  <c r="N420" i="1"/>
  <c r="O420" i="1"/>
  <c r="P420" i="1"/>
  <c r="K419" i="1"/>
  <c r="L419" i="1"/>
  <c r="M419" i="1"/>
  <c r="N419" i="1"/>
  <c r="O419" i="1"/>
  <c r="P419" i="1"/>
  <c r="K418" i="1"/>
  <c r="L418" i="1"/>
  <c r="M418" i="1"/>
  <c r="N418" i="1"/>
  <c r="O418" i="1"/>
  <c r="P418" i="1"/>
  <c r="K417" i="1"/>
  <c r="L417" i="1"/>
  <c r="M417" i="1"/>
  <c r="N417" i="1"/>
  <c r="O417" i="1"/>
  <c r="P417" i="1"/>
  <c r="K416" i="1"/>
  <c r="L416" i="1"/>
  <c r="M416" i="1"/>
  <c r="N416" i="1"/>
  <c r="O416" i="1"/>
  <c r="P416" i="1"/>
  <c r="K415" i="1"/>
  <c r="L415" i="1"/>
  <c r="M415" i="1"/>
  <c r="N415" i="1"/>
  <c r="O415" i="1"/>
  <c r="P415" i="1"/>
  <c r="K414" i="1"/>
  <c r="L414" i="1"/>
  <c r="M414" i="1"/>
  <c r="N414" i="1"/>
  <c r="O414" i="1"/>
  <c r="P414" i="1"/>
  <c r="K413" i="1"/>
  <c r="L413" i="1"/>
  <c r="M413" i="1"/>
  <c r="N413" i="1"/>
  <c r="O413" i="1"/>
  <c r="P413" i="1"/>
  <c r="K412" i="1"/>
  <c r="L412" i="1"/>
  <c r="M412" i="1"/>
  <c r="N412" i="1"/>
  <c r="O412" i="1"/>
  <c r="P412" i="1"/>
  <c r="K411" i="1"/>
  <c r="L411" i="1"/>
  <c r="M411" i="1"/>
  <c r="N411" i="1"/>
  <c r="O411" i="1"/>
  <c r="P411" i="1"/>
  <c r="K410" i="1"/>
  <c r="L410" i="1"/>
  <c r="M410" i="1"/>
  <c r="N410" i="1"/>
  <c r="O410" i="1"/>
  <c r="P410" i="1"/>
  <c r="K409" i="1"/>
  <c r="L409" i="1"/>
  <c r="M409" i="1"/>
  <c r="N409" i="1"/>
  <c r="O409" i="1"/>
  <c r="P409" i="1"/>
  <c r="K408" i="1"/>
  <c r="L408" i="1"/>
  <c r="M408" i="1"/>
  <c r="N408" i="1"/>
  <c r="O408" i="1"/>
  <c r="P408" i="1"/>
  <c r="K407" i="1"/>
  <c r="L407" i="1"/>
  <c r="M407" i="1"/>
  <c r="N407" i="1"/>
  <c r="O407" i="1"/>
  <c r="P407" i="1"/>
  <c r="K406" i="1"/>
  <c r="L406" i="1"/>
  <c r="M406" i="1"/>
  <c r="N406" i="1"/>
  <c r="O406" i="1"/>
  <c r="P406" i="1"/>
  <c r="K405" i="1"/>
  <c r="L405" i="1"/>
  <c r="M405" i="1"/>
  <c r="N405" i="1"/>
  <c r="O405" i="1"/>
  <c r="P405" i="1"/>
  <c r="K404" i="1"/>
  <c r="L404" i="1"/>
  <c r="M404" i="1"/>
  <c r="N404" i="1"/>
  <c r="O404" i="1"/>
  <c r="P404" i="1"/>
  <c r="K403" i="1"/>
  <c r="L403" i="1"/>
  <c r="M403" i="1"/>
  <c r="N403" i="1"/>
  <c r="O403" i="1"/>
  <c r="P403" i="1"/>
  <c r="K402" i="1"/>
  <c r="L402" i="1"/>
  <c r="M402" i="1"/>
  <c r="N402" i="1"/>
  <c r="O402" i="1"/>
  <c r="P402" i="1"/>
  <c r="K401" i="1"/>
  <c r="L401" i="1"/>
  <c r="M401" i="1"/>
  <c r="N401" i="1"/>
  <c r="O401" i="1"/>
  <c r="P401" i="1"/>
  <c r="K400" i="1"/>
  <c r="L400" i="1"/>
  <c r="M400" i="1"/>
  <c r="N400" i="1"/>
  <c r="O400" i="1"/>
  <c r="P400" i="1"/>
  <c r="K399" i="1"/>
  <c r="L399" i="1"/>
  <c r="M399" i="1"/>
  <c r="N399" i="1"/>
  <c r="O399" i="1"/>
  <c r="P399" i="1"/>
  <c r="K398" i="1"/>
  <c r="L398" i="1"/>
  <c r="M398" i="1"/>
  <c r="N398" i="1"/>
  <c r="O398" i="1"/>
  <c r="P398" i="1"/>
  <c r="K397" i="1"/>
  <c r="L397" i="1"/>
  <c r="M397" i="1"/>
  <c r="N397" i="1"/>
  <c r="O397" i="1"/>
  <c r="P397" i="1"/>
  <c r="K396" i="1"/>
  <c r="L396" i="1"/>
  <c r="M396" i="1"/>
  <c r="N396" i="1"/>
  <c r="O396" i="1"/>
  <c r="P396" i="1"/>
  <c r="K395" i="1"/>
  <c r="L395" i="1"/>
  <c r="M395" i="1"/>
  <c r="N395" i="1"/>
  <c r="O395" i="1"/>
  <c r="P395" i="1"/>
  <c r="K394" i="1"/>
  <c r="L394" i="1"/>
  <c r="M394" i="1"/>
  <c r="N394" i="1"/>
  <c r="O394" i="1"/>
  <c r="P394" i="1"/>
  <c r="K393" i="1"/>
  <c r="L393" i="1"/>
  <c r="M393" i="1"/>
  <c r="N393" i="1"/>
  <c r="O393" i="1"/>
  <c r="P393" i="1"/>
  <c r="K392" i="1"/>
  <c r="L392" i="1"/>
  <c r="M392" i="1"/>
  <c r="N392" i="1"/>
  <c r="O392" i="1"/>
  <c r="P392" i="1"/>
  <c r="K391" i="1"/>
  <c r="L391" i="1"/>
  <c r="M391" i="1"/>
  <c r="N391" i="1"/>
  <c r="O391" i="1"/>
  <c r="P391" i="1"/>
  <c r="K390" i="1"/>
  <c r="L390" i="1"/>
  <c r="M390" i="1"/>
  <c r="N390" i="1"/>
  <c r="O390" i="1"/>
  <c r="P390" i="1"/>
  <c r="K389" i="1"/>
  <c r="L389" i="1"/>
  <c r="M389" i="1"/>
  <c r="N389" i="1"/>
  <c r="O389" i="1"/>
  <c r="P389" i="1"/>
  <c r="K388" i="1"/>
  <c r="L388" i="1"/>
  <c r="M388" i="1"/>
  <c r="N388" i="1"/>
  <c r="O388" i="1"/>
  <c r="P388" i="1"/>
  <c r="K387" i="1"/>
  <c r="L387" i="1"/>
  <c r="M387" i="1"/>
  <c r="N387" i="1"/>
  <c r="O387" i="1"/>
  <c r="P387" i="1"/>
  <c r="K386" i="1"/>
  <c r="L386" i="1"/>
  <c r="M386" i="1"/>
  <c r="N386" i="1"/>
  <c r="O386" i="1"/>
  <c r="P386" i="1"/>
  <c r="K385" i="1"/>
  <c r="L385" i="1"/>
  <c r="M385" i="1"/>
  <c r="N385" i="1"/>
  <c r="O385" i="1"/>
  <c r="P385" i="1"/>
  <c r="K384" i="1"/>
  <c r="L384" i="1"/>
  <c r="M384" i="1"/>
  <c r="N384" i="1"/>
  <c r="O384" i="1"/>
  <c r="P384" i="1"/>
  <c r="K383" i="1"/>
  <c r="L383" i="1"/>
  <c r="M383" i="1"/>
  <c r="N383" i="1"/>
  <c r="O383" i="1"/>
  <c r="P383" i="1"/>
  <c r="K382" i="1"/>
  <c r="L382" i="1"/>
  <c r="M382" i="1"/>
  <c r="N382" i="1"/>
  <c r="O382" i="1"/>
  <c r="P382" i="1"/>
  <c r="K381" i="1"/>
  <c r="L381" i="1"/>
  <c r="M381" i="1"/>
  <c r="N381" i="1"/>
  <c r="O381" i="1"/>
  <c r="P381" i="1"/>
  <c r="K380" i="1"/>
  <c r="L380" i="1"/>
  <c r="M380" i="1"/>
  <c r="N380" i="1"/>
  <c r="O380" i="1"/>
  <c r="P380" i="1"/>
  <c r="K379" i="1"/>
  <c r="L379" i="1"/>
  <c r="M379" i="1"/>
  <c r="N379" i="1"/>
  <c r="O379" i="1"/>
  <c r="P379" i="1"/>
  <c r="K378" i="1"/>
  <c r="L378" i="1"/>
  <c r="M378" i="1"/>
  <c r="N378" i="1"/>
  <c r="O378" i="1"/>
  <c r="P378" i="1"/>
  <c r="K377" i="1"/>
  <c r="L377" i="1"/>
  <c r="M377" i="1"/>
  <c r="N377" i="1"/>
  <c r="O377" i="1"/>
  <c r="P377" i="1"/>
  <c r="K376" i="1"/>
  <c r="L376" i="1"/>
  <c r="M376" i="1"/>
  <c r="N376" i="1"/>
  <c r="O376" i="1"/>
  <c r="P376" i="1"/>
  <c r="K375" i="1"/>
  <c r="L375" i="1"/>
  <c r="M375" i="1"/>
  <c r="N375" i="1"/>
  <c r="O375" i="1"/>
  <c r="P375" i="1"/>
  <c r="K374" i="1"/>
  <c r="L374" i="1"/>
  <c r="M374" i="1"/>
  <c r="N374" i="1"/>
  <c r="O374" i="1"/>
  <c r="P374" i="1"/>
  <c r="K373" i="1"/>
  <c r="L373" i="1"/>
  <c r="M373" i="1"/>
  <c r="N373" i="1"/>
  <c r="O373" i="1"/>
  <c r="P373" i="1"/>
  <c r="K372" i="1"/>
  <c r="L372" i="1"/>
  <c r="M372" i="1"/>
  <c r="N372" i="1"/>
  <c r="O372" i="1"/>
  <c r="P372" i="1"/>
  <c r="K371" i="1"/>
  <c r="L371" i="1"/>
  <c r="M371" i="1"/>
  <c r="N371" i="1"/>
  <c r="O371" i="1"/>
  <c r="P371" i="1"/>
  <c r="K370" i="1"/>
  <c r="L370" i="1"/>
  <c r="M370" i="1"/>
  <c r="N370" i="1"/>
  <c r="O370" i="1"/>
  <c r="P370" i="1"/>
  <c r="K369" i="1"/>
  <c r="L369" i="1"/>
  <c r="M369" i="1"/>
  <c r="N369" i="1"/>
  <c r="O369" i="1"/>
  <c r="P369" i="1"/>
  <c r="K368" i="1"/>
  <c r="L368" i="1"/>
  <c r="M368" i="1"/>
  <c r="N368" i="1"/>
  <c r="O368" i="1"/>
  <c r="P368" i="1"/>
  <c r="K367" i="1"/>
  <c r="L367" i="1"/>
  <c r="M367" i="1"/>
  <c r="N367" i="1"/>
  <c r="O367" i="1"/>
  <c r="P367" i="1"/>
  <c r="K366" i="1"/>
  <c r="L366" i="1"/>
  <c r="M366" i="1"/>
  <c r="N366" i="1"/>
  <c r="O366" i="1"/>
  <c r="P366" i="1"/>
  <c r="K365" i="1"/>
  <c r="L365" i="1"/>
  <c r="M365" i="1"/>
  <c r="N365" i="1"/>
  <c r="O365" i="1"/>
  <c r="P365" i="1"/>
  <c r="K364" i="1"/>
  <c r="L364" i="1"/>
  <c r="M364" i="1"/>
  <c r="N364" i="1"/>
  <c r="O364" i="1"/>
  <c r="P364" i="1"/>
  <c r="K363" i="1"/>
  <c r="L363" i="1"/>
  <c r="M363" i="1"/>
  <c r="N363" i="1"/>
  <c r="O363" i="1"/>
  <c r="P363" i="1"/>
  <c r="K362" i="1"/>
  <c r="L362" i="1"/>
  <c r="M362" i="1"/>
  <c r="N362" i="1"/>
  <c r="O362" i="1"/>
  <c r="P362" i="1"/>
  <c r="K361" i="1"/>
  <c r="L361" i="1"/>
  <c r="M361" i="1"/>
  <c r="N361" i="1"/>
  <c r="O361" i="1"/>
  <c r="P361" i="1"/>
  <c r="K360" i="1"/>
  <c r="L360" i="1"/>
  <c r="M360" i="1"/>
  <c r="N360" i="1"/>
  <c r="O360" i="1"/>
  <c r="P360" i="1"/>
  <c r="K359" i="1"/>
  <c r="L359" i="1"/>
  <c r="M359" i="1"/>
  <c r="N359" i="1"/>
  <c r="O359" i="1"/>
  <c r="P359" i="1"/>
  <c r="K358" i="1"/>
  <c r="L358" i="1"/>
  <c r="M358" i="1"/>
  <c r="N358" i="1"/>
  <c r="O358" i="1"/>
  <c r="P358" i="1"/>
  <c r="K357" i="1"/>
  <c r="L357" i="1"/>
  <c r="M357" i="1"/>
  <c r="N357" i="1"/>
  <c r="O357" i="1"/>
  <c r="P357" i="1"/>
  <c r="K356" i="1"/>
  <c r="L356" i="1"/>
  <c r="M356" i="1"/>
  <c r="N356" i="1"/>
  <c r="O356" i="1"/>
  <c r="P356" i="1"/>
  <c r="K355" i="1"/>
  <c r="L355" i="1"/>
  <c r="M355" i="1"/>
  <c r="N355" i="1"/>
  <c r="O355" i="1"/>
  <c r="P355" i="1"/>
  <c r="K354" i="1"/>
  <c r="L354" i="1"/>
  <c r="M354" i="1"/>
  <c r="N354" i="1"/>
  <c r="O354" i="1"/>
  <c r="P354" i="1"/>
  <c r="K353" i="1"/>
  <c r="L353" i="1"/>
  <c r="M353" i="1"/>
  <c r="N353" i="1"/>
  <c r="O353" i="1"/>
  <c r="P353" i="1"/>
  <c r="K352" i="1"/>
  <c r="L352" i="1"/>
  <c r="M352" i="1"/>
  <c r="N352" i="1"/>
  <c r="O352" i="1"/>
  <c r="P352" i="1"/>
  <c r="K351" i="1"/>
  <c r="L351" i="1"/>
  <c r="M351" i="1"/>
  <c r="N351" i="1"/>
  <c r="O351" i="1"/>
  <c r="P351" i="1"/>
  <c r="K350" i="1"/>
  <c r="L350" i="1"/>
  <c r="M350" i="1"/>
  <c r="N350" i="1"/>
  <c r="O350" i="1"/>
  <c r="P350" i="1"/>
  <c r="K349" i="1"/>
  <c r="L349" i="1"/>
  <c r="M349" i="1"/>
  <c r="N349" i="1"/>
  <c r="O349" i="1"/>
  <c r="P349" i="1"/>
  <c r="K348" i="1"/>
  <c r="L348" i="1"/>
  <c r="M348" i="1"/>
  <c r="N348" i="1"/>
  <c r="O348" i="1"/>
  <c r="P348" i="1"/>
  <c r="K347" i="1"/>
  <c r="L347" i="1"/>
  <c r="M347" i="1"/>
  <c r="N347" i="1"/>
  <c r="O347" i="1"/>
  <c r="P347" i="1"/>
  <c r="K346" i="1"/>
  <c r="L346" i="1"/>
  <c r="M346" i="1"/>
  <c r="N346" i="1"/>
  <c r="O346" i="1"/>
  <c r="P346" i="1"/>
  <c r="K345" i="1"/>
  <c r="L345" i="1"/>
  <c r="M345" i="1"/>
  <c r="N345" i="1"/>
  <c r="O345" i="1"/>
  <c r="P345" i="1"/>
  <c r="K344" i="1"/>
  <c r="L344" i="1"/>
  <c r="M344" i="1"/>
  <c r="N344" i="1"/>
  <c r="O344" i="1"/>
  <c r="P344" i="1"/>
  <c r="K343" i="1"/>
  <c r="L343" i="1"/>
  <c r="M343" i="1"/>
  <c r="N343" i="1"/>
  <c r="O343" i="1"/>
  <c r="P343" i="1"/>
  <c r="K342" i="1"/>
  <c r="L342" i="1"/>
  <c r="M342" i="1"/>
  <c r="N342" i="1"/>
  <c r="O342" i="1"/>
  <c r="P342" i="1"/>
  <c r="K341" i="1"/>
  <c r="L341" i="1"/>
  <c r="M341" i="1"/>
  <c r="N341" i="1"/>
  <c r="O341" i="1"/>
  <c r="P341" i="1"/>
  <c r="K340" i="1"/>
  <c r="L340" i="1"/>
  <c r="M340" i="1"/>
  <c r="N340" i="1"/>
  <c r="O340" i="1"/>
  <c r="P340" i="1"/>
  <c r="K339" i="1"/>
  <c r="L339" i="1"/>
  <c r="M339" i="1"/>
  <c r="N339" i="1"/>
  <c r="O339" i="1"/>
  <c r="P339" i="1"/>
  <c r="K338" i="1"/>
  <c r="L338" i="1"/>
  <c r="M338" i="1"/>
  <c r="N338" i="1"/>
  <c r="O338" i="1"/>
  <c r="P338" i="1"/>
  <c r="K337" i="1"/>
  <c r="L337" i="1"/>
  <c r="M337" i="1"/>
  <c r="N337" i="1"/>
  <c r="O337" i="1"/>
  <c r="P337" i="1"/>
  <c r="K336" i="1"/>
  <c r="L336" i="1"/>
  <c r="M336" i="1"/>
  <c r="N336" i="1"/>
  <c r="O336" i="1"/>
  <c r="P336" i="1"/>
  <c r="K335" i="1"/>
  <c r="L335" i="1"/>
  <c r="M335" i="1"/>
  <c r="N335" i="1"/>
  <c r="O335" i="1"/>
  <c r="P335" i="1"/>
  <c r="K334" i="1"/>
  <c r="L334" i="1"/>
  <c r="M334" i="1"/>
  <c r="N334" i="1"/>
  <c r="O334" i="1"/>
  <c r="P334" i="1"/>
  <c r="K333" i="1"/>
  <c r="L333" i="1"/>
  <c r="M333" i="1"/>
  <c r="N333" i="1"/>
  <c r="O333" i="1"/>
  <c r="P333" i="1"/>
  <c r="K332" i="1"/>
  <c r="L332" i="1"/>
  <c r="M332" i="1"/>
  <c r="N332" i="1"/>
  <c r="O332" i="1"/>
  <c r="P332" i="1"/>
  <c r="K331" i="1"/>
  <c r="L331" i="1"/>
  <c r="M331" i="1"/>
  <c r="N331" i="1"/>
  <c r="O331" i="1"/>
  <c r="P331" i="1"/>
  <c r="K330" i="1"/>
  <c r="L330" i="1"/>
  <c r="M330" i="1"/>
  <c r="N330" i="1"/>
  <c r="O330" i="1"/>
  <c r="P330" i="1"/>
  <c r="K329" i="1"/>
  <c r="L329" i="1"/>
  <c r="M329" i="1"/>
  <c r="N329" i="1"/>
  <c r="O329" i="1"/>
  <c r="P329" i="1"/>
  <c r="K328" i="1"/>
  <c r="L328" i="1"/>
  <c r="M328" i="1"/>
  <c r="N328" i="1"/>
  <c r="O328" i="1"/>
  <c r="P328" i="1"/>
  <c r="K327" i="1"/>
  <c r="L327" i="1"/>
  <c r="M327" i="1"/>
  <c r="N327" i="1"/>
  <c r="O327" i="1"/>
  <c r="P327" i="1"/>
  <c r="K326" i="1"/>
  <c r="L326" i="1"/>
  <c r="M326" i="1"/>
  <c r="N326" i="1"/>
  <c r="O326" i="1"/>
  <c r="P326" i="1"/>
  <c r="K325" i="1"/>
  <c r="L325" i="1"/>
  <c r="M325" i="1"/>
  <c r="N325" i="1"/>
  <c r="O325" i="1"/>
  <c r="P325" i="1"/>
  <c r="K324" i="1"/>
  <c r="L324" i="1"/>
  <c r="M324" i="1"/>
  <c r="N324" i="1"/>
  <c r="O324" i="1"/>
  <c r="P324" i="1"/>
  <c r="K323" i="1"/>
  <c r="L323" i="1"/>
  <c r="M323" i="1"/>
  <c r="N323" i="1"/>
  <c r="O323" i="1"/>
  <c r="P323" i="1"/>
  <c r="K322" i="1"/>
  <c r="L322" i="1"/>
  <c r="M322" i="1"/>
  <c r="N322" i="1"/>
  <c r="O322" i="1"/>
  <c r="P322" i="1"/>
  <c r="K321" i="1"/>
  <c r="L321" i="1"/>
  <c r="M321" i="1"/>
  <c r="N321" i="1"/>
  <c r="O321" i="1"/>
  <c r="P321" i="1"/>
  <c r="K320" i="1"/>
  <c r="L320" i="1"/>
  <c r="M320" i="1"/>
  <c r="N320" i="1"/>
  <c r="O320" i="1"/>
  <c r="P320" i="1"/>
  <c r="K319" i="1"/>
  <c r="L319" i="1"/>
  <c r="M319" i="1"/>
  <c r="N319" i="1"/>
  <c r="O319" i="1"/>
  <c r="P319" i="1"/>
  <c r="K318" i="1"/>
  <c r="L318" i="1"/>
  <c r="M318" i="1"/>
  <c r="N318" i="1"/>
  <c r="O318" i="1"/>
  <c r="P318" i="1"/>
  <c r="K317" i="1"/>
  <c r="L317" i="1"/>
  <c r="M317" i="1"/>
  <c r="N317" i="1"/>
  <c r="O317" i="1"/>
  <c r="P317" i="1"/>
  <c r="K316" i="1"/>
  <c r="L316" i="1"/>
  <c r="M316" i="1"/>
  <c r="N316" i="1"/>
  <c r="O316" i="1"/>
  <c r="P316" i="1"/>
  <c r="K315" i="1"/>
  <c r="L315" i="1"/>
  <c r="M315" i="1"/>
  <c r="N315" i="1"/>
  <c r="O315" i="1"/>
  <c r="P315" i="1"/>
  <c r="K314" i="1"/>
  <c r="L314" i="1"/>
  <c r="M314" i="1"/>
  <c r="N314" i="1"/>
  <c r="O314" i="1"/>
  <c r="P314" i="1"/>
  <c r="K313" i="1"/>
  <c r="L313" i="1"/>
  <c r="M313" i="1"/>
  <c r="N313" i="1"/>
  <c r="O313" i="1"/>
  <c r="P313" i="1"/>
  <c r="K312" i="1"/>
  <c r="L312" i="1"/>
  <c r="M312" i="1"/>
  <c r="N312" i="1"/>
  <c r="O312" i="1"/>
  <c r="P312" i="1"/>
  <c r="K311" i="1"/>
  <c r="L311" i="1"/>
  <c r="M311" i="1"/>
  <c r="N311" i="1"/>
  <c r="O311" i="1"/>
  <c r="P311" i="1"/>
  <c r="K310" i="1"/>
  <c r="L310" i="1"/>
  <c r="M310" i="1"/>
  <c r="N310" i="1"/>
  <c r="O310" i="1"/>
  <c r="P310" i="1"/>
  <c r="K309" i="1"/>
  <c r="L309" i="1"/>
  <c r="M309" i="1"/>
  <c r="N309" i="1"/>
  <c r="O309" i="1"/>
  <c r="P309" i="1"/>
  <c r="K308" i="1"/>
  <c r="L308" i="1"/>
  <c r="M308" i="1"/>
  <c r="N308" i="1"/>
  <c r="O308" i="1"/>
  <c r="P308" i="1"/>
  <c r="K307" i="1"/>
  <c r="L307" i="1"/>
  <c r="M307" i="1"/>
  <c r="N307" i="1"/>
  <c r="O307" i="1"/>
  <c r="P307" i="1"/>
  <c r="K306" i="1"/>
  <c r="L306" i="1"/>
  <c r="M306" i="1"/>
  <c r="N306" i="1"/>
  <c r="O306" i="1"/>
  <c r="P306" i="1"/>
  <c r="K305" i="1"/>
  <c r="L305" i="1"/>
  <c r="M305" i="1"/>
  <c r="N305" i="1"/>
  <c r="O305" i="1"/>
  <c r="P305" i="1"/>
  <c r="K304" i="1"/>
  <c r="L304" i="1"/>
  <c r="M304" i="1"/>
  <c r="N304" i="1"/>
  <c r="O304" i="1"/>
  <c r="P304" i="1"/>
  <c r="K303" i="1"/>
  <c r="L303" i="1"/>
  <c r="M303" i="1"/>
  <c r="N303" i="1"/>
  <c r="O303" i="1"/>
  <c r="P303" i="1"/>
  <c r="K302" i="1"/>
  <c r="L302" i="1"/>
  <c r="M302" i="1"/>
  <c r="N302" i="1"/>
  <c r="O302" i="1"/>
  <c r="P302" i="1"/>
  <c r="K301" i="1"/>
  <c r="L301" i="1"/>
  <c r="M301" i="1"/>
  <c r="N301" i="1"/>
  <c r="O301" i="1"/>
  <c r="P301" i="1"/>
  <c r="K300" i="1"/>
  <c r="L300" i="1"/>
  <c r="M300" i="1"/>
  <c r="N300" i="1"/>
  <c r="O300" i="1"/>
  <c r="P300" i="1"/>
  <c r="K299" i="1"/>
  <c r="L299" i="1"/>
  <c r="M299" i="1"/>
  <c r="N299" i="1"/>
  <c r="O299" i="1"/>
  <c r="P299" i="1"/>
  <c r="K298" i="1"/>
  <c r="L298" i="1"/>
  <c r="M298" i="1"/>
  <c r="N298" i="1"/>
  <c r="O298" i="1"/>
  <c r="P298" i="1"/>
  <c r="K297" i="1"/>
  <c r="L297" i="1"/>
  <c r="M297" i="1"/>
  <c r="N297" i="1"/>
  <c r="O297" i="1"/>
  <c r="P297" i="1"/>
  <c r="K296" i="1"/>
  <c r="L296" i="1"/>
  <c r="M296" i="1"/>
  <c r="N296" i="1"/>
  <c r="O296" i="1"/>
  <c r="P296" i="1"/>
  <c r="K295" i="1"/>
  <c r="L295" i="1"/>
  <c r="M295" i="1"/>
  <c r="N295" i="1"/>
  <c r="O295" i="1"/>
  <c r="P295" i="1"/>
  <c r="K294" i="1"/>
  <c r="L294" i="1"/>
  <c r="M294" i="1"/>
  <c r="N294" i="1"/>
  <c r="O294" i="1"/>
  <c r="P294" i="1"/>
  <c r="K293" i="1"/>
  <c r="L293" i="1"/>
  <c r="M293" i="1"/>
  <c r="N293" i="1"/>
  <c r="O293" i="1"/>
  <c r="P293" i="1"/>
  <c r="K292" i="1"/>
  <c r="L292" i="1"/>
  <c r="M292" i="1"/>
  <c r="N292" i="1"/>
  <c r="O292" i="1"/>
  <c r="P292" i="1"/>
  <c r="K291" i="1"/>
  <c r="L291" i="1"/>
  <c r="M291" i="1"/>
  <c r="N291" i="1"/>
  <c r="O291" i="1"/>
  <c r="P291" i="1"/>
  <c r="K290" i="1"/>
  <c r="L290" i="1"/>
  <c r="M290" i="1"/>
  <c r="N290" i="1"/>
  <c r="O290" i="1"/>
  <c r="P290" i="1"/>
  <c r="K289" i="1"/>
  <c r="L289" i="1"/>
  <c r="M289" i="1"/>
  <c r="N289" i="1"/>
  <c r="O289" i="1"/>
  <c r="P289" i="1"/>
  <c r="K288" i="1"/>
  <c r="L288" i="1"/>
  <c r="M288" i="1"/>
  <c r="N288" i="1"/>
  <c r="O288" i="1"/>
  <c r="P288" i="1"/>
  <c r="K287" i="1"/>
  <c r="L287" i="1"/>
  <c r="M287" i="1"/>
  <c r="N287" i="1"/>
  <c r="O287" i="1"/>
  <c r="P287" i="1"/>
  <c r="K286" i="1"/>
  <c r="L286" i="1"/>
  <c r="M286" i="1"/>
  <c r="N286" i="1"/>
  <c r="O286" i="1"/>
  <c r="P286" i="1"/>
  <c r="K285" i="1"/>
  <c r="L285" i="1"/>
  <c r="M285" i="1"/>
  <c r="N285" i="1"/>
  <c r="O285" i="1"/>
  <c r="P285" i="1"/>
  <c r="K284" i="1"/>
  <c r="L284" i="1"/>
  <c r="M284" i="1"/>
  <c r="N284" i="1"/>
  <c r="O284" i="1"/>
  <c r="P284" i="1"/>
  <c r="K283" i="1"/>
  <c r="L283" i="1"/>
  <c r="M283" i="1"/>
  <c r="N283" i="1"/>
  <c r="O283" i="1"/>
  <c r="P283" i="1"/>
  <c r="K282" i="1"/>
  <c r="L282" i="1"/>
  <c r="M282" i="1"/>
  <c r="N282" i="1"/>
  <c r="O282" i="1"/>
  <c r="P282" i="1"/>
  <c r="K281" i="1"/>
  <c r="L281" i="1"/>
  <c r="M281" i="1"/>
  <c r="N281" i="1"/>
  <c r="O281" i="1"/>
  <c r="P281" i="1"/>
  <c r="K280" i="1"/>
  <c r="L280" i="1"/>
  <c r="M280" i="1"/>
  <c r="N280" i="1"/>
  <c r="O280" i="1"/>
  <c r="P280" i="1"/>
  <c r="K279" i="1"/>
  <c r="L279" i="1"/>
  <c r="M279" i="1"/>
  <c r="N279" i="1"/>
  <c r="O279" i="1"/>
  <c r="P279" i="1"/>
  <c r="K278" i="1"/>
  <c r="L278" i="1"/>
  <c r="M278" i="1"/>
  <c r="N278" i="1"/>
  <c r="O278" i="1"/>
  <c r="P278" i="1"/>
  <c r="K277" i="1"/>
  <c r="L277" i="1"/>
  <c r="M277" i="1"/>
  <c r="N277" i="1"/>
  <c r="O277" i="1"/>
  <c r="P277" i="1"/>
  <c r="K276" i="1"/>
  <c r="L276" i="1"/>
  <c r="M276" i="1"/>
  <c r="N276" i="1"/>
  <c r="O276" i="1"/>
  <c r="P276" i="1"/>
  <c r="K275" i="1"/>
  <c r="L275" i="1"/>
  <c r="M275" i="1"/>
  <c r="N275" i="1"/>
  <c r="O275" i="1"/>
  <c r="P275" i="1"/>
  <c r="K274" i="1"/>
  <c r="L274" i="1"/>
  <c r="M274" i="1"/>
  <c r="N274" i="1"/>
  <c r="O274" i="1"/>
  <c r="P274" i="1"/>
  <c r="K273" i="1"/>
  <c r="L273" i="1"/>
  <c r="M273" i="1"/>
  <c r="N273" i="1"/>
  <c r="O273" i="1"/>
  <c r="P273" i="1"/>
  <c r="K272" i="1"/>
  <c r="L272" i="1"/>
  <c r="M272" i="1"/>
  <c r="N272" i="1"/>
  <c r="O272" i="1"/>
  <c r="P272" i="1"/>
  <c r="K271" i="1"/>
  <c r="L271" i="1"/>
  <c r="M271" i="1"/>
  <c r="N271" i="1"/>
  <c r="O271" i="1"/>
  <c r="P271" i="1"/>
  <c r="K270" i="1"/>
  <c r="L270" i="1"/>
  <c r="M270" i="1"/>
  <c r="N270" i="1"/>
  <c r="O270" i="1"/>
  <c r="P270" i="1"/>
  <c r="K269" i="1"/>
  <c r="L269" i="1"/>
  <c r="M269" i="1"/>
  <c r="N269" i="1"/>
  <c r="O269" i="1"/>
  <c r="P269" i="1"/>
  <c r="K268" i="1"/>
  <c r="L268" i="1"/>
  <c r="M268" i="1"/>
  <c r="N268" i="1"/>
  <c r="O268" i="1"/>
  <c r="P268" i="1"/>
  <c r="K267" i="1"/>
  <c r="L267" i="1"/>
  <c r="M267" i="1"/>
  <c r="N267" i="1"/>
  <c r="O267" i="1"/>
  <c r="P267" i="1"/>
  <c r="K266" i="1"/>
  <c r="L266" i="1"/>
  <c r="M266" i="1"/>
  <c r="N266" i="1"/>
  <c r="O266" i="1"/>
  <c r="P266" i="1"/>
  <c r="K265" i="1"/>
  <c r="L265" i="1"/>
  <c r="M265" i="1"/>
  <c r="N265" i="1"/>
  <c r="O265" i="1"/>
  <c r="P265" i="1"/>
  <c r="K264" i="1"/>
  <c r="L264" i="1"/>
  <c r="M264" i="1"/>
  <c r="N264" i="1"/>
  <c r="O264" i="1"/>
  <c r="P264" i="1"/>
  <c r="K263" i="1"/>
  <c r="L263" i="1"/>
  <c r="M263" i="1"/>
  <c r="N263" i="1"/>
  <c r="O263" i="1"/>
  <c r="P263" i="1"/>
  <c r="K262" i="1"/>
  <c r="L262" i="1"/>
  <c r="M262" i="1"/>
  <c r="N262" i="1"/>
  <c r="O262" i="1"/>
  <c r="P262" i="1"/>
  <c r="K261" i="1"/>
  <c r="L261" i="1"/>
  <c r="M261" i="1"/>
  <c r="N261" i="1"/>
  <c r="O261" i="1"/>
  <c r="P261" i="1"/>
  <c r="K260" i="1"/>
  <c r="L260" i="1"/>
  <c r="M260" i="1"/>
  <c r="N260" i="1"/>
  <c r="O260" i="1"/>
  <c r="P260" i="1"/>
  <c r="K259" i="1"/>
  <c r="L259" i="1"/>
  <c r="M259" i="1"/>
  <c r="N259" i="1"/>
  <c r="O259" i="1"/>
  <c r="P259" i="1"/>
  <c r="K258" i="1"/>
  <c r="L258" i="1"/>
  <c r="M258" i="1"/>
  <c r="N258" i="1"/>
  <c r="O258" i="1"/>
  <c r="P258" i="1"/>
  <c r="K257" i="1"/>
  <c r="L257" i="1"/>
  <c r="M257" i="1"/>
  <c r="N257" i="1"/>
  <c r="O257" i="1"/>
  <c r="P257" i="1"/>
  <c r="K256" i="1"/>
  <c r="L256" i="1"/>
  <c r="M256" i="1"/>
  <c r="N256" i="1"/>
  <c r="O256" i="1"/>
  <c r="P256" i="1"/>
  <c r="K255" i="1"/>
  <c r="L255" i="1"/>
  <c r="M255" i="1"/>
  <c r="N255" i="1"/>
  <c r="O255" i="1"/>
  <c r="P255" i="1"/>
  <c r="K254" i="1"/>
  <c r="L254" i="1"/>
  <c r="M254" i="1"/>
  <c r="N254" i="1"/>
  <c r="O254" i="1"/>
  <c r="P254" i="1"/>
  <c r="K253" i="1"/>
  <c r="L253" i="1"/>
  <c r="M253" i="1"/>
  <c r="N253" i="1"/>
  <c r="O253" i="1"/>
  <c r="P253" i="1"/>
  <c r="K252" i="1"/>
  <c r="L252" i="1"/>
  <c r="M252" i="1"/>
  <c r="N252" i="1"/>
  <c r="O252" i="1"/>
  <c r="P252" i="1"/>
  <c r="K251" i="1"/>
  <c r="L251" i="1"/>
  <c r="M251" i="1"/>
  <c r="N251" i="1"/>
  <c r="O251" i="1"/>
  <c r="P251" i="1"/>
  <c r="K250" i="1"/>
  <c r="L250" i="1"/>
  <c r="M250" i="1"/>
  <c r="N250" i="1"/>
  <c r="O250" i="1"/>
  <c r="P250" i="1"/>
  <c r="K249" i="1"/>
  <c r="L249" i="1"/>
  <c r="M249" i="1"/>
  <c r="N249" i="1"/>
  <c r="O249" i="1"/>
  <c r="P249" i="1"/>
  <c r="K248" i="1"/>
  <c r="L248" i="1"/>
  <c r="M248" i="1"/>
  <c r="N248" i="1"/>
  <c r="O248" i="1"/>
  <c r="P248" i="1"/>
  <c r="K247" i="1"/>
  <c r="L247" i="1"/>
  <c r="M247" i="1"/>
  <c r="N247" i="1"/>
  <c r="O247" i="1"/>
  <c r="P247" i="1"/>
  <c r="K246" i="1"/>
  <c r="L246" i="1"/>
  <c r="M246" i="1"/>
  <c r="N246" i="1"/>
  <c r="O246" i="1"/>
  <c r="P246" i="1"/>
  <c r="K245" i="1"/>
  <c r="L245" i="1"/>
  <c r="M245" i="1"/>
  <c r="N245" i="1"/>
  <c r="O245" i="1"/>
  <c r="P245" i="1"/>
  <c r="K244" i="1"/>
  <c r="L244" i="1"/>
  <c r="M244" i="1"/>
  <c r="N244" i="1"/>
  <c r="O244" i="1"/>
  <c r="P244" i="1"/>
  <c r="K243" i="1"/>
  <c r="L243" i="1"/>
  <c r="M243" i="1"/>
  <c r="N243" i="1"/>
  <c r="O243" i="1"/>
  <c r="P243" i="1"/>
  <c r="K242" i="1"/>
  <c r="L242" i="1"/>
  <c r="M242" i="1"/>
  <c r="N242" i="1"/>
  <c r="O242" i="1"/>
  <c r="P242" i="1"/>
  <c r="K241" i="1"/>
  <c r="L241" i="1"/>
  <c r="M241" i="1"/>
  <c r="N241" i="1"/>
  <c r="O241" i="1"/>
  <c r="P241" i="1"/>
  <c r="K240" i="1"/>
  <c r="L240" i="1"/>
  <c r="M240" i="1"/>
  <c r="N240" i="1"/>
  <c r="O240" i="1"/>
  <c r="P240" i="1"/>
  <c r="K239" i="1"/>
  <c r="L239" i="1"/>
  <c r="M239" i="1"/>
  <c r="N239" i="1"/>
  <c r="O239" i="1"/>
  <c r="P239" i="1"/>
  <c r="K238" i="1"/>
  <c r="L238" i="1"/>
  <c r="M238" i="1"/>
  <c r="N238" i="1"/>
  <c r="O238" i="1"/>
  <c r="P238" i="1"/>
  <c r="K237" i="1"/>
  <c r="L237" i="1"/>
  <c r="M237" i="1"/>
  <c r="N237" i="1"/>
  <c r="O237" i="1"/>
  <c r="P237" i="1"/>
  <c r="K236" i="1"/>
  <c r="L236" i="1"/>
  <c r="M236" i="1"/>
  <c r="N236" i="1"/>
  <c r="O236" i="1"/>
  <c r="P236" i="1"/>
  <c r="K235" i="1"/>
  <c r="L235" i="1"/>
  <c r="M235" i="1"/>
  <c r="N235" i="1"/>
  <c r="O235" i="1"/>
  <c r="P235" i="1"/>
  <c r="K234" i="1"/>
  <c r="L234" i="1"/>
  <c r="M234" i="1"/>
  <c r="N234" i="1"/>
  <c r="O234" i="1"/>
  <c r="P234" i="1"/>
  <c r="K233" i="1"/>
  <c r="L233" i="1"/>
  <c r="M233" i="1"/>
  <c r="N233" i="1"/>
  <c r="O233" i="1"/>
  <c r="P233" i="1"/>
  <c r="K232" i="1"/>
  <c r="L232" i="1"/>
  <c r="M232" i="1"/>
  <c r="N232" i="1"/>
  <c r="O232" i="1"/>
  <c r="P232" i="1"/>
  <c r="K231" i="1"/>
  <c r="L231" i="1"/>
  <c r="M231" i="1"/>
  <c r="N231" i="1"/>
  <c r="O231" i="1"/>
  <c r="P231" i="1"/>
  <c r="K230" i="1"/>
  <c r="L230" i="1"/>
  <c r="M230" i="1"/>
  <c r="N230" i="1"/>
  <c r="O230" i="1"/>
  <c r="P230" i="1"/>
  <c r="K229" i="1"/>
  <c r="L229" i="1"/>
  <c r="M229" i="1"/>
  <c r="N229" i="1"/>
  <c r="O229" i="1"/>
  <c r="P229" i="1"/>
  <c r="K228" i="1"/>
  <c r="L228" i="1"/>
  <c r="M228" i="1"/>
  <c r="N228" i="1"/>
  <c r="O228" i="1"/>
  <c r="P228" i="1"/>
  <c r="K227" i="1"/>
  <c r="L227" i="1"/>
  <c r="M227" i="1"/>
  <c r="N227" i="1"/>
  <c r="O227" i="1"/>
  <c r="P227" i="1"/>
  <c r="K226" i="1"/>
  <c r="L226" i="1"/>
  <c r="M226" i="1"/>
  <c r="N226" i="1"/>
  <c r="O226" i="1"/>
  <c r="P226" i="1"/>
  <c r="K225" i="1"/>
  <c r="L225" i="1"/>
  <c r="M225" i="1"/>
  <c r="N225" i="1"/>
  <c r="O225" i="1"/>
  <c r="P225" i="1"/>
  <c r="K224" i="1"/>
  <c r="L224" i="1"/>
  <c r="M224" i="1"/>
  <c r="N224" i="1"/>
  <c r="O224" i="1"/>
  <c r="P224" i="1"/>
  <c r="K223" i="1"/>
  <c r="L223" i="1"/>
  <c r="M223" i="1"/>
  <c r="N223" i="1"/>
  <c r="O223" i="1"/>
  <c r="P223" i="1"/>
  <c r="K222" i="1"/>
  <c r="L222" i="1"/>
  <c r="M222" i="1"/>
  <c r="N222" i="1"/>
  <c r="O222" i="1"/>
  <c r="P222" i="1"/>
  <c r="K221" i="1"/>
  <c r="L221" i="1"/>
  <c r="M221" i="1"/>
  <c r="N221" i="1"/>
  <c r="O221" i="1"/>
  <c r="P221" i="1"/>
  <c r="K220" i="1"/>
  <c r="L220" i="1"/>
  <c r="M220" i="1"/>
  <c r="N220" i="1"/>
  <c r="O220" i="1"/>
  <c r="P220" i="1"/>
  <c r="K219" i="1"/>
  <c r="L219" i="1"/>
  <c r="M219" i="1"/>
  <c r="N219" i="1"/>
  <c r="O219" i="1"/>
  <c r="P219" i="1"/>
  <c r="K218" i="1"/>
  <c r="L218" i="1"/>
  <c r="M218" i="1"/>
  <c r="N218" i="1"/>
  <c r="O218" i="1"/>
  <c r="P218" i="1"/>
  <c r="K217" i="1"/>
  <c r="L217" i="1"/>
  <c r="M217" i="1"/>
  <c r="N217" i="1"/>
  <c r="O217" i="1"/>
  <c r="P217" i="1"/>
  <c r="K216" i="1"/>
  <c r="L216" i="1"/>
  <c r="M216" i="1"/>
  <c r="N216" i="1"/>
  <c r="O216" i="1"/>
  <c r="P216" i="1"/>
  <c r="K215" i="1"/>
  <c r="L215" i="1"/>
  <c r="M215" i="1"/>
  <c r="N215" i="1"/>
  <c r="O215" i="1"/>
  <c r="P215" i="1"/>
  <c r="K214" i="1"/>
  <c r="L214" i="1"/>
  <c r="M214" i="1"/>
  <c r="N214" i="1"/>
  <c r="O214" i="1"/>
  <c r="P214" i="1"/>
  <c r="K213" i="1"/>
  <c r="L213" i="1"/>
  <c r="M213" i="1"/>
  <c r="N213" i="1"/>
  <c r="O213" i="1"/>
  <c r="P213" i="1"/>
  <c r="K212" i="1"/>
  <c r="L212" i="1"/>
  <c r="M212" i="1"/>
  <c r="N212" i="1"/>
  <c r="O212" i="1"/>
  <c r="P212" i="1"/>
  <c r="K211" i="1"/>
  <c r="L211" i="1"/>
  <c r="M211" i="1"/>
  <c r="N211" i="1"/>
  <c r="O211" i="1"/>
  <c r="P211" i="1"/>
  <c r="K210" i="1"/>
  <c r="L210" i="1"/>
  <c r="M210" i="1"/>
  <c r="N210" i="1"/>
  <c r="O210" i="1"/>
  <c r="P210" i="1"/>
  <c r="K209" i="1"/>
  <c r="L209" i="1"/>
  <c r="M209" i="1"/>
  <c r="N209" i="1"/>
  <c r="O209" i="1"/>
  <c r="P209" i="1"/>
  <c r="K208" i="1"/>
  <c r="L208" i="1"/>
  <c r="M208" i="1"/>
  <c r="N208" i="1"/>
  <c r="O208" i="1"/>
  <c r="P208" i="1"/>
  <c r="K207" i="1"/>
  <c r="L207" i="1"/>
  <c r="M207" i="1"/>
  <c r="N207" i="1"/>
  <c r="O207" i="1"/>
  <c r="P207" i="1"/>
  <c r="K206" i="1"/>
  <c r="L206" i="1"/>
  <c r="M206" i="1"/>
  <c r="N206" i="1"/>
  <c r="O206" i="1"/>
  <c r="P206" i="1"/>
  <c r="K205" i="1"/>
  <c r="L205" i="1"/>
  <c r="M205" i="1"/>
  <c r="N205" i="1"/>
  <c r="O205" i="1"/>
  <c r="P205" i="1"/>
  <c r="K204" i="1"/>
  <c r="L204" i="1"/>
  <c r="M204" i="1"/>
  <c r="N204" i="1"/>
  <c r="O204" i="1"/>
  <c r="P204" i="1"/>
  <c r="K203" i="1"/>
  <c r="L203" i="1"/>
  <c r="M203" i="1"/>
  <c r="N203" i="1"/>
  <c r="O203" i="1"/>
  <c r="P203" i="1"/>
  <c r="K202" i="1"/>
  <c r="L202" i="1"/>
  <c r="M202" i="1"/>
  <c r="N202" i="1"/>
  <c r="O202" i="1"/>
  <c r="P202" i="1"/>
  <c r="K201" i="1"/>
  <c r="L201" i="1"/>
  <c r="M201" i="1"/>
  <c r="N201" i="1"/>
  <c r="O201" i="1"/>
  <c r="P201" i="1"/>
  <c r="K200" i="1"/>
  <c r="L200" i="1"/>
  <c r="M200" i="1"/>
  <c r="N200" i="1"/>
  <c r="O200" i="1"/>
  <c r="P200" i="1"/>
  <c r="K199" i="1"/>
  <c r="L199" i="1"/>
  <c r="M199" i="1"/>
  <c r="N199" i="1"/>
  <c r="O199" i="1"/>
  <c r="P199" i="1"/>
  <c r="K198" i="1"/>
  <c r="L198" i="1"/>
  <c r="M198" i="1"/>
  <c r="N198" i="1"/>
  <c r="O198" i="1"/>
  <c r="P198" i="1"/>
  <c r="K197" i="1"/>
  <c r="L197" i="1"/>
  <c r="M197" i="1"/>
  <c r="N197" i="1"/>
  <c r="O197" i="1"/>
  <c r="P197" i="1"/>
  <c r="K196" i="1"/>
  <c r="L196" i="1"/>
  <c r="M196" i="1"/>
  <c r="N196" i="1"/>
  <c r="O196" i="1"/>
  <c r="P196" i="1"/>
  <c r="K195" i="1"/>
  <c r="L195" i="1"/>
  <c r="M195" i="1"/>
  <c r="N195" i="1"/>
  <c r="O195" i="1"/>
  <c r="P195" i="1"/>
  <c r="K194" i="1"/>
  <c r="L194" i="1"/>
  <c r="M194" i="1"/>
  <c r="N194" i="1"/>
  <c r="O194" i="1"/>
  <c r="P194" i="1"/>
  <c r="K193" i="1"/>
  <c r="L193" i="1"/>
  <c r="M193" i="1"/>
  <c r="N193" i="1"/>
  <c r="O193" i="1"/>
  <c r="P193" i="1"/>
  <c r="K192" i="1"/>
  <c r="L192" i="1"/>
  <c r="M192" i="1"/>
  <c r="N192" i="1"/>
  <c r="O192" i="1"/>
  <c r="P192" i="1"/>
  <c r="K191" i="1"/>
  <c r="L191" i="1"/>
  <c r="M191" i="1"/>
  <c r="N191" i="1"/>
  <c r="O191" i="1"/>
  <c r="P191" i="1"/>
  <c r="K190" i="1"/>
  <c r="L190" i="1"/>
  <c r="M190" i="1"/>
  <c r="N190" i="1"/>
  <c r="O190" i="1"/>
  <c r="P190" i="1"/>
  <c r="K189" i="1"/>
  <c r="L189" i="1"/>
  <c r="M189" i="1"/>
  <c r="N189" i="1"/>
  <c r="O189" i="1"/>
  <c r="P189" i="1"/>
  <c r="K188" i="1"/>
  <c r="L188" i="1"/>
  <c r="M188" i="1"/>
  <c r="N188" i="1"/>
  <c r="O188" i="1"/>
  <c r="P188" i="1"/>
  <c r="K187" i="1"/>
  <c r="L187" i="1"/>
  <c r="M187" i="1"/>
  <c r="N187" i="1"/>
  <c r="O187" i="1"/>
  <c r="P187" i="1"/>
  <c r="K186" i="1"/>
  <c r="L186" i="1"/>
  <c r="M186" i="1"/>
  <c r="N186" i="1"/>
  <c r="O186" i="1"/>
  <c r="P186" i="1"/>
  <c r="K185" i="1"/>
  <c r="L185" i="1"/>
  <c r="M185" i="1"/>
  <c r="N185" i="1"/>
  <c r="O185" i="1"/>
  <c r="P185" i="1"/>
  <c r="K184" i="1"/>
  <c r="L184" i="1"/>
  <c r="M184" i="1"/>
  <c r="N184" i="1"/>
  <c r="O184" i="1"/>
  <c r="P184" i="1"/>
  <c r="K183" i="1"/>
  <c r="L183" i="1"/>
  <c r="M183" i="1"/>
  <c r="N183" i="1"/>
  <c r="O183" i="1"/>
  <c r="P183" i="1"/>
  <c r="K182" i="1"/>
  <c r="L182" i="1"/>
  <c r="M182" i="1"/>
  <c r="N182" i="1"/>
  <c r="O182" i="1"/>
  <c r="P182" i="1"/>
  <c r="K181" i="1"/>
  <c r="L181" i="1"/>
  <c r="M181" i="1"/>
  <c r="N181" i="1"/>
  <c r="O181" i="1"/>
  <c r="P181" i="1"/>
  <c r="K180" i="1"/>
  <c r="L180" i="1"/>
  <c r="M180" i="1"/>
  <c r="N180" i="1"/>
  <c r="O180" i="1"/>
  <c r="P180" i="1"/>
  <c r="K179" i="1"/>
  <c r="L179" i="1"/>
  <c r="M179" i="1"/>
  <c r="N179" i="1"/>
  <c r="O179" i="1"/>
  <c r="P179" i="1"/>
  <c r="K178" i="1"/>
  <c r="L178" i="1"/>
  <c r="M178" i="1"/>
  <c r="N178" i="1"/>
  <c r="O178" i="1"/>
  <c r="P178" i="1"/>
  <c r="K177" i="1"/>
  <c r="L177" i="1"/>
  <c r="M177" i="1"/>
  <c r="N177" i="1"/>
  <c r="O177" i="1"/>
  <c r="P177" i="1"/>
  <c r="K176" i="1"/>
  <c r="L176" i="1"/>
  <c r="M176" i="1"/>
  <c r="N176" i="1"/>
  <c r="O176" i="1"/>
  <c r="P176" i="1"/>
  <c r="K175" i="1"/>
  <c r="L175" i="1"/>
  <c r="M175" i="1"/>
  <c r="N175" i="1"/>
  <c r="O175" i="1"/>
  <c r="P175" i="1"/>
  <c r="K174" i="1"/>
  <c r="L174" i="1"/>
  <c r="M174" i="1"/>
  <c r="N174" i="1"/>
  <c r="O174" i="1"/>
  <c r="P174" i="1"/>
  <c r="K173" i="1"/>
  <c r="L173" i="1"/>
  <c r="M173" i="1"/>
  <c r="N173" i="1"/>
  <c r="O173" i="1"/>
  <c r="P173" i="1"/>
  <c r="K172" i="1"/>
  <c r="L172" i="1"/>
  <c r="M172" i="1"/>
  <c r="N172" i="1"/>
  <c r="O172" i="1"/>
  <c r="P172" i="1"/>
  <c r="K171" i="1"/>
  <c r="L171" i="1"/>
  <c r="M171" i="1"/>
  <c r="N171" i="1"/>
  <c r="O171" i="1"/>
  <c r="P171" i="1"/>
  <c r="K170" i="1"/>
  <c r="L170" i="1"/>
  <c r="M170" i="1"/>
  <c r="N170" i="1"/>
  <c r="O170" i="1"/>
  <c r="P170" i="1"/>
  <c r="K169" i="1"/>
  <c r="L169" i="1"/>
  <c r="M169" i="1"/>
  <c r="N169" i="1"/>
  <c r="O169" i="1"/>
  <c r="P169" i="1"/>
  <c r="K168" i="1"/>
  <c r="L168" i="1"/>
  <c r="M168" i="1"/>
  <c r="N168" i="1"/>
  <c r="O168" i="1"/>
  <c r="P168" i="1"/>
  <c r="K167" i="1"/>
  <c r="L167" i="1"/>
  <c r="M167" i="1"/>
  <c r="N167" i="1"/>
  <c r="O167" i="1"/>
  <c r="P167" i="1"/>
  <c r="K166" i="1"/>
  <c r="L166" i="1"/>
  <c r="M166" i="1"/>
  <c r="N166" i="1"/>
  <c r="O166" i="1"/>
  <c r="P166" i="1"/>
  <c r="K165" i="1"/>
  <c r="L165" i="1"/>
  <c r="M165" i="1"/>
  <c r="N165" i="1"/>
  <c r="O165" i="1"/>
  <c r="P165" i="1"/>
  <c r="K164" i="1"/>
  <c r="L164" i="1"/>
  <c r="M164" i="1"/>
  <c r="N164" i="1"/>
  <c r="O164" i="1"/>
  <c r="P164" i="1"/>
  <c r="K163" i="1"/>
  <c r="L163" i="1"/>
  <c r="M163" i="1"/>
  <c r="N163" i="1"/>
  <c r="O163" i="1"/>
  <c r="P163" i="1"/>
  <c r="K162" i="1"/>
  <c r="L162" i="1"/>
  <c r="M162" i="1"/>
  <c r="N162" i="1"/>
  <c r="O162" i="1"/>
  <c r="P162" i="1"/>
  <c r="K161" i="1"/>
  <c r="L161" i="1"/>
  <c r="M161" i="1"/>
  <c r="N161" i="1"/>
  <c r="O161" i="1"/>
  <c r="P161" i="1"/>
  <c r="K160" i="1"/>
  <c r="L160" i="1"/>
  <c r="M160" i="1"/>
  <c r="N160" i="1"/>
  <c r="O160" i="1"/>
  <c r="P160" i="1"/>
  <c r="K159" i="1"/>
  <c r="L159" i="1"/>
  <c r="M159" i="1"/>
  <c r="N159" i="1"/>
  <c r="O159" i="1"/>
  <c r="P159" i="1"/>
  <c r="K158" i="1"/>
  <c r="L158" i="1"/>
  <c r="M158" i="1"/>
  <c r="N158" i="1"/>
  <c r="O158" i="1"/>
  <c r="P158" i="1"/>
  <c r="K157" i="1"/>
  <c r="L157" i="1"/>
  <c r="M157" i="1"/>
  <c r="N157" i="1"/>
  <c r="O157" i="1"/>
  <c r="P157" i="1"/>
  <c r="K156" i="1"/>
  <c r="L156" i="1"/>
  <c r="M156" i="1"/>
  <c r="N156" i="1"/>
  <c r="O156" i="1"/>
  <c r="P156" i="1"/>
  <c r="K155" i="1"/>
  <c r="L155" i="1"/>
  <c r="M155" i="1"/>
  <c r="N155" i="1"/>
  <c r="O155" i="1"/>
  <c r="P155" i="1"/>
  <c r="K154" i="1"/>
  <c r="L154" i="1"/>
  <c r="M154" i="1"/>
  <c r="N154" i="1"/>
  <c r="O154" i="1"/>
  <c r="P154" i="1"/>
  <c r="K153" i="1"/>
  <c r="L153" i="1"/>
  <c r="M153" i="1"/>
  <c r="N153" i="1"/>
  <c r="O153" i="1"/>
  <c r="P153" i="1"/>
  <c r="K152" i="1"/>
  <c r="L152" i="1"/>
  <c r="M152" i="1"/>
  <c r="N152" i="1"/>
  <c r="O152" i="1"/>
  <c r="P152" i="1"/>
  <c r="K151" i="1"/>
  <c r="L151" i="1"/>
  <c r="M151" i="1"/>
  <c r="N151" i="1"/>
  <c r="O151" i="1"/>
  <c r="P151" i="1"/>
  <c r="K150" i="1"/>
  <c r="L150" i="1"/>
  <c r="M150" i="1"/>
  <c r="N150" i="1"/>
  <c r="O150" i="1"/>
  <c r="P150" i="1"/>
  <c r="K149" i="1"/>
  <c r="L149" i="1"/>
  <c r="M149" i="1"/>
  <c r="N149" i="1"/>
  <c r="O149" i="1"/>
  <c r="P149" i="1"/>
  <c r="K148" i="1"/>
  <c r="L148" i="1"/>
  <c r="M148" i="1"/>
  <c r="N148" i="1"/>
  <c r="O148" i="1"/>
  <c r="P148" i="1"/>
  <c r="K147" i="1"/>
  <c r="L147" i="1"/>
  <c r="M147" i="1"/>
  <c r="N147" i="1"/>
  <c r="O147" i="1"/>
  <c r="P147" i="1"/>
  <c r="K146" i="1"/>
  <c r="L146" i="1"/>
  <c r="M146" i="1"/>
  <c r="N146" i="1"/>
  <c r="O146" i="1"/>
  <c r="P146" i="1"/>
  <c r="K145" i="1"/>
  <c r="L145" i="1"/>
  <c r="M145" i="1"/>
  <c r="N145" i="1"/>
  <c r="O145" i="1"/>
  <c r="P145" i="1"/>
  <c r="K144" i="1"/>
  <c r="L144" i="1"/>
  <c r="M144" i="1"/>
  <c r="N144" i="1"/>
  <c r="O144" i="1"/>
  <c r="P144" i="1"/>
  <c r="K143" i="1"/>
  <c r="L143" i="1"/>
  <c r="M143" i="1"/>
  <c r="N143" i="1"/>
  <c r="O143" i="1"/>
  <c r="P143" i="1"/>
  <c r="K142" i="1"/>
  <c r="L142" i="1"/>
  <c r="M142" i="1"/>
  <c r="N142" i="1"/>
  <c r="O142" i="1"/>
  <c r="P142" i="1"/>
  <c r="K141" i="1"/>
  <c r="L141" i="1"/>
  <c r="M141" i="1"/>
  <c r="N141" i="1"/>
  <c r="O141" i="1"/>
  <c r="P141" i="1"/>
  <c r="K140" i="1"/>
  <c r="L140" i="1"/>
  <c r="M140" i="1"/>
  <c r="N140" i="1"/>
  <c r="O140" i="1"/>
  <c r="P140" i="1"/>
  <c r="K139" i="1"/>
  <c r="L139" i="1"/>
  <c r="M139" i="1"/>
  <c r="N139" i="1"/>
  <c r="O139" i="1"/>
  <c r="P139" i="1"/>
  <c r="K138" i="1"/>
  <c r="L138" i="1"/>
  <c r="M138" i="1"/>
  <c r="N138" i="1"/>
  <c r="O138" i="1"/>
  <c r="P138" i="1"/>
  <c r="K137" i="1"/>
  <c r="L137" i="1"/>
  <c r="M137" i="1"/>
  <c r="N137" i="1"/>
  <c r="O137" i="1"/>
  <c r="P137" i="1"/>
  <c r="K136" i="1"/>
  <c r="L136" i="1"/>
  <c r="M136" i="1"/>
  <c r="N136" i="1"/>
  <c r="O136" i="1"/>
  <c r="P136" i="1"/>
  <c r="K135" i="1"/>
  <c r="L135" i="1"/>
  <c r="M135" i="1"/>
  <c r="N135" i="1"/>
  <c r="O135" i="1"/>
  <c r="P135" i="1"/>
  <c r="K134" i="1"/>
  <c r="L134" i="1"/>
  <c r="M134" i="1"/>
  <c r="N134" i="1"/>
  <c r="O134" i="1"/>
  <c r="P134" i="1"/>
  <c r="K133" i="1"/>
  <c r="L133" i="1"/>
  <c r="M133" i="1"/>
  <c r="N133" i="1"/>
  <c r="O133" i="1"/>
  <c r="P133" i="1"/>
  <c r="K132" i="1"/>
  <c r="L132" i="1"/>
  <c r="M132" i="1"/>
  <c r="N132" i="1"/>
  <c r="O132" i="1"/>
  <c r="P132" i="1"/>
  <c r="K131" i="1"/>
  <c r="L131" i="1"/>
  <c r="M131" i="1"/>
  <c r="N131" i="1"/>
  <c r="O131" i="1"/>
  <c r="P131" i="1"/>
  <c r="K130" i="1"/>
  <c r="L130" i="1"/>
  <c r="M130" i="1"/>
  <c r="N130" i="1"/>
  <c r="O130" i="1"/>
  <c r="P130" i="1"/>
  <c r="K129" i="1"/>
  <c r="L129" i="1"/>
  <c r="M129" i="1"/>
  <c r="N129" i="1"/>
  <c r="O129" i="1"/>
  <c r="P129" i="1"/>
  <c r="K128" i="1"/>
  <c r="L128" i="1"/>
  <c r="M128" i="1"/>
  <c r="N128" i="1"/>
  <c r="O128" i="1"/>
  <c r="P128" i="1"/>
  <c r="K127" i="1"/>
  <c r="L127" i="1"/>
  <c r="M127" i="1"/>
  <c r="N127" i="1"/>
  <c r="O127" i="1"/>
  <c r="P127" i="1"/>
  <c r="K126" i="1"/>
  <c r="L126" i="1"/>
  <c r="M126" i="1"/>
  <c r="N126" i="1"/>
  <c r="O126" i="1"/>
  <c r="P126" i="1"/>
  <c r="K125" i="1"/>
  <c r="L125" i="1"/>
  <c r="M125" i="1"/>
  <c r="N125" i="1"/>
  <c r="O125" i="1"/>
  <c r="P125" i="1"/>
  <c r="K124" i="1"/>
  <c r="L124" i="1"/>
  <c r="M124" i="1"/>
  <c r="N124" i="1"/>
  <c r="O124" i="1"/>
  <c r="P124" i="1"/>
  <c r="K123" i="1"/>
  <c r="L123" i="1"/>
  <c r="M123" i="1"/>
  <c r="N123" i="1"/>
  <c r="O123" i="1"/>
  <c r="P123" i="1"/>
  <c r="K122" i="1"/>
  <c r="L122" i="1"/>
  <c r="M122" i="1"/>
  <c r="N122" i="1"/>
  <c r="O122" i="1"/>
  <c r="P122" i="1"/>
  <c r="K121" i="1"/>
  <c r="L121" i="1"/>
  <c r="M121" i="1"/>
  <c r="N121" i="1"/>
  <c r="O121" i="1"/>
  <c r="P121" i="1"/>
  <c r="K120" i="1"/>
  <c r="L120" i="1"/>
  <c r="M120" i="1"/>
  <c r="N120" i="1"/>
  <c r="O120" i="1"/>
  <c r="P120" i="1"/>
  <c r="K119" i="1"/>
  <c r="L119" i="1"/>
  <c r="M119" i="1"/>
  <c r="N119" i="1"/>
  <c r="O119" i="1"/>
  <c r="P119" i="1"/>
  <c r="K118" i="1"/>
  <c r="L118" i="1"/>
  <c r="M118" i="1"/>
  <c r="N118" i="1"/>
  <c r="O118" i="1"/>
  <c r="P118" i="1"/>
  <c r="K117" i="1"/>
  <c r="L117" i="1"/>
  <c r="M117" i="1"/>
  <c r="N117" i="1"/>
  <c r="O117" i="1"/>
  <c r="P117" i="1"/>
  <c r="K116" i="1"/>
  <c r="L116" i="1"/>
  <c r="M116" i="1"/>
  <c r="N116" i="1"/>
  <c r="O116" i="1"/>
  <c r="P116" i="1"/>
  <c r="K115" i="1"/>
  <c r="L115" i="1"/>
  <c r="M115" i="1"/>
  <c r="N115" i="1"/>
  <c r="O115" i="1"/>
  <c r="P115" i="1"/>
  <c r="K114" i="1"/>
  <c r="L114" i="1"/>
  <c r="M114" i="1"/>
  <c r="N114" i="1"/>
  <c r="O114" i="1"/>
  <c r="P114" i="1"/>
  <c r="K113" i="1"/>
  <c r="L113" i="1"/>
  <c r="M113" i="1"/>
  <c r="N113" i="1"/>
  <c r="O113" i="1"/>
  <c r="P113" i="1"/>
  <c r="K112" i="1"/>
  <c r="L112" i="1"/>
  <c r="M112" i="1"/>
  <c r="N112" i="1"/>
  <c r="O112" i="1"/>
  <c r="P112" i="1"/>
  <c r="K111" i="1"/>
  <c r="L111" i="1"/>
  <c r="M111" i="1"/>
  <c r="N111" i="1"/>
  <c r="O111" i="1"/>
  <c r="P111" i="1"/>
  <c r="K110" i="1"/>
  <c r="L110" i="1"/>
  <c r="M110" i="1"/>
  <c r="N110" i="1"/>
  <c r="O110" i="1"/>
  <c r="P110" i="1"/>
  <c r="K109" i="1"/>
  <c r="L109" i="1"/>
  <c r="M109" i="1"/>
  <c r="N109" i="1"/>
  <c r="O109" i="1"/>
  <c r="P109" i="1"/>
  <c r="K108" i="1"/>
  <c r="L108" i="1"/>
  <c r="M108" i="1"/>
  <c r="N108" i="1"/>
  <c r="O108" i="1"/>
  <c r="P108" i="1"/>
  <c r="K107" i="1"/>
  <c r="L107" i="1"/>
  <c r="M107" i="1"/>
  <c r="N107" i="1"/>
  <c r="O107" i="1"/>
  <c r="P107" i="1"/>
  <c r="K106" i="1"/>
  <c r="L106" i="1"/>
  <c r="M106" i="1"/>
  <c r="N106" i="1"/>
  <c r="O106" i="1"/>
  <c r="P106" i="1"/>
  <c r="K105" i="1"/>
  <c r="L105" i="1"/>
  <c r="M105" i="1"/>
  <c r="N105" i="1"/>
  <c r="O105" i="1"/>
  <c r="P105" i="1"/>
  <c r="L104" i="1"/>
  <c r="M104" i="1"/>
  <c r="N104" i="1"/>
  <c r="O104" i="1"/>
  <c r="P104" i="1"/>
  <c r="L103" i="1"/>
  <c r="M103" i="1"/>
  <c r="N103" i="1"/>
  <c r="O103" i="1"/>
  <c r="P103" i="1"/>
  <c r="L102" i="1"/>
  <c r="M102" i="1"/>
  <c r="N102" i="1"/>
  <c r="O102" i="1"/>
  <c r="P102" i="1"/>
  <c r="L101" i="1"/>
  <c r="M101" i="1"/>
  <c r="N101" i="1"/>
  <c r="O101" i="1"/>
  <c r="P101" i="1"/>
  <c r="L100" i="1"/>
  <c r="M100" i="1"/>
  <c r="N100" i="1"/>
  <c r="O100" i="1"/>
  <c r="P100" i="1"/>
  <c r="L99" i="1"/>
  <c r="M99" i="1"/>
  <c r="N99" i="1"/>
  <c r="O99" i="1"/>
  <c r="P99" i="1"/>
  <c r="L98" i="1"/>
  <c r="M98" i="1"/>
  <c r="N98" i="1"/>
  <c r="O98" i="1"/>
  <c r="P98" i="1"/>
  <c r="L97" i="1"/>
  <c r="M97" i="1"/>
  <c r="N97" i="1"/>
  <c r="O97" i="1"/>
  <c r="P97" i="1"/>
  <c r="L96" i="1"/>
  <c r="M96" i="1"/>
  <c r="N96" i="1"/>
  <c r="O96" i="1"/>
  <c r="P96" i="1"/>
  <c r="L95" i="1"/>
  <c r="M95" i="1"/>
  <c r="N95" i="1"/>
  <c r="O95" i="1"/>
  <c r="P95" i="1"/>
  <c r="L94" i="1"/>
  <c r="M94" i="1"/>
  <c r="N94" i="1"/>
  <c r="O94" i="1"/>
  <c r="P94" i="1"/>
  <c r="L93" i="1"/>
  <c r="M93" i="1"/>
  <c r="N93" i="1"/>
  <c r="O93" i="1"/>
  <c r="P93" i="1"/>
  <c r="L92" i="1"/>
  <c r="M92" i="1"/>
  <c r="N92" i="1"/>
  <c r="O92" i="1"/>
  <c r="P92" i="1"/>
  <c r="L91" i="1"/>
  <c r="M91" i="1"/>
  <c r="N91" i="1"/>
  <c r="O91" i="1"/>
  <c r="P91" i="1"/>
  <c r="L90" i="1"/>
  <c r="M90" i="1"/>
  <c r="N90" i="1"/>
  <c r="O90" i="1"/>
  <c r="P90" i="1"/>
  <c r="L89" i="1"/>
  <c r="M89" i="1"/>
  <c r="N89" i="1"/>
  <c r="O89" i="1"/>
  <c r="P89" i="1"/>
  <c r="L88" i="1"/>
  <c r="M88" i="1"/>
  <c r="N88" i="1"/>
  <c r="O88" i="1"/>
  <c r="P88" i="1"/>
  <c r="L87" i="1"/>
  <c r="M87" i="1"/>
  <c r="N87" i="1"/>
  <c r="O87" i="1"/>
  <c r="P87" i="1"/>
  <c r="L86" i="1"/>
  <c r="M86" i="1"/>
  <c r="N86" i="1"/>
  <c r="O86" i="1"/>
  <c r="P86" i="1"/>
  <c r="L85" i="1"/>
  <c r="M85" i="1"/>
  <c r="N85" i="1"/>
  <c r="O85" i="1"/>
  <c r="P85" i="1"/>
  <c r="L84" i="1"/>
  <c r="M84" i="1"/>
  <c r="N84" i="1"/>
  <c r="O84" i="1"/>
  <c r="P84" i="1"/>
  <c r="L83" i="1"/>
  <c r="M83" i="1"/>
  <c r="N83" i="1"/>
  <c r="O83" i="1"/>
  <c r="P83" i="1"/>
  <c r="L82" i="1"/>
  <c r="M82" i="1"/>
  <c r="N82" i="1"/>
  <c r="O82" i="1"/>
  <c r="P82" i="1"/>
  <c r="L81" i="1"/>
  <c r="M81" i="1"/>
  <c r="N81" i="1"/>
  <c r="O81" i="1"/>
  <c r="P81" i="1"/>
  <c r="L80" i="1"/>
  <c r="M80" i="1"/>
  <c r="N80" i="1"/>
  <c r="O80" i="1"/>
  <c r="P80" i="1"/>
  <c r="L79" i="1"/>
  <c r="M79" i="1"/>
  <c r="N79" i="1"/>
  <c r="O79" i="1"/>
  <c r="P79" i="1"/>
  <c r="L78" i="1"/>
  <c r="M78" i="1"/>
  <c r="N78" i="1"/>
  <c r="O78" i="1"/>
  <c r="P78" i="1"/>
  <c r="L77" i="1"/>
  <c r="M77" i="1"/>
  <c r="N77" i="1"/>
  <c r="O77" i="1"/>
  <c r="P77" i="1"/>
  <c r="L76" i="1"/>
  <c r="M76" i="1"/>
  <c r="N76" i="1"/>
  <c r="O76" i="1"/>
  <c r="P76" i="1"/>
  <c r="L75" i="1"/>
  <c r="M75" i="1"/>
  <c r="N75" i="1"/>
  <c r="O75" i="1"/>
  <c r="P75" i="1"/>
  <c r="L74" i="1"/>
  <c r="M74" i="1"/>
  <c r="N74" i="1"/>
  <c r="O74" i="1"/>
  <c r="P74" i="1"/>
  <c r="L73" i="1"/>
  <c r="M73" i="1"/>
  <c r="N73" i="1"/>
  <c r="O73" i="1"/>
  <c r="P73" i="1"/>
  <c r="L72" i="1"/>
  <c r="M72" i="1"/>
  <c r="N72" i="1"/>
  <c r="O72" i="1"/>
  <c r="P72" i="1"/>
  <c r="L71" i="1"/>
  <c r="M71" i="1"/>
  <c r="N71" i="1"/>
  <c r="O71" i="1"/>
  <c r="P71" i="1"/>
  <c r="L70" i="1"/>
  <c r="M70" i="1"/>
  <c r="N70" i="1"/>
  <c r="O70" i="1"/>
  <c r="P70" i="1"/>
  <c r="L69" i="1"/>
  <c r="M69" i="1"/>
  <c r="N69" i="1"/>
  <c r="O69" i="1"/>
  <c r="P69" i="1"/>
  <c r="L68" i="1"/>
  <c r="M68" i="1"/>
  <c r="N68" i="1"/>
  <c r="O68" i="1"/>
  <c r="P68" i="1"/>
  <c r="L67" i="1"/>
  <c r="M67" i="1"/>
  <c r="N67" i="1"/>
  <c r="O67" i="1"/>
  <c r="P67" i="1"/>
  <c r="L66" i="1"/>
  <c r="M66" i="1"/>
  <c r="N66" i="1"/>
  <c r="O66" i="1"/>
  <c r="P66" i="1"/>
  <c r="L65" i="1"/>
  <c r="M65" i="1"/>
  <c r="N65" i="1"/>
  <c r="O65" i="1"/>
  <c r="P65" i="1"/>
  <c r="L64" i="1"/>
  <c r="M64" i="1"/>
  <c r="N64" i="1"/>
  <c r="O64" i="1"/>
  <c r="P64" i="1"/>
  <c r="L63" i="1"/>
  <c r="M63" i="1"/>
  <c r="N63" i="1"/>
  <c r="O63" i="1"/>
  <c r="P63" i="1"/>
  <c r="L62" i="1"/>
  <c r="M62" i="1"/>
  <c r="N62" i="1"/>
  <c r="O62" i="1"/>
  <c r="P62" i="1"/>
  <c r="L61" i="1"/>
  <c r="M61" i="1"/>
  <c r="N61" i="1"/>
  <c r="O61" i="1"/>
  <c r="P61" i="1"/>
  <c r="L60" i="1"/>
  <c r="M60" i="1"/>
  <c r="N60" i="1"/>
  <c r="O60" i="1"/>
  <c r="P60" i="1"/>
  <c r="L59" i="1"/>
  <c r="M59" i="1"/>
  <c r="N59" i="1"/>
  <c r="O59" i="1"/>
  <c r="P59" i="1"/>
  <c r="L58" i="1"/>
  <c r="M58" i="1"/>
  <c r="N58" i="1"/>
  <c r="O58" i="1"/>
  <c r="P58" i="1"/>
  <c r="L57" i="1"/>
  <c r="M57" i="1"/>
  <c r="N57" i="1"/>
  <c r="O57" i="1"/>
  <c r="P57" i="1"/>
  <c r="L56" i="1"/>
  <c r="M56" i="1"/>
  <c r="N56" i="1"/>
  <c r="O56" i="1"/>
  <c r="P56" i="1"/>
  <c r="L55" i="1"/>
  <c r="M55" i="1"/>
  <c r="N55" i="1"/>
  <c r="O55" i="1"/>
  <c r="P55" i="1"/>
  <c r="L54" i="1"/>
  <c r="M54" i="1"/>
  <c r="N54" i="1"/>
  <c r="O54" i="1"/>
  <c r="P54" i="1"/>
  <c r="L53" i="1"/>
  <c r="M53" i="1"/>
  <c r="N53" i="1"/>
  <c r="O53" i="1"/>
  <c r="P53" i="1"/>
  <c r="L52" i="1"/>
  <c r="M52" i="1"/>
  <c r="N52" i="1"/>
  <c r="O52" i="1"/>
  <c r="P52" i="1"/>
  <c r="L51" i="1"/>
  <c r="M51" i="1"/>
  <c r="N51" i="1"/>
  <c r="O51" i="1"/>
  <c r="P51" i="1"/>
  <c r="L50" i="1"/>
  <c r="M50" i="1"/>
  <c r="N50" i="1"/>
  <c r="O50" i="1"/>
  <c r="P50" i="1"/>
  <c r="L49" i="1"/>
  <c r="M49" i="1"/>
  <c r="N49" i="1"/>
  <c r="O49" i="1"/>
  <c r="P49" i="1"/>
  <c r="L48" i="1"/>
  <c r="M48" i="1"/>
  <c r="N48" i="1"/>
  <c r="O48" i="1"/>
  <c r="P48" i="1"/>
  <c r="L47" i="1"/>
  <c r="M47" i="1"/>
  <c r="N47" i="1"/>
  <c r="O47" i="1"/>
  <c r="P47" i="1"/>
  <c r="L46" i="1"/>
  <c r="M46" i="1"/>
  <c r="N46" i="1"/>
  <c r="O46" i="1"/>
  <c r="P46" i="1"/>
  <c r="L45" i="1"/>
  <c r="M45" i="1"/>
  <c r="N45" i="1"/>
  <c r="O45" i="1"/>
  <c r="P45" i="1"/>
  <c r="L44" i="1"/>
  <c r="M44" i="1"/>
  <c r="N44" i="1"/>
  <c r="O44" i="1"/>
  <c r="P44" i="1"/>
  <c r="L43" i="1"/>
  <c r="M43" i="1"/>
  <c r="N43" i="1"/>
  <c r="O43" i="1"/>
  <c r="P43" i="1"/>
  <c r="L42" i="1"/>
  <c r="M42" i="1"/>
  <c r="N42" i="1"/>
  <c r="O42" i="1"/>
  <c r="P42" i="1"/>
  <c r="L41" i="1"/>
  <c r="M41" i="1"/>
  <c r="N41" i="1"/>
  <c r="O41" i="1"/>
  <c r="P41" i="1"/>
  <c r="L40" i="1"/>
  <c r="M40" i="1"/>
  <c r="N40" i="1"/>
  <c r="O40" i="1"/>
  <c r="P40" i="1"/>
  <c r="L39" i="1"/>
  <c r="M39" i="1"/>
  <c r="N39" i="1"/>
  <c r="O39" i="1"/>
  <c r="P39" i="1"/>
  <c r="L38" i="1"/>
  <c r="M38" i="1"/>
  <c r="N38" i="1"/>
  <c r="O38" i="1"/>
  <c r="P38" i="1"/>
  <c r="L37" i="1"/>
  <c r="M37" i="1"/>
  <c r="N37" i="1"/>
  <c r="O37" i="1"/>
  <c r="P37" i="1"/>
  <c r="L36" i="1"/>
  <c r="M36" i="1"/>
  <c r="N36" i="1"/>
  <c r="O36" i="1"/>
  <c r="P36" i="1"/>
  <c r="L35" i="1"/>
  <c r="M35" i="1"/>
  <c r="N35" i="1"/>
  <c r="O35" i="1"/>
  <c r="P35" i="1"/>
  <c r="L34" i="1"/>
  <c r="M34" i="1"/>
  <c r="N34" i="1"/>
  <c r="O34" i="1"/>
  <c r="P34" i="1"/>
  <c r="L33" i="1"/>
  <c r="M33" i="1"/>
  <c r="N33" i="1"/>
  <c r="O33" i="1"/>
  <c r="P33" i="1"/>
  <c r="L32" i="1"/>
  <c r="M32" i="1"/>
  <c r="N32" i="1"/>
  <c r="O32" i="1"/>
  <c r="P32" i="1"/>
  <c r="L31" i="1"/>
  <c r="M31" i="1"/>
  <c r="N31" i="1"/>
  <c r="O31" i="1"/>
  <c r="P31" i="1"/>
  <c r="L30" i="1"/>
  <c r="M30" i="1"/>
  <c r="N30" i="1"/>
  <c r="O30" i="1"/>
  <c r="P30" i="1"/>
  <c r="L29" i="1"/>
  <c r="M29" i="1"/>
  <c r="N29" i="1"/>
  <c r="O29" i="1"/>
  <c r="P29" i="1"/>
  <c r="L28" i="1"/>
  <c r="M28" i="1"/>
  <c r="N28" i="1"/>
  <c r="O28" i="1"/>
  <c r="P28" i="1"/>
  <c r="L27" i="1"/>
  <c r="M27" i="1"/>
  <c r="N27" i="1"/>
  <c r="O27" i="1"/>
  <c r="P27" i="1"/>
  <c r="L26" i="1"/>
  <c r="M26" i="1"/>
  <c r="N26" i="1"/>
  <c r="O26" i="1"/>
  <c r="P26" i="1"/>
  <c r="L25" i="1"/>
  <c r="M25" i="1"/>
  <c r="N25" i="1"/>
  <c r="O25" i="1"/>
  <c r="P25" i="1"/>
  <c r="L24" i="1"/>
  <c r="M24" i="1"/>
  <c r="N24" i="1"/>
  <c r="O24" i="1"/>
  <c r="P24" i="1"/>
  <c r="L23" i="1"/>
  <c r="M23" i="1"/>
  <c r="N23" i="1"/>
  <c r="O23" i="1"/>
  <c r="P23" i="1"/>
  <c r="L22" i="1"/>
  <c r="M22" i="1"/>
  <c r="N22" i="1"/>
  <c r="O22" i="1"/>
  <c r="P22" i="1"/>
  <c r="L21" i="1"/>
  <c r="M21" i="1"/>
  <c r="N21" i="1"/>
  <c r="O21" i="1"/>
  <c r="P21" i="1"/>
  <c r="L20" i="1"/>
  <c r="M20" i="1"/>
  <c r="N20" i="1"/>
  <c r="O20" i="1"/>
  <c r="P20" i="1"/>
  <c r="L19" i="1"/>
  <c r="M19" i="1"/>
  <c r="N19" i="1"/>
  <c r="O19" i="1"/>
  <c r="P19" i="1"/>
  <c r="L18" i="1"/>
  <c r="M18" i="1"/>
  <c r="N18" i="1"/>
  <c r="O18" i="1"/>
  <c r="P18" i="1"/>
  <c r="L17" i="1"/>
  <c r="M17" i="1"/>
  <c r="N17" i="1"/>
  <c r="O17" i="1"/>
  <c r="P17" i="1"/>
  <c r="L16" i="1"/>
  <c r="M16" i="1"/>
  <c r="N16" i="1"/>
  <c r="O16" i="1"/>
  <c r="P16" i="1"/>
  <c r="L15" i="1"/>
  <c r="M15" i="1"/>
  <c r="N15" i="1"/>
  <c r="O15" i="1"/>
  <c r="P15" i="1"/>
  <c r="L14" i="1"/>
  <c r="M14" i="1"/>
  <c r="N14" i="1"/>
  <c r="O14" i="1"/>
  <c r="P14" i="1"/>
  <c r="L13" i="1"/>
  <c r="M13" i="1"/>
  <c r="N13" i="1"/>
  <c r="O13" i="1"/>
  <c r="P13" i="1"/>
  <c r="L12" i="1"/>
  <c r="M12" i="1"/>
  <c r="N12" i="1"/>
  <c r="O12" i="1"/>
  <c r="P12" i="1"/>
  <c r="L11" i="1"/>
  <c r="M11" i="1"/>
  <c r="N11" i="1"/>
  <c r="O11" i="1"/>
  <c r="P11" i="1"/>
  <c r="L10" i="1"/>
  <c r="M10" i="1"/>
  <c r="N10" i="1"/>
  <c r="O10" i="1"/>
  <c r="P10" i="1"/>
  <c r="L9" i="1"/>
  <c r="M9" i="1"/>
  <c r="N9" i="1"/>
  <c r="O9" i="1"/>
  <c r="P9" i="1"/>
  <c r="L8" i="1"/>
  <c r="M8" i="1"/>
  <c r="N8" i="1"/>
  <c r="O8" i="1"/>
  <c r="P8" i="1"/>
  <c r="L7" i="1"/>
  <c r="M7" i="1"/>
  <c r="N7" i="1"/>
  <c r="O7" i="1"/>
  <c r="P7" i="1"/>
  <c r="L6" i="1"/>
  <c r="M6" i="1"/>
  <c r="N6" i="1"/>
  <c r="O6" i="1"/>
  <c r="P6" i="1"/>
  <c r="L5" i="1"/>
  <c r="M5" i="1"/>
  <c r="N5" i="1"/>
  <c r="O5" i="1"/>
  <c r="P5" i="1"/>
  <c r="L4" i="1"/>
  <c r="M4" i="1"/>
  <c r="N4" i="1"/>
  <c r="O4" i="1"/>
  <c r="P4" i="1"/>
  <c r="L3" i="1"/>
  <c r="M3" i="1"/>
  <c r="N3" i="1"/>
  <c r="O3" i="1"/>
  <c r="P3" i="1"/>
  <c r="L2" i="1"/>
  <c r="M2" i="1"/>
  <c r="N2" i="1"/>
  <c r="O2" i="1"/>
  <c r="P2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K2" i="1"/>
</calcChain>
</file>

<file path=xl/sharedStrings.xml><?xml version="1.0" encoding="utf-8"?>
<sst xmlns="http://schemas.openxmlformats.org/spreadsheetml/2006/main" count="2717" uniqueCount="1694">
  <si>
    <t>CasoId</t>
  </si>
  <si>
    <t>ConversationId</t>
  </si>
  <si>
    <t>Asunto</t>
  </si>
  <si>
    <t>FechaRecepcion</t>
  </si>
  <si>
    <t>FechaUltimoCorreo</t>
  </si>
  <si>
    <t>PersonaUltimaRespuesta</t>
  </si>
  <si>
    <t>Estado</t>
  </si>
  <si>
    <t>FechaCierre</t>
  </si>
  <si>
    <t>Persona_Respuesta</t>
  </si>
  <si>
    <t>Observaciones</t>
  </si>
  <si>
    <t>Días_Transcurridos</t>
  </si>
  <si>
    <t>Días_Hab</t>
  </si>
  <si>
    <t>Horas_Respuesta</t>
  </si>
  <si>
    <t>Mes</t>
  </si>
  <si>
    <t>EsFinalizado</t>
  </si>
  <si>
    <t>EsPendiente</t>
  </si>
  <si>
    <t>AAQkADdkNThjNzFkLWM0ZmMtNDJhYS04MDVlLTIwNzE4ZDI1Mzg4YgAQAMXKxd5JaEzogViQa7m2TpA=-20261014094311</t>
  </si>
  <si>
    <t>AAQkADdkNThjNzFkLWM0ZmMtNDJhYS04MDVlLTIwNzE4ZDI1Mzg4YgAQAMXKxd5JaEzogViQa7m2TpA=</t>
  </si>
  <si>
    <t>URGENTE***** SIDERPERU - SCTR SALUD -  ZAVALETA GARCIA VICTOR (EVALUACION DE CAUSALIDAD)</t>
  </si>
  <si>
    <t>joatham_gurreonero@ajg.com</t>
  </si>
  <si>
    <t>Solicitante: joatham_gurreonero@ajg.com | Hilo con 8 mensaje(s) citado(s); correo original de: Flor Gamboa &lt;Flor_Gamboa@ajg.com&gt;</t>
  </si>
  <si>
    <t>AAQkADdkNThjNzFkLWM0ZmMtNDJhYS04MDVlLTIwNzE4ZDI1Mzg4YgAQAGAlthIm2BVPg5CEPfQSlpU=-20261014094423</t>
  </si>
  <si>
    <t>AAQkADdkNThjNzFkLWM0ZmMtNDJhYS04MDVlLTIwNzE4ZDI1Mzg4YgAQAGAlthIm2BVPg5CEPfQSlpU=</t>
  </si>
  <si>
    <t>RE: SOLICITUD DE REPORTE / SCTR / C: ACTUAL VENTAS PERU SAC / A: DIEGO PISCOCHE CARHUAYANO / DNI: 70286780 / MAPFRE</t>
  </si>
  <si>
    <t>extsybq@mapfre.com.pe</t>
  </si>
  <si>
    <t>Solicitante: adrianad@italasesores.com | Hilo con 11 mensaje(s) citado(s); correo original de: Ethel Reaño</t>
  </si>
  <si>
    <t>AAQkADdkNThjNzFkLWM0ZmMtNDJhYS04MDVlLTIwNzE4ZDI1Mzg4YgAQADfT6Z16fJBElaZzGp7Tx3M=-20261014095042</t>
  </si>
  <si>
    <t>AAQkADdkNThjNzFkLWM0ZmMtNDJhYS04MDVlLTIwNzE4ZDI1Mzg4YgAQADfT6Z16fJBElaZzGp7Tx3M=</t>
  </si>
  <si>
    <t>RE: Solicito carta de garantía</t>
  </si>
  <si>
    <t>misalce@mapfre.com.pe</t>
  </si>
  <si>
    <t>FINALIZADO</t>
  </si>
  <si>
    <t>Solicitante: misalce@mapfre.com.pe | Hilo con 4 mensaje(s) citado(s); correo original de: Johanna Maravi &lt;jmaravi@policlinicoestabridis.com&gt; | Llegó con el hilo ya respondido</t>
  </si>
  <si>
    <t>AAQkADdkNThjNzFkLWM0ZmMtNDJhYS04MDVlLTIwNzE4ZDI1Mzg4YgAQAJcXcCYiSgVBnoJEWxHJa0s=-20261014095246</t>
  </si>
  <si>
    <t>AAQkADdkNThjNzFkLWM0ZmMtNDJhYS04MDVlLTIwNzE4ZDI1Mzg4YgAQAJcXcCYiSgVBnoJEWxHJa0s=</t>
  </si>
  <si>
    <t>Re: SOLICITO APOYO PARA OBTENCIÓN  DE FERULA  -PCTE. BERRIOS TAUCCAYA PASCUAL DAVID</t>
  </si>
  <si>
    <t>amriva1@mapfre.com.pe</t>
  </si>
  <si>
    <t>Ana María Rivas Cobeñas</t>
  </si>
  <si>
    <t>Solicitante: ordese1@yahoo.es | Hilo con 2 mensaje(s) citado(s); correo original de: Rivas Cobeñas, Ana Maria &lt;AMRIVA1@mapfre.com.pe&gt;</t>
  </si>
  <si>
    <t>AAQkADdkNThjNzFkLWM0ZmMtNDJhYS04MDVlLTIwNzE4ZDI1Mzg4YgAQAEV1MieBe0Wvroz_9cqOHs4=-20261014095321</t>
  </si>
  <si>
    <t>AAQkADdkNThjNzFkLWM0ZmMtNDJhYS04MDVlLTIwNzE4ZDI1Mzg4YgAQAEV1MieBe0Wvroz_9cqOHs4=</t>
  </si>
  <si>
    <t>RE: SCTR / GRUPO VETERINARIO / ANA RODRIGUEZ DE FERNANDEZ CE 003912486</t>
  </si>
  <si>
    <t>Solicitante: extsybq@mapfre.com.pe | Hilo con 2 mensaje(s) citado(s); correo original de: Maria Fernanda Arriaran &lt;mariaf@fyfdaruich.com&gt; | Llegó con el hilo ya respondido</t>
  </si>
  <si>
    <t>AAQkADdkNThjNzFkLWM0ZmMtNDJhYS04MDVlLTIwNzE4ZDI1Mzg4YgAQAH-VK2VtNk1Kux-Ws0HoEUQ=-20261014095528</t>
  </si>
  <si>
    <t>AAQkADdkNThjNzFkLWM0ZmMtNDJhYS04MDVlLTIwNzE4ZDI1Mzg4YgAQAH-VK2VtNk1Kux-Ws0HoEUQ=</t>
  </si>
  <si>
    <t>RE: ACTIVACION DE ASEGURADO EN WEB: SANCHEZ REYES MARCOS</t>
  </si>
  <si>
    <t>frmmen2@mapfre.com.pe</t>
  </si>
  <si>
    <t>Fiorella Mendoza Albujar</t>
  </si>
  <si>
    <t>Solicitante: frmmen2@mapfre.com.pe | Hilo con 3 mensaje(s) citado(s); correo original de: cartasdegarantia@clinicasanantonio.pe | Llegó con el hilo ya respondido</t>
  </si>
  <si>
    <t>AAQkADdkNThjNzFkLWM0ZmMtNDJhYS04MDVlLTIwNzE4ZDI1Mzg4YgAQAKDxYH_RrEFdgX28cD_WcvU=-20261014095535</t>
  </si>
  <si>
    <t>AAQkADdkNThjNzFkLWM0ZmMtNDJhYS04MDVlLTIwNzE4ZDI1Mzg4YgAQAKDxYH_RrEFdgX28cD_WcvU=</t>
  </si>
  <si>
    <t>RE: SOLCIITUD DE AUTORIZACION POR TRAUMATOLOGIA - SCTR SALUD - ASG FERNANDEZ CRUZ ESTUAR BRAULIO - CONSTRUCTORA GALILEA</t>
  </si>
  <si>
    <t>rtorresr@mapfre.com.pe</t>
  </si>
  <si>
    <t>Cintya Romero</t>
  </si>
  <si>
    <t>Solicitante: cintya.romero@howdengroup.com | Hilo con 1 mensaje(s) citado(s); correo original de: Cintya Romero</t>
  </si>
  <si>
    <t>AAQkADdkNThjNzFkLWM0ZmMtNDJhYS04MDVlLTIwNzE4ZDI1Mzg4YgAQAFte2-4XXGNKu603eYXoym0=-20261014095537</t>
  </si>
  <si>
    <t>AAQkADdkNThjNzFkLWM0ZmMtNDJhYS04MDVlLTIwNzE4ZDI1Mzg4YgAQAFte2-4XXGNKu603eYXoym0=</t>
  </si>
  <si>
    <t>RE: Activar Paciente -ZHILIN ZHILIN LENG</t>
  </si>
  <si>
    <t>fafies2@mapfre.com.pe</t>
  </si>
  <si>
    <t>Solicitante: fafies2@mapfre.com.pe | Hilo con 2 mensaje(s) citado(s); correo original de: Vega Cueva, Xiomy Milagros &lt;VCXIOMY@mapfre.com.pe&gt; | Llegó con el hilo ya respondido</t>
  </si>
  <si>
    <t>AAQkADdkNThjNzFkLWM0ZmMtNDJhYS04MDVlLTIwNzE4ZDI1Mzg4YgAQADjgmi3pLrdGntKo5dAEa24=-20261014100031</t>
  </si>
  <si>
    <t>AAQkADdkNThjNzFkLWM0ZmMtNDJhYS04MDVlLTIwNzE4ZDI1Mzg4YgAQADjgmi3pLrdGntKo5dAEa24=</t>
  </si>
  <si>
    <t>RE: CONFIRMAR FECHA DE COBERTURA POR SCTR SALUD // ASEGURADO RAMIREZ BAYONA JUAN PABLO // FLESAN</t>
  </si>
  <si>
    <t>luis.suarez1@aon.com</t>
  </si>
  <si>
    <t>Solicitante: luis.suarez1@aon.com | Hilo con 7 mensaje(s) citado(s); correo original de: Cordova Yenque, Pilar Alexandra &lt;CYPILA1@mapfre.com.pe&gt;</t>
  </si>
  <si>
    <t>AAQkADdkNThjNzFkLWM0ZmMtNDJhYS04MDVlLTIwNzE4ZDI1Mzg4YgAQAG_EIQjRdfxEjkwSQxqjox0=-20261014100242</t>
  </si>
  <si>
    <t>AAQkADdkNThjNzFkLWM0ZmMtNDJhYS04MDVlLTIwNzE4ZDI1Mzg4YgAQAG_EIQjRdfxEjkwSQxqjox0=</t>
  </si>
  <si>
    <t>RE: CORREGIR FECHA DE NACIMIENTO DE AFILIADO SCTR -  MEZA RETETE LUIS FERNANDO</t>
  </si>
  <si>
    <t>gestionalpaciente_independencia@mapfre.com.pe</t>
  </si>
  <si>
    <t>Jennifer Huertas</t>
  </si>
  <si>
    <t>Solicitante: gestionalpaciente_independencia@mapfre.com.pe | Hilo con 3 mensaje(s) citado(s); correo original de: zzd GestionAlPaciente_Independencia | Llegó con el hilo ya respondido</t>
  </si>
  <si>
    <t>AAQkADdkNThjNzFkLWM0ZmMtNDJhYS04MDVlLTIwNzE4ZDI1Mzg4YgAQAEV1MieBe0Wvroz_9cqOHs4=-20261014100206</t>
  </si>
  <si>
    <t>Solicitante: mariaf@fyfdaruich.com | Nuevo mensaje en una conversación ya finalizada</t>
  </si>
  <si>
    <t>AAQkADdkNThjNzFkLWM0ZmMtNDJhYS04MDVlLTIwNzE4ZDI1Mzg4YgAQAIeDImJRCTxMqD3FMxYQ-Zs=-20261014100410</t>
  </si>
  <si>
    <t>AAQkADdkNThjNzFkLWM0ZmMtNDJhYS04MDVlLTIwNzE4ZDI1Mzg4YgAQAIeDImJRCTxMqD3FMxYQ-Zs=</t>
  </si>
  <si>
    <t>Re: Reembolso Gastos Médicos - SCTR // A &amp; P GRUPO EMPRESARIAL S.A.C</t>
  </si>
  <si>
    <t>corredoresdeseguros.ghd@gmail.com</t>
  </si>
  <si>
    <t>Solicitante: corredoresdeseguros.ghd@gmail.com | Hilo con 1 mensaje(s) citado(s); correo original de: Gina Huaricapcha Durand &lt;corredoresdeseguros.ghd@gmail.com&gt;</t>
  </si>
  <si>
    <t>AAQkADdkNThjNzFkLWM0ZmMtNDJhYS04MDVlLTIwNzE4ZDI1Mzg4YgAQABGejHfewVFOhvTXNviUWG4=-20261014100934</t>
  </si>
  <si>
    <t>AAQkADdkNThjNzFkLWM0ZmMtNDJhYS04MDVlLTIwNzE4ZDI1Mzg4YgAQABGejHfewVFOhvTXNviUWG4=</t>
  </si>
  <si>
    <t>RE: PESQUERA DIAMANTE SCTR PENSION : Consulta GARCIA SARANGO EVARISTO</t>
  </si>
  <si>
    <t>sctrpension@mapfre.com.pe</t>
  </si>
  <si>
    <t>Solicitante: rocio_santisteban@ajg.com | Hilo con 5 mensaje(s) citado(s); correo original de: Rocio Santisteban</t>
  </si>
  <si>
    <t>AAQkADdkNThjNzFkLWM0ZmMtNDJhYS04MDVlLTIwNzE4ZDI1Mzg4YgAQAPxTjZ5Y2l1GopOOh0CVnm0=-20261014101023</t>
  </si>
  <si>
    <t>AAQkADdkNThjNzFkLWM0ZmMtNDJhYS04MDVlLTIwNzE4ZDI1Mzg4YgAQAPxTjZ5Y2l1GopOOh0CVnm0=</t>
  </si>
  <si>
    <t>SOLICITUD DE FÉRULA: MENACHO MENDIETA, RENZO BENJAMIN</t>
  </si>
  <si>
    <t>cgarantias@santafeortopedia.com</t>
  </si>
  <si>
    <t>Marlene Valle</t>
  </si>
  <si>
    <t>Solicitante: brenda.salazar@marsh.com | Hilo con 3 mensaje(s) citado(s); correo original de: Wendy Zarate &lt;Wendy.Zarate@promart.pe&gt;</t>
  </si>
  <si>
    <t>AAQkADdkNThjNzFkLWM0ZmMtNDJhYS04MDVlLTIwNzE4ZDI1Mzg4YgAQADoh4xVMnUjzoMEzcq2OcAc=-20261014101446</t>
  </si>
  <si>
    <t>AAQkADdkNThjNzFkLWM0ZmMtNDJhYS04MDVlLTIwNzE4ZDI1Mzg4YgAQADoh4xVMnUjzoMEzcq2OcAc=</t>
  </si>
  <si>
    <t>RE: CHAVESTA BARCO VICTOR // AUTORIZACION PARA FARMACIA</t>
  </si>
  <si>
    <t>psmless@mapfre.com.pe</t>
  </si>
  <si>
    <t>Solicitante: psmless@mapfre.com.pe | Hilo con 1 mensaje(s) citado(s); correo original de: admiambulatoriosg02@sanpablo.com.pe &lt;admiambulatoriosg02@sanpablo.com.pe&gt; | Llegó con el hilo ya respondido</t>
  </si>
  <si>
    <t>AAQkADdkNThjNzFkLWM0ZmMtNDJhYS04MDVlLTIwNzE4ZDI1Mzg4YgAQAPltEXqCenFOvp2zaworXqY=-20261014101510</t>
  </si>
  <si>
    <t>AAQkADdkNThjNzFkLWM0ZmMtNDJhYS04MDVlLTIwNzE4ZDI1Mzg4YgAQAPltEXqCenFOvp2zaworXqY=</t>
  </si>
  <si>
    <t>RE: APOYO CON ENTREGA DE MEDICAMENTOS / SCTR SALUD / C: PASTELERIA FINA GMR SAC / A: VALVERDE REYES, ELIZABETH DNI: 48502748 / MAPFRE EPS</t>
  </si>
  <si>
    <t>sctrsalud@mapfre.com.pe</t>
  </si>
  <si>
    <t>Alicia Sancca</t>
  </si>
  <si>
    <t>Solicitante: adrianad@italasesores.com | Hilo con 13 mensaje(s) citado(s); correo original de: rodrigola@italasesores.com &lt;rodrigola@italasesores.com&gt;</t>
  </si>
  <si>
    <t>AAQkADdkNThjNzFkLWM0ZmMtNDJhYS04MDVlLTIwNzE4ZDI1Mzg4YgAQAKvNhXK1EkLZpdTu7CBlBXM=-20261014101528</t>
  </si>
  <si>
    <t>AAQkADdkNThjNzFkLWM0ZmMtNDJhYS04MDVlLTIwNzE4ZDI1Mzg4YgAQAKvNhXK1EkLZpdTu7CBlBXM=</t>
  </si>
  <si>
    <t>RE: ZAVALETA PAZOS CARLOS ALBERTO // AUTORIZACION PARA FARMACIA</t>
  </si>
  <si>
    <t>AAQkADdkNThjNzFkLWM0ZmMtNDJhYS04MDVlLTIwNzE4ZDI1Mzg4YgAQAKGcuEslBkRWgVylLBPFed0=-20261014101652</t>
  </si>
  <si>
    <t>AAQkADdkNThjNzFkLWM0ZmMtNDJhYS04MDVlLTIwNzE4ZDI1Mzg4YgAQAKGcuEslBkRWgVylLBPFed0=</t>
  </si>
  <si>
    <t xml:space="preserve">RE: SCTR / SOLICITUD DE REEMBOLSO / TONG RECEPCIONES EVENTOS Y ESPECTACULOS / BACA GUEVARA MARIA </t>
  </si>
  <si>
    <t>Solicitante: mariaf@fyfdaruich.com | Hilo con 9 mensaje(s) citado(s); correo original de: SCTRSalud &lt;sctrsalud@mapfre.com.pe&gt;</t>
  </si>
  <si>
    <t>AAQkADdkNThjNzFkLWM0ZmMtNDJhYS04MDVlLTIwNzE4ZDI1Mzg4YgAQAI3yNV4E0rRGjfHu0c3gQvk=-20261014102626</t>
  </si>
  <si>
    <t>AAQkADdkNThjNzFkLWM0ZmMtNDJhYS04MDVlLTIwNzE4ZDI1Mzg4YgAQAI3yNV4E0rRGjfHu0c3gQvk=</t>
  </si>
  <si>
    <t>RV: ACTUALIZAR CG TIPO DE ATENCION / AGC / MAPFRE EPS / 29755138 / CALMET REBAZA, SONYI OSWALDO / 8868694</t>
  </si>
  <si>
    <t>Solicitante: siniestros_rh@mapfre.com.pe | Hilo con 3 mensaje(s) citado(s); correo original de: JOSE ALEJANDRO AYLLON MENESES &lt;jose.ayllon@auna.org&gt;</t>
  </si>
  <si>
    <t>AAQkADdkNThjNzFkLWM0ZmMtNDJhYS04MDVlLTIwNzE4ZDI1Mzg4YgAQAA1hSJoE1lhJoaEgKu7Q-14=-20261014102720</t>
  </si>
  <si>
    <t>AAQkADdkNThjNzFkLWM0ZmMtNDJhYS04MDVlLTIwNzE4ZDI1Mzg4YgAQAA1hSJoE1lhJoaEgKu7Q-14=</t>
  </si>
  <si>
    <t>RE: Solicitud de reembolso – Gastos médicos Clínica San Pedro de Huacho</t>
  </si>
  <si>
    <t>kariasc@san-fernando.com.pe</t>
  </si>
  <si>
    <t>Solicitante: kariasc@san-fernando.com.pe | Hilo con 1 mensaje(s) citado(s); correo original de: Katherine Alejandra Arias Contreras</t>
  </si>
  <si>
    <t>AAQkADdkNThjNzFkLWM0ZmMtNDJhYS04MDVlLTIwNzE4ZDI1Mzg4YgAQAH64cSplyu5MsAZg3MIsRmk=-20261014102733</t>
  </si>
  <si>
    <t>AAQkADdkNThjNzFkLWM0ZmMtNDJhYS04MDVlLTIwNzE4ZDI1Mzg4YgAQAH64cSplyu5MsAZg3MIsRmk=</t>
  </si>
  <si>
    <t>Fernandez Cubas, Antonella Jimena cargó archivos nuevos en tu solicitud para SOLICITUD DE INVESTIGACION A LINEA 24 / Pregunta</t>
  </si>
  <si>
    <t>no-reply@sharepointonline.com</t>
  </si>
  <si>
    <t>Solicitante: no-reply@sharepointonline.com</t>
  </si>
  <si>
    <t>AAQkADdkNThjNzFkLWM0ZmMtNDJhYS04MDVlLTIwNzE4ZDI1Mzg4YgAQAAxGG7oXhCVGksuqK8T6CPQ=-20261014103146</t>
  </si>
  <si>
    <t>AAQkADdkNThjNzFkLWM0ZmMtNDJhYS04MDVlLTIwNzE4ZDI1Mzg4YgAQAAxGG7oXhCVGksuqK8T6CPQ=</t>
  </si>
  <si>
    <t>INFORMACION : BUENOS DIAS SOY PAUL QUIPAS CASTILLO CON DNI 42987029 LES ESCRIBO PARA QUE PORFAVOR ME BRINDER INFORMACION DE PORQUE NO ACEPATAN EL 100 % DE APROBACION PARA LA OPERACION DE MI PADRE . MI PADRE YA CASI UN MES TUVO UN ACCIDENTE LABORAL SU N...</t>
  </si>
  <si>
    <t>paulquipas13@gmail.com</t>
  </si>
  <si>
    <t>Solicitante: paulquipas13@gmail.com</t>
  </si>
  <si>
    <t>AAQkADdkNThjNzFkLWM0ZmMtNDJhYS04MDVlLTIwNzE4ZDI1Mzg4YgAQAE_A9MMCRDRCkMwAicT0fSg=-20261014103604</t>
  </si>
  <si>
    <t>AAQkADdkNThjNzFkLWM0ZmMtNDJhYS04MDVlLTIwNzE4ZDI1Mzg4YgAQAE_A9MMCRDRCkMwAicT0fSg=</t>
  </si>
  <si>
    <t>RE: PERTIENENCIA MEDICA DE MEDICINA- Caso CENTENO MOYOPAZ JAVIER NILSON- SCTR SALUD MAPFRE- PROVEFABRICA DEL PERU</t>
  </si>
  <si>
    <t>cintya.romero@howdengroup.com</t>
  </si>
  <si>
    <t>Solicitante: cintya.romero@howdengroup.com | Hilo con 1 mensaje(s) citado(s); correo original de: Cintya Romero &lt;cintya.romero@howdengroup.com&gt;</t>
  </si>
  <si>
    <t>AAQkADdkNThjNzFkLWM0ZmMtNDJhYS04MDVlLTIwNzE4ZDI1Mzg4YgAQAOHvIhHsiYZKtwO_zPWj67A=-20261014103958</t>
  </si>
  <si>
    <t>AAQkADdkNThjNzFkLWM0ZmMtNDJhYS04MDVlLTIwNzE4ZDI1Mzg4YgAQAOHvIhHsiYZKtwO_zPWj67A=</t>
  </si>
  <si>
    <t>PAZ GUIDINO LENNER</t>
  </si>
  <si>
    <t>cuentas.estado6@arias.com.pe</t>
  </si>
  <si>
    <t>Solicitante: openar@atu.gob.pe | Hilo con 4 mensaje(s) citado(s); correo original de: Lenner Jesús Paz Ruiz lenner23.4@gmail.com</t>
  </si>
  <si>
    <t>AAQkADdkNThjNzFkLWM0ZmMtNDJhYS04MDVlLTIwNzE4ZDI1Mzg4YgAQALO9qEGSGCpIhy26bT3E4b8=-20261014103928</t>
  </si>
  <si>
    <t>AAQkADdkNThjNzFkLWM0ZmMtNDJhYS04MDVlLTIwNzE4ZDI1Mzg4YgAQALO9qEGSGCpIhy26bT3E4b8=</t>
  </si>
  <si>
    <t>RE: TREBOL | INFORMACIÓN DE BENEFICIOS Y DICTAMEN DE INVALIDEZ - GALAN SUPO</t>
  </si>
  <si>
    <t>celima.peru@lockton.com</t>
  </si>
  <si>
    <t>Percy López</t>
  </si>
  <si>
    <t>Solicitante: celima.peru@lockton.com | Hilo con 2 mensaje(s) citado(s); correo original de: Lockton Peru - Celima &lt;celima.peru@lockton.com&gt;</t>
  </si>
  <si>
    <t>AAQkADdkNThjNzFkLWM0ZmMtNDJhYS04MDVlLTIwNzE4ZDI1Mzg4YgAQAIvB6AQm-E9xtEkaIvzE608=-20261014103932</t>
  </si>
  <si>
    <t>AAQkADdkNThjNzFkLWM0ZmMtNDJhYS04MDVlLTIwNzE4ZDI1Mzg4YgAQAIvB6AQm-E9xtEkaIvzE608=</t>
  </si>
  <si>
    <t xml:space="preserve">ESTADO DE CARTA DE GARANTÍA | SERRANO ÑAHIU RAUL 47645156 | MINERA TAURO </t>
  </si>
  <si>
    <t>cypila1@mapfre.com.pe</t>
  </si>
  <si>
    <t>lkcald1@mapfre.com.pe</t>
  </si>
  <si>
    <t>Solicitante: gianella_gonzales@ajg.com</t>
  </si>
  <si>
    <t>AAQkADdkNThjNzFkLWM0ZmMtNDJhYS04MDVlLTIwNzE4ZDI1Mzg4YgAQALL3o2k1W_9Ptvv_EmM_NyU=-20261014103942</t>
  </si>
  <si>
    <t>AAQkADdkNThjNzFkLWM0ZmMtNDJhYS04MDVlLTIwNzE4ZDI1Mzg4YgAQALL3o2k1W_9Ptvv_EmM_NyU=</t>
  </si>
  <si>
    <t>RE: SINIESTRO SCTR SALUD - STEVEN ELIHU  HERRERA ARROYO - CODIGO ROJO TECH SECURITY S.A.C.</t>
  </si>
  <si>
    <t>extanvil@mapfre.com.pe</t>
  </si>
  <si>
    <t>Solicitante: mgraziani@cuidarte.pe | Hilo con 9 mensaje(s) citado(s); correo original de: SCTRSalud &lt;sctrsalud@mapfre.com.pe&gt;</t>
  </si>
  <si>
    <t>AAQkADdkNThjNzFkLWM0ZmMtNDJhYS04MDVlLTIwNzE4ZDI1Mzg4YgAQAJwigJ0q3k4ZjVQdEmuHj7M=-20261014104040</t>
  </si>
  <si>
    <t>AAQkADdkNThjNzFkLWM0ZmMtNDJhYS04MDVlLTIwNzE4ZDI1Mzg4YgAQAJwigJ0q3k4ZjVQdEmuHj7M=</t>
  </si>
  <si>
    <t>CERCADO DE LA CRUZ MERLY MARIBEL</t>
  </si>
  <si>
    <t>Solicitante: openar@atu.gob.pe | Hilo con 9 mensaje(s) citado(s); correo original de: Olga Rosario Emilia Peña Romero &lt;openar@atu.gob.pe&gt;</t>
  </si>
  <si>
    <t>AAQkADdkNThjNzFkLWM0ZmMtNDJhYS04MDVlLTIwNzE4ZDI1Mzg4YgAQAMmDajiwogdEh8WgvL-5tZk=-20261014104240</t>
  </si>
  <si>
    <t>AAQkADdkNThjNzFkLWM0ZmMtNDJhYS04MDVlLTIwNzE4ZDI1Mzg4YgAQAMmDajiwogdEh8WgvL-5tZk=</t>
  </si>
  <si>
    <t>REFERENCIA ACCIDENTE DE TRABAJO - ROJAS CARDENAS, JESUS URBANO</t>
  </si>
  <si>
    <t>gianella_gonzales@ajg.com</t>
  </si>
  <si>
    <t>Solicitante: gianella_gonzales@ajg.com | Hilo con 3 mensaje(s) citado(s); correo original de: BIENESTAR SOCIAL ALFA &lt;bienestarsocialalfa@gmail.com&gt;</t>
  </si>
  <si>
    <t>AAQkADdkNThjNzFkLWM0ZmMtNDJhYS04MDVlLTIwNzE4ZDI1Mzg4YgAQAB1OTfgMEpxMoinX_AVeyyw=-20261014104846</t>
  </si>
  <si>
    <t>AAQkADdkNThjNzFkLWM0ZmMtNDJhYS04MDVlLTIwNzE4ZDI1Mzg4YgAQAB1OTfgMEpxMoinX_AVeyyw=</t>
  </si>
  <si>
    <t xml:space="preserve">RV: Documentos dejados en oficina // Formato 1 // William Chura Huayllani // Víctor Adolfo Zambrano Jove // Cerro Verde </t>
  </si>
  <si>
    <t>siniestros_rh@mapfre.com.pe</t>
  </si>
  <si>
    <t>Solicitante: siniestros_rh@mapfre.com.pe | Hilo con 1 mensaje(s) citado(s); correo original de: Cardenas Castillo, Ana Cecilia</t>
  </si>
  <si>
    <t>AAQkADdkNThjNzFkLWM0ZmMtNDJhYS04MDVlLTIwNzE4ZDI1Mzg4YgAQAFqluvAzANhPi4RMhuaVo_k=-20261014104829</t>
  </si>
  <si>
    <t>AAQkADdkNThjNzFkLWM0ZmMtNDJhYS04MDVlLTIwNzE4ZDI1Mzg4YgAQAFqluvAzANhPi4RMhuaVo_k=</t>
  </si>
  <si>
    <t>REFERENCIA ACCIDENTE DE TRABAJO - AMARILLO CAMARGO, ABEL</t>
  </si>
  <si>
    <t>Solicitante: gianella_gonzales@ajg.com | Hilo con 2 mensaje(s) citado(s); correo original de: BIENESTAR SOCIAL ALFA &lt;bienestarsocialalfa@gmail.com&gt;</t>
  </si>
  <si>
    <t>AAQkADdkNThjNzFkLWM0ZmMtNDJhYS04MDVlLTIwNzE4ZDI1Mzg4YgAQADomMwfTJglDpp-A70H3qnc=-20261014105703</t>
  </si>
  <si>
    <t>AAQkADdkNThjNzFkLWM0ZmMtNDJhYS04MDVlLTIwNzE4ZDI1Mzg4YgAQADomMwfTJglDpp-A70H3qnc=</t>
  </si>
  <si>
    <t>CARTA DE GARANTIA_ SINIESTRO SCTR -  CARI ROJAS JOSE - SUPERDEPORTE PLUS PERU S.A.C.</t>
  </si>
  <si>
    <t>wguevara@gabel.com.pe</t>
  </si>
  <si>
    <t>Solicitante: wguevara@gabel.com.pe | Hilo con 5 mensaje(s) citado(s); correo original de: Wendolly Guevara López &lt;wguevara@gabel.com.pe&gt;</t>
  </si>
  <si>
    <t>AAQkADdkNThjNzFkLWM0ZmMtNDJhYS04MDVlLTIwNzE4ZDI1Mzg4YgAQAAgXrHQpCa5ItsdqilohvB0=-20261014105812</t>
  </si>
  <si>
    <t>AAQkADdkNThjNzFkLWM0ZmMtNDJhYS04MDVlLTIwNzE4ZDI1Mzg4YgAQAAgXrHQpCa5ItsdqilohvB0=</t>
  </si>
  <si>
    <t>RE: INFORME MEDICO PARA PROTESIS ÑAHUI QUISPE</t>
  </si>
  <si>
    <t>Solicitante: extanvil@mapfre.com.pe | Hilo con 3 mensaje(s) citado(s); correo original de: luis miguel farro uceda &lt;lufarro@yahoo.es&gt; | Llegó con el hilo ya respondido</t>
  </si>
  <si>
    <t>AAQkADdkNThjNzFkLWM0ZmMtNDJhYS04MDVlLTIwNzE4ZDI1Mzg4YgAQANLLN4K4VDhGrkhO4n7rkSs=-20261014105851</t>
  </si>
  <si>
    <t>AAQkADdkNThjNzFkLWM0ZmMtNDJhYS04MDVlLTIwNzE4ZDI1Mzg4YgAQANLLN4K4VDhGrkhO4n7rkSs=</t>
  </si>
  <si>
    <t>Re:      URGENTE Christopher Vicuña // Marcan Ingenieros S.A</t>
  </si>
  <si>
    <t>apluisa@mapfre.com.pe</t>
  </si>
  <si>
    <t>Luis Aviles</t>
  </si>
  <si>
    <t>Solicitante: edwin.valentin@peralbe.com</t>
  </si>
  <si>
    <t>AAQkADdkNThjNzFkLWM0ZmMtNDJhYS04MDVlLTIwNzE4ZDI1Mzg4YgAQABv6WqFfLIZMpmfWCjI_J9k=-20261014110045</t>
  </si>
  <si>
    <t>AAQkADdkNThjNzFkLWM0ZmMtNDJhYS04MDVlLTIwNzE4ZDI1Mzg4YgAQABv6WqFfLIZMpmfWCjI_J9k=</t>
  </si>
  <si>
    <t>RE: SOLICITUD DE EVALUACIÓN INTEGRAL - ACCIDENTE DE TRABAJO DANIEL RUIZ BRUNO - PÓLIZA 7012600003193</t>
  </si>
  <si>
    <t>Solicitante: extanvil@mapfre.com.pe | Hilo con 9 mensaje(s) citado(s); correo original de: CUATRO MOLINOS SAC &lt;cuatromolinossac@gmail.com&gt; | Llegó con el hilo ya respondido</t>
  </si>
  <si>
    <t>AAQkADdkNThjNzFkLWM0ZmMtNDJhYS04MDVlLTIwNzE4ZDI1Mzg4YgAQAM_IQ0PkHdtJhS5hGOI6MNY=-20261014110903</t>
  </si>
  <si>
    <t>AAQkADdkNThjNzFkLWM0ZmMtNDJhYS04MDVlLTIwNzE4ZDI1Mzg4YgAQAM_IQ0PkHdtJhS5hGOI6MNY=</t>
  </si>
  <si>
    <t>PROCURADOR SCTR / CASO: 89557742</t>
  </si>
  <si>
    <t>ydiazur@crm.mapfre.com</t>
  </si>
  <si>
    <t>Solicitante: ydiazur@crm.mapfre.com</t>
  </si>
  <si>
    <t>AAQkADdkNThjNzFkLWM0ZmMtNDJhYS04MDVlLTIwNzE4ZDI1Mzg4YgAQAE_2sgtnH3RMopgowMh_FZ4=-20261014110954</t>
  </si>
  <si>
    <t>AAQkADdkNThjNzFkLWM0ZmMtNDJhYS04MDVlLTIwNzE4ZDI1Mzg4YgAQAE_2sgtnH3RMopgowMh_FZ4=</t>
  </si>
  <si>
    <t>RE: DCR MINERIA Y CONSTRUCCION / SCTR SALUD / SOLICITO MEDICAMENTO / ASEG: MEZA AYQUIPA MAXIMILIANO / AT. 21.09.2026</t>
  </si>
  <si>
    <t>cgdanit@mapfre.com.pe</t>
  </si>
  <si>
    <t>Danitza Cabrera Gutiérrez</t>
  </si>
  <si>
    <t>Solicitante: kttito@consejeros.com.pe | Hilo con 3 mensaje(s) citado(s); correo original de: Karen Matto Loayza &lt;kmatto@consejeros.com.pe&gt;</t>
  </si>
  <si>
    <t>AAQkADdkNThjNzFkLWM0ZmMtNDJhYS04MDVlLTIwNzE4ZDI1Mzg4YgAQAAgXrHQpCa5ItsdqilohvB0=-20261014111658</t>
  </si>
  <si>
    <t>gladysgiron@ortopediawong.pe</t>
  </si>
  <si>
    <t>Solicitante: gladysgiron@ortopediawong.pe | Nuevo mensaje en una conversación ya finalizada</t>
  </si>
  <si>
    <t>AAQkADdkNThjNzFkLWM0ZmMtNDJhYS04MDVlLTIwNzE4ZDI1Mzg4YgAQANlYKnbsqIxMnnBlBbkbizc=-20261014111844</t>
  </si>
  <si>
    <t>AAQkADdkNThjNzFkLWM0ZmMtNDJhYS04MDVlLTIwNzE4ZDI1Mzg4YgAQANlYKnbsqIxMnnBlBbkbizc=</t>
  </si>
  <si>
    <t>INGRESO DEL POWER</t>
  </si>
  <si>
    <t>Solicitante: gestionalpaciente_sanmiguel@mapfre.com.pe</t>
  </si>
  <si>
    <t>AAQkADdkNThjNzFkLWM0ZmMtNDJhYS04MDVlLTIwNzE4ZDI1Mzg4YgAQAAez1Iq0qdtLmS33T9NL7I0=-20261014112736</t>
  </si>
  <si>
    <t>AAQkADdkNThjNzFkLWM0ZmMtNDJhYS04MDVlLTIwNzE4ZDI1Mzg4YgAQAAez1Iq0qdtLmS33T9NL7I0=</t>
  </si>
  <si>
    <t>RE: SUTRAN || SCTR SALUD 7022600006428 | ASEG. JOSE LUIS YUCRA DNI 45345053 | MEDICAMENTOS NO ENTREGADOS | ATENCION 22.09</t>
  </si>
  <si>
    <t>Alexandra Córdova Y</t>
  </si>
  <si>
    <t>Solicitante: mobregon@sifuentesolaechea.com.pe | Hilo con 4 mensaje(s) citado(s); correo original de: MARIA LUCERO OBREGON RAMOS &lt;mobregon@sifuentesolaechea.com.pe&gt;</t>
  </si>
  <si>
    <t>AAQkADdkNThjNzFkLWM0ZmMtNDJhYS04MDVlLTIwNzE4ZDI1Mzg4YgAQAAl41asTPrZJs4KsL6YPKYk=-20261014112925</t>
  </si>
  <si>
    <t>AAQkADdkNThjNzFkLWM0ZmMtNDJhYS04MDVlLTIwNzE4ZDI1Mzg4YgAQAAl41asTPrZJs4KsL6YPKYk=</t>
  </si>
  <si>
    <t>RE: ACTIVACIÓN DE COBERTURA SCTR | AS. PORTAL LORETO SALVADOR FRANCISCO CEX 002713011</t>
  </si>
  <si>
    <t>kmarcee@mapfre.com.pe</t>
  </si>
  <si>
    <t>Marco Gómez</t>
  </si>
  <si>
    <t>Solicitante: mgomez@blcorredoresdeseguros.com | Hilo con 1 mensaje(s) citado(s); correo original de: Marco Gomez &lt;mgomez@blcorredoresdeseguros.com&gt;</t>
  </si>
  <si>
    <t>AAQkADdkNThjNzFkLWM0ZmMtNDJhYS04MDVlLTIwNzE4ZDI1Mzg4YgAQAHRQ7zN0jAtDvJonAiP9Z9g=-20261014113816</t>
  </si>
  <si>
    <t>AAQkADdkNThjNzFkLWM0ZmMtNDJhYS04MDVlLTIwNzE4ZDI1Mzg4YgAQAHRQ7zN0jAtDvJonAiP9Z9g=</t>
  </si>
  <si>
    <t>Respuesta automática: HUARON - MAPFRE SCTR SALUD - YERSON JHONEL ÑAHUI WUISPE  - ORDEN DE PRÓTESIS</t>
  </si>
  <si>
    <t>flor_gamboa@ajg.com</t>
  </si>
  <si>
    <t>Solicitante: aromero@mapfre.com.pe</t>
  </si>
  <si>
    <t>AAQkADdkNThjNzFkLWM0ZmMtNDJhYS04MDVlLTIwNzE4ZDI1Mzg4YgAQAHkUnG7w7l1FmPpDHiG-RMc=-20261014114302</t>
  </si>
  <si>
    <t>AAQkADdkNThjNzFkLWM0ZmMtNDJhYS04MDVlLTIwNzE4ZDI1Mzg4YgAQAHkUnG7w7l1FmPpDHiG-RMc=</t>
  </si>
  <si>
    <t>RE: SUTRAN - POLIZA SCTR: ASEGURADO YUCRA QUICAÑO JOSE LUIS &gt;&gt; REEMBOLSO PROCEDIMIENTO LASER CO2</t>
  </si>
  <si>
    <t>Solicitante: mobregon@sifuentesolaechea.com.pe | Hilo con 6 mensaje(s) citado(s); correo original de: Diana Espinoza &lt;despinoza@sifuentesolaechea.com.pe&gt;</t>
  </si>
  <si>
    <t>AAQkADdkNThjNzFkLWM0ZmMtNDJhYS04MDVlLTIwNzE4ZDI1Mzg4YgAQACiOxh2RIeRImDOLRbOT260=-20261014114252</t>
  </si>
  <si>
    <t>AAQkADdkNThjNzFkLWM0ZmMtNDJhYS04MDVlLTIwNzE4ZDI1Mzg4YgAQACiOxh2RIeRImDOLRbOT260=</t>
  </si>
  <si>
    <t>Seguimiento de salud - Varillas Cierto, Cesar Walabonzo- Eficacia Perú</t>
  </si>
  <si>
    <t>riesgos.humanos4@arias.com.pe</t>
  </si>
  <si>
    <t>Solicitante: riesgos.humanos4@arias.com.pe</t>
  </si>
  <si>
    <t>AAQkADdkNThjNzFkLWM0ZmMtNDJhYS04MDVlLTIwNzE4ZDI1Mzg4YgAQAKtpEfnG3k8aqwF8aUCClyM=-20261014114403</t>
  </si>
  <si>
    <t>AAQkADdkNThjNzFkLWM0ZmMtNDJhYS04MDVlLTIwNzE4ZDI1Mzg4YgAQAKtpEfnG3k8aqwF8aUCClyM=</t>
  </si>
  <si>
    <t>CONSULTA DE ATENCION SCTR SALUD - ASEG ALEXIS KEVIN SANCHEZ ESPINOZA - SRES SHALOM EMPRESARIAL SAC</t>
  </si>
  <si>
    <t>Solicitante: jcastaneda@accionseguros.net</t>
  </si>
  <si>
    <t>AAQkADdkNThjNzFkLWM0ZmMtNDJhYS04MDVlLTIwNzE4ZDI1Mzg4YgAQAHuX3U1Z0u9Mg94rgXMLoiE=-20261014114726</t>
  </si>
  <si>
    <t>AAQkADdkNThjNzFkLWM0ZmMtNDJhYS04MDVlLTIwNzE4ZDI1Mzg4YgAQAHuX3U1Z0u9Mg94rgXMLoiE=</t>
  </si>
  <si>
    <t>RE: COBERTURA DE INSUMO ASEG. JOSE DAVID FLORES ONOFRE - PRODUCTOS PARAISO DEL PERU</t>
  </si>
  <si>
    <t>Solicitante: cypila1@mapfre.com.pe | Hilo con 1 mensaje(s) citado(s); correo original de: Liliana Chacon Soto &lt;lchacon@gabel.com.pe&gt; | Llegó con el hilo ya respondido</t>
  </si>
  <si>
    <t>AAQkADdkNThjNzFkLWM0ZmMtNDJhYS04MDVlLTIwNzE4ZDI1Mzg4YgAQANFVzywTV02QnLrWMLs850s=-20261014114940</t>
  </si>
  <si>
    <t>AAQkADdkNThjNzFkLWM0ZmMtNDJhYS04MDVlLTIwNzE4ZDI1Mzg4YgAQANFVzywTV02QnLrWMLs850s=</t>
  </si>
  <si>
    <t>RE: SCTR : Consulta cobertura - Efectos FENOMENO DEL NIÑO</t>
  </si>
  <si>
    <t>jsplav1@mapfre.com.pe</t>
  </si>
  <si>
    <t>Jessica Lavanda</t>
  </si>
  <si>
    <t>Solicitante: jsplav1@mapfre.com.pe | Hilo con 1 mensaje(s) citado(s); correo original de: Garcia, William &lt;William.Garcia@marsh.com&gt; | Llegó con el hilo ya respondido</t>
  </si>
  <si>
    <t>AAQkADdkNThjNzFkLWM0ZmMtNDJhYS04MDVlLTIwNzE4ZDI1Mzg4YgAQANFVzywTV02QnLrWMLs850s=-20261014115025</t>
  </si>
  <si>
    <t>Solicitante: jsplav1@mapfre.com.pe | Nuevo mensaje en una conversación ya finalizada</t>
  </si>
  <si>
    <t>AAQkADdkNThjNzFkLWM0ZmMtNDJhYS04MDVlLTIwNzE4ZDI1Mzg4YgAQAHWOV-Pl7JNPh4nQFMfyNks=-20261014115544</t>
  </si>
  <si>
    <t>AAQkADdkNThjNzFkLWM0ZmMtNDJhYS04MDVlLTIwNzE4ZDI1Mzg4YgAQAHWOV-Pl7JNPh4nQFMfyNks=</t>
  </si>
  <si>
    <t>SOLICITUD DE PROTESIS TRABAJADOR EMPRESA SAN DIEGO</t>
  </si>
  <si>
    <t>dibarce@mapfre.com.pe</t>
  </si>
  <si>
    <t>Solicitante: dibarce@mapfre.com.pe</t>
  </si>
  <si>
    <t>AAQkADdkNThjNzFkLWM0ZmMtNDJhYS04MDVlLTIwNzE4ZDI1Mzg4YgAQAEV1MieBe0Wvroz_9cqOHs4=-20261014115545</t>
  </si>
  <si>
    <t>mariaf@fyfdaruich.com</t>
  </si>
  <si>
    <t>AAQkADdkNThjNzFkLWM0ZmMtNDJhYS04MDVlLTIwNzE4ZDI1Mzg4YgAQAI9J_udwUOxAmW8FPQuP2nE=-20261014115609</t>
  </si>
  <si>
    <t>AAQkADdkNThjNzFkLWM0ZmMtNDJhYS04MDVlLTIwNzE4ZDI1Mzg4YgAQAI9J_udwUOxAmW8FPQuP2nE=</t>
  </si>
  <si>
    <t>RE: SUBSANAR OBSERVACION DE CG - ACCIDENTE SCTR - ASG PAMPA ARI KARINA ROCIO -  TRANSPORTES CRUZ DEL SUR</t>
  </si>
  <si>
    <t>rosario.rodas@howdengroup.com</t>
  </si>
  <si>
    <t>Solicitante: rosario.rodas@howdengroup.com | Hilo con 8 mensaje(s) citado(s); correo original de: Johanna Garcia &lt;johanna.garciaS@howdengroup.com&gt;</t>
  </si>
  <si>
    <t>AAQkADdkNThjNzFkLWM0ZmMtNDJhYS04MDVlLTIwNzE4ZDI1Mzg4YgAQACbUozfmgZ1Ioeq6f_3xRaI=-20261014120123</t>
  </si>
  <si>
    <t>AAQkADdkNThjNzFkLWM0ZmMtNDJhYS04MDVlLTIwNzE4ZDI1Mzg4YgAQACbUozfmgZ1Ioeq6f_3xRaI=</t>
  </si>
  <si>
    <t>MATERIAL ORTOPEDICO CABESTRILLO // PX BRAVO TORRES CESAR NICK // MAPFRE SCTR</t>
  </si>
  <si>
    <t>rroja@sanpablo.com.pe</t>
  </si>
  <si>
    <t>Solicitante: rroja@sanpablo.com.pe</t>
  </si>
  <si>
    <t>AAQkADdkNThjNzFkLWM0ZmMtNDJhYS04MDVlLTIwNzE4ZDI1Mzg4YgAQAOvHlJQx_vtGhqjGiMveI2g=-20261014120014</t>
  </si>
  <si>
    <t>AAQkADdkNThjNzFkLWM0ZmMtNDJhYS04MDVlLTIwNzE4ZDI1Mzg4YgAQAOvHlJQx_vtGhqjGiMveI2g=</t>
  </si>
  <si>
    <t>Re: ACTIVACIÓN SCTR - CONTRATANTE: GEODESIA PERUANA SAC - ASEGURADO: VASQUEZ CACHAY PERCY JULHINIO</t>
  </si>
  <si>
    <t>Antonella Fernandez</t>
  </si>
  <si>
    <t>Solicitante: evelynreano@tas.pe</t>
  </si>
  <si>
    <t>AAQkADdkNThjNzFkLWM0ZmMtNDJhYS04MDVlLTIwNzE4ZDI1Mzg4YgAQACkJgn_UwtVOuZeX-Oid8es=-20261014121831</t>
  </si>
  <si>
    <t>AAQkADdkNThjNzFkLWM0ZmMtNDJhYS04MDVlLTIwNzE4ZDI1Mzg4YgAQACkJgn_UwtVOuZeX-Oid8es=</t>
  </si>
  <si>
    <t>SOLICITUD DE PASE PARA TRABAJADOR DE LA EMPRESA JAGUAR ECOSYSTEM</t>
  </si>
  <si>
    <t>AAQkADdkNThjNzFkLWM0ZmMtNDJhYS04MDVlLTIwNzE4ZDI1Mzg4YgAQAKq89i0b0g5AmYDsE_nJldQ=-20261014122211</t>
  </si>
  <si>
    <t>AAQkADdkNThjNzFkLWM0ZmMtNDJhYS04MDVlLTIwNzE4ZDI1Mzg4YgAQAKq89i0b0g5AmYDsE_nJldQ=</t>
  </si>
  <si>
    <t>INGREO AL POWER</t>
  </si>
  <si>
    <t>gestionalpaciente_sanmiguel@mapfre.com.pe</t>
  </si>
  <si>
    <t>AAQkADdkNThjNzFkLWM0ZmMtNDJhYS04MDVlLTIwNzE4ZDI1Mzg4YgAQAOjMWBen3v1AnPV8J04RUso=-20261014122348</t>
  </si>
  <si>
    <t>AAQkADdkNThjNzFkLWM0ZmMtNDJhYS04MDVlLTIwNzE4ZDI1Mzg4YgAQAOjMWBen3v1AnPV8J04RUso=</t>
  </si>
  <si>
    <t xml:space="preserve">RE: COSTA DEL SOL: PASE DE ATENCION / SCTR SALUD / CLINICA BELLAVISTA / ASEGURADA: Valeria Priscilla Ruiz Huaranca </t>
  </si>
  <si>
    <t>Solicitante: kmateo@asisteseguros.pe | Hilo con 6 mensaje(s) citado(s); correo original de: Karyn Mateo &lt;kmateo@asisteseguros.pe&gt;</t>
  </si>
  <si>
    <t>AAQkADdkNThjNzFkLWM0ZmMtNDJhYS04MDVlLTIwNzE4ZDI1Mzg4YgAQAHUL3lsl5ORPuwIMqDM_rpA=-20261014122847</t>
  </si>
  <si>
    <t>AAQkADdkNThjNzFkLWM0ZmMtNDJhYS04MDVlLTIwNzE4ZDI1Mzg4YgAQAHUL3lsl5ORPuwIMqDM_rpA=</t>
  </si>
  <si>
    <t>RE: GoodYear - SCTR Salud - Accidente con Quemadura - C. San Gabriel</t>
  </si>
  <si>
    <t>Carmen Acosta C</t>
  </si>
  <si>
    <t>Solicitante: andrea.solismaraboli@marsh.com</t>
  </si>
  <si>
    <t>AAQkADdkNThjNzFkLWM0ZmMtNDJhYS04MDVlLTIwNzE4ZDI1Mzg4YgAQAAVWpVBjSUh6k7n-Bj-vb2U=-20261014123526</t>
  </si>
  <si>
    <t>AAQkADdkNThjNzFkLWM0ZmMtNDJhYS04MDVlLTIwNzE4ZDI1Mzg4YgAQAAVWpVBjSUh6k7n-Bj-vb2U=</t>
  </si>
  <si>
    <t>RE: CELIMA 2 | REVISION COBERTURA SCTR - ANA MONTENEGRO CARRION</t>
  </si>
  <si>
    <t>Solicitante: celima.peru@lockton.com | Hilo con 4 mensaje(s) citado(s); correo original de: Lockton Peru - Celima &lt;celima.peru@lockton.com&gt;</t>
  </si>
  <si>
    <t>AAQkADdkNThjNzFkLWM0ZmMtNDJhYS04MDVlLTIwNzE4ZDI1Mzg4YgAQAHAPxlFqcWFFnv6Rz8nnjRA=-20261014123639</t>
  </si>
  <si>
    <t>AAQkADdkNThjNzFkLWM0ZmMtNDJhYS04MDVlLTIwNzE4ZDI1Mzg4YgAQAHAPxlFqcWFFnv6Rz8nnjRA=</t>
  </si>
  <si>
    <t>REQUERIMIENTO DE INFORMACION ACCIDENTE OCURRIDO AL TRABAJADOR VASQUEZ BENITES FRED</t>
  </si>
  <si>
    <t>agarcia@linea24peru.com.pe</t>
  </si>
  <si>
    <t>Solicitante: agarcia@linea24peru.com.pe</t>
  </si>
  <si>
    <t>AAQkADdkNThjNzFkLWM0ZmMtNDJhYS04MDVlLTIwNzE4ZDI1Mzg4YgAQAJFxSfNv0stPjwHoHXni6eY=-20261014124216</t>
  </si>
  <si>
    <t>AAQkADdkNThjNzFkLWM0ZmMtNDJhYS04MDVlLTIwNzE4ZDI1Mzg4YgAQAJFxSfNv0stPjwHoHXni6eY=</t>
  </si>
  <si>
    <t>RV: TREBOL | REVISION DE CONTINUIDAD DE ATENCION SCTR - ABOLLANEDA TAIPE RONY ANIBAL</t>
  </si>
  <si>
    <t>Solicitante: celima.peru@lockton.com</t>
  </si>
  <si>
    <t>AAQkADdkNThjNzFkLWM0ZmMtNDJhYS04MDVlLTIwNzE4ZDI1Mzg4YgAQAI7hflHYazpEhoEjDWt5TNE=-20261014124734</t>
  </si>
  <si>
    <t>AAQkADdkNThjNzFkLWM0ZmMtNDJhYS04MDVlLTIwNzE4ZDI1Mzg4YgAQAI7hflHYazpEhoEjDWt5TNE=</t>
  </si>
  <si>
    <t>AAQkADdkNThjNzFkLWM0ZmMtNDJhYS04MDVlLTIwNzE4ZDI1Mzg4YgAQALTeVOyp1ahOhiKGTzU2m5A=-20261014124835</t>
  </si>
  <si>
    <t>AAQkADdkNThjNzFkLWM0ZmMtNDJhYS04MDVlLTIwNzE4ZDI1Mzg4YgAQALTeVOyp1ahOhiKGTzU2m5A=</t>
  </si>
  <si>
    <t>AAQkADdkNThjNzFkLWM0ZmMtNDJhYS04MDVlLTIwNzE4ZDI1Mzg4YgAQAAdYpkB5WWVLrAmnDukb_dg=-20261014125054</t>
  </si>
  <si>
    <t>AAQkADdkNThjNzFkLWM0ZmMtNDJhYS04MDVlLTIwNzE4ZDI1Mzg4YgAQAAdYpkB5WWVLrAmnDukb_dg=</t>
  </si>
  <si>
    <t>Fw: Solicitud de formatos SCTR de atención médica</t>
  </si>
  <si>
    <t>aabuhadba@mapfre.com.pe</t>
  </si>
  <si>
    <t>Solicitante: aabuhadba@mapfre.com.pe | Hilo con 1 mensaje(s) citado(s); correo original de: TRAIMMSA RRHH &lt;traimmsarrhh@gmail.com&gt;</t>
  </si>
  <si>
    <t>AAQkADdkNThjNzFkLWM0ZmMtNDJhYS04MDVlLTIwNzE4ZDI1Mzg4YgAQAMF9NAkqGkUGk-ZU7UmRmIc=-20261014125213</t>
  </si>
  <si>
    <t>AAQkADdkNThjNzFkLWM0ZmMtNDJhYS04MDVlLTIwNzE4ZDI1Mzg4YgAQAMF9NAkqGkUGk-ZU7UmRmIc=</t>
  </si>
  <si>
    <t>GARANTIA - RAMOS G</t>
  </si>
  <si>
    <t>Danitza Cabrera Gutiérrez</t>
  </si>
  <si>
    <t>Solicitante: mmontoya@clinica-sanbernardo.com</t>
  </si>
  <si>
    <t>AAQkADdkNThjNzFkLWM0ZmMtNDJhYS04MDVlLTIwNzE4ZDI1Mzg4YgAQAE0BlT6FNkR8sB2lHOtTGbs=-20261014125151</t>
  </si>
  <si>
    <t>AAQkADdkNThjNzFkLWM0ZmMtNDJhYS04MDVlLTIwNzE4ZDI1Mzg4YgAQAE0BlT6FNkR8sB2lHOtTGbs=</t>
  </si>
  <si>
    <t>Re: DERIVAR ORDEN PACTE. CASANA VILCA , ERICA ESTER / MAPFRE SCTR</t>
  </si>
  <si>
    <t>cmcami1@mapfre.com.pe</t>
  </si>
  <si>
    <t>Camila Cisneros Mantilla</t>
  </si>
  <si>
    <t>Solicitante: cmcami1@mapfre.com.pe | Hilo con 1 mensaje(s) citado(s); correo original de: Supervisora de Convenio - Surco &lt;admconv_sup_surco@clubdelasalud.pe&gt; | Llegó con el hilo ya respondido</t>
  </si>
  <si>
    <t>AAQkADdkNThjNzFkLWM0ZmMtNDJhYS04MDVlLTIwNzE4ZDI1Mzg4YgAQAJxapqZDCW1Pj7xY01Bz7ZQ=-20261014125516</t>
  </si>
  <si>
    <t>AAQkADdkNThjNzFkLWM0ZmMtNDJhYS04MDVlLTIwNzE4ZDI1Mzg4YgAQAJxapqZDCW1Pj7xY01Bz7ZQ=</t>
  </si>
  <si>
    <t>Re: Re:</t>
  </si>
  <si>
    <t>Solicitante: juancarlosdurandgomez@gmail.com | Hilo con 1 mensaje(s) citado(s); correo original de: Juan Carlos Durand Gomez &lt;juancarlosdurandgomez@gmail.com&gt;</t>
  </si>
  <si>
    <t>AAQkADdkNThjNzFkLWM0ZmMtNDJhYS04MDVlLTIwNzE4ZDI1Mzg4YgAQADfMp533ZMtMs4VW-o4YLz4=-20261014125527</t>
  </si>
  <si>
    <t>AAQkADdkNThjNzFkLWM0ZmMtNDJhYS04MDVlLTIwNzE4ZDI1Mzg4YgAQADfMp533ZMtMs4VW-o4YLz4=</t>
  </si>
  <si>
    <t>RE: SOLICITO REVISIÓN  Y EVALUACION  DE RECHAZO -  ASEG. CHERO ALARCON LUZ ANGELICA</t>
  </si>
  <si>
    <t>Solicitante: amriva1@mapfre.com.pe | Hilo con 3 mensaje(s) citado(s); correo original de: Rivas Cobeñas, Ana Maria &lt;AMRIVA1@mapfre.com.pe&gt;</t>
  </si>
  <si>
    <t>AAQkADdkNThjNzFkLWM0ZmMtNDJhYS04MDVlLTIwNzE4ZDI1Mzg4YgAQADGdDgduEkm6l_4p2MNCZ6s=-20261014130354</t>
  </si>
  <si>
    <t>AAQkADdkNThjNzFkLWM0ZmMtNDJhYS04MDVlLTIwNzE4ZDI1Mzg4YgAQADGdDgduEkm6l_4p2MNCZ6s=</t>
  </si>
  <si>
    <t>REPORTE DE ACCIDENTE DE TRABAJO CON ACTIVACIÓN DE SOAT _ DANIEL PETER DEJO TORIBIO _ DNI 40883242 _ COBRA PERU S.A. _ RUC 20253881438</t>
  </si>
  <si>
    <t>jyzquierdo@gabel.com.pe</t>
  </si>
  <si>
    <t>Solicitante: jyzquierdo@gabel.com.pe</t>
  </si>
  <si>
    <t>AAQkADdkNThjNzFkLWM0ZmMtNDJhYS04MDVlLTIwNzE4ZDI1Mzg4YgAQAEQ6XToCu0r9pUuAEqE3D6s=-20261014130741</t>
  </si>
  <si>
    <t>AAQkADdkNThjNzFkLWM0ZmMtNDJhYS04MDVlLTIwNzE4ZDI1Mzg4YgAQAEQ6XToCu0r9pUuAEqE3D6s=</t>
  </si>
  <si>
    <t xml:space="preserve">RE: TRANSAGUI CORP  : ACTIVACION POLIZA SCTR | TT. LOPEZ AYALA CEFERINO SEGUNDO  | MAPFRE SEGUROS </t>
  </si>
  <si>
    <t>sheylan@mapfre.com.pe</t>
  </si>
  <si>
    <t>Solicitante: sheylan@mapfre.com.pe | Hilo con 11 mensaje(s) citado(s); correo original de: recursoshumanos@transagui.com &lt;recursoshumanos@transagui.com&gt; | Llegó con el hilo ya respondido</t>
  </si>
  <si>
    <t>AAQkADdkNThjNzFkLWM0ZmMtNDJhYS04MDVlLTIwNzE4ZDI1Mzg4YgAQAD--_ocADrRBsVSBX02o3eA=-20261014130950</t>
  </si>
  <si>
    <t>AAQkADdkNThjNzFkLWM0ZmMtNDJhYS04MDVlLTIwNzE4ZDI1Mzg4YgAQAD--_ocADrRBsVSBX02o3eA=</t>
  </si>
  <si>
    <t>PCTE. CABALLERO MEDINA ADAN*******RMN MUÑECA DERECHA*******MAPFRE SCTR</t>
  </si>
  <si>
    <t>Solicitante: tramitestomomedicjn@sanpablo.com.pe</t>
  </si>
  <si>
    <t>AAQkADdkNThjNzFkLWM0ZmMtNDJhYS04MDVlLTIwNzE4ZDI1Mzg4YgAQAJcXcCYiSgVBnoJEWxHJa0s=-20261014131216</t>
  </si>
  <si>
    <t>RE: SOLICITO APOYO PARA OBTENCIÓN  DE FERULA  -PCTE. BERRIOS TAUCCAYA PASCUAL DAVID</t>
  </si>
  <si>
    <t>Solicitante: cgarantias@santafeortopedia.com | Nuevo mensaje en una conversación ya finalizada</t>
  </si>
  <si>
    <t>AAQkADdkNThjNzFkLWM0ZmMtNDJhYS04MDVlLTIwNzE4ZDI1Mzg4YgAQAOp7m4bpzMtJv7URPXzcLnc=-20261014131320</t>
  </si>
  <si>
    <t>AAQkADdkNThjNzFkLWM0ZmMtNDJhYS04MDVlLTIwNzE4ZDI1Mzg4YgAQAOp7m4bpzMtJv7URPXzcLnc=</t>
  </si>
  <si>
    <t>RV: ATENCION MEDICA - YONEL PEREZ</t>
  </si>
  <si>
    <t>Solicitante: dbacaa@mapfre.com.pe | Hilo con 6 mensaje(s) citado(s); correo original de: Baca Aranguri, Diana Flor &lt;dbacaa@mapfre.com.pe&gt;</t>
  </si>
  <si>
    <t>AAQkADdkNThjNzFkLWM0ZmMtNDJhYS04MDVlLTIwNzE4ZDI1Mzg4YgAQAAk9S04QbchGjXiJ4VceNNw=-20261014131855</t>
  </si>
  <si>
    <t>AAQkADdkNThjNzFkLWM0ZmMtNDJhYS04MDVlLTIwNzE4ZDI1Mzg4YgAQAAk9S04QbchGjXiJ4VceNNw=</t>
  </si>
  <si>
    <t>RE: INDECO - MAPFRE SCTR SALUD - ASEG. ZAVALETA PAZOS CARLOS - CAMBIO DE CLÍNICA POR MFR.</t>
  </si>
  <si>
    <t>Solicitante: gonzalo_ciudad@ajg.com | Hilo con 8 mensaje(s) citado(s); correo original de: Carola Elmore</t>
  </si>
  <si>
    <t>AAQkADdkNThjNzFkLWM0ZmMtNDJhYS04MDVlLTIwNzE4ZDI1Mzg4YgAQAEHoKZNfnmpIoBrH0Qtr6Mk=-20261014132126</t>
  </si>
  <si>
    <t>AAQkADdkNThjNzFkLWM0ZmMtNDJhYS04MDVlLTIwNzE4ZDI1Mzg4YgAQAEHoKZNfnmpIoBrH0Qtr6Mk=</t>
  </si>
  <si>
    <t>CG 1160304 | ASEG: BLAZ RUEDA FERMIN HOAQUIN | SCTR</t>
  </si>
  <si>
    <t>Solicitante: cmcami1@mapfre.com.pe</t>
  </si>
  <si>
    <t>AAQkADdkNThjNzFkLWM0ZmMtNDJhYS04MDVlLTIwNzE4ZDI1Mzg4YgAQAHUL3lsl5ORPuwIMqDM_rpA=-20261014132053</t>
  </si>
  <si>
    <t>veronica.trigueros@marsh.com</t>
  </si>
  <si>
    <t>Solicitante: veronica.trigueros@marsh.com | Nuevo mensaje en una conversación ya finalizada</t>
  </si>
  <si>
    <t>AAQkADdkNThjNzFkLWM0ZmMtNDJhYS04MDVlLTIwNzE4ZDI1Mzg4YgAQAH5Axz8ME0O_rV2NplepD00=-20261014132543</t>
  </si>
  <si>
    <t>AAQkADdkNThjNzFkLWM0ZmMtNDJhYS04MDVlLTIwNzE4ZDI1Mzg4YgAQAH5Axz8ME0O_rV2NplepD00=</t>
  </si>
  <si>
    <t>RE: ****URGENTE**** SCTR / ATENCION / MARSELLA INMOBILIARIA SAC RUC 20610744801 / ASEGURADO  CASTILLO BRAMON EDUARDO  DNI 09613743</t>
  </si>
  <si>
    <t>itantaruna@becerrabrokers.com</t>
  </si>
  <si>
    <t>Solicitante: itantaruna@becerrabrokers.com | Hilo con 10 mensaje(s) citado(s); correo original de: Bendezu Quispe, Sandy Yesenia &lt;EXTSYBQ@mapfre.com.pe&gt;</t>
  </si>
  <si>
    <t>AAQkADdkNThjNzFkLWM0ZmMtNDJhYS04MDVlLTIwNzE4ZDI1Mzg4YgAQAKayqpm4VSpBgAD3OG3Kc4s=-20261014133754</t>
  </si>
  <si>
    <t>AAQkADdkNThjNzFkLWM0ZmMtNDJhYS04MDVlLTIwNzE4ZDI1Mzg4YgAQAKayqpm4VSpBgAD3OG3Kc4s=</t>
  </si>
  <si>
    <t>RE: SOLICITUD DE CG SCTR SEDE SAN BORJA // PTE. CARDENAS BALBIN JUAN // CIRUGÍA AMBULATORIA</t>
  </si>
  <si>
    <t>Solicitante: misalce@mapfre.com.pe | Hilo con 1 mensaje(s) citado(s); correo original de: SCTRSalud &lt;sctrsalud@mapfre.com.pe&gt; | Llegó con el hilo ya respondido</t>
  </si>
  <si>
    <t>AAQkADdkNThjNzFkLWM0ZmMtNDJhYS04MDVlLTIwNzE4ZDI1Mzg4YgAQALInJrd15S5CsA4qiTngM3A=-20261014134426</t>
  </si>
  <si>
    <t>AAQkADdkNThjNzFkLWM0ZmMtNDJhYS04MDVlLTIwNzE4ZDI1Mzg4YgAQALInJrd15S5CsA4qiTngM3A=</t>
  </si>
  <si>
    <t>RV: TKT_HC_80041 - EN TRAMITE - ACTIVACION SCTR POR ACCIDENTE DE TRABAJO // APU LLALLAWA</t>
  </si>
  <si>
    <t>reembolsos.peru@aon.com</t>
  </si>
  <si>
    <t>Solicitante: reembolsos.peru@aon.com | Hilo con 4 mensaje(s) citado(s); correo original de: Asistente Social &lt;asistente.social@apullallawa.pe&gt;</t>
  </si>
  <si>
    <t>AAQkADdkNThjNzFkLWM0ZmMtNDJhYS04MDVlLTIwNzE4ZDI1Mzg4YgAQADqQ1EblA0zEhYbgYAJHB6s=-20261014135512</t>
  </si>
  <si>
    <t>AAQkADdkNThjNzFkLWM0ZmMtNDJhYS04MDVlLTIwNzE4ZDI1Mzg4YgAQADqQ1EblA0zEhYbgYAJHB6s=</t>
  </si>
  <si>
    <t xml:space="preserve">RE: KURESA - SCTR - HUILLCA OCHOA SALVADOR </t>
  </si>
  <si>
    <t>Solicitante: cmcami1@mapfre.com.pe | Hilo con 6 mensaje(s) citado(s); correo original de: Arriaga, Yizza &lt;Yizza.Arriaga@marsh.com&gt; | Llegó con el hilo ya respondido</t>
  </si>
  <si>
    <t>AAQkADdkNThjNzFkLWM0ZmMtNDJhYS04MDVlLTIwNzE4ZDI1Mzg4YgAQACDqyEyyhx5AjuWCr9chGqg=-20261014135526</t>
  </si>
  <si>
    <t>AAQkADdkNThjNzFkLWM0ZmMtNDJhYS04MDVlLTIwNzE4ZDI1Mzg4YgAQACDqyEyyhx5AjuWCr9chGqg=</t>
  </si>
  <si>
    <t>RE: SINIESTRO ASEG. ROCA ARGOTE, RENE BENJAMÍN - CONSORCIO SAN MIGUEL</t>
  </si>
  <si>
    <t>Joan Yzquiero Huaman</t>
  </si>
  <si>
    <t>Solicitante: jyzquierdo@gabel.com.pe | Hilo con 9 mensaje(s) citado(s); correo original de: Liliana Chacon Soto &lt;lchacon@gabel.com.pe&gt;</t>
  </si>
  <si>
    <t>AAQkADdkNThjNzFkLWM0ZmMtNDJhYS04MDVlLTIwNzE4ZDI1Mzg4YgAQAMBTdbjYN0BLotqWCIwntw4=-20261014140406</t>
  </si>
  <si>
    <t>AAQkADdkNThjNzFkLWM0ZmMtNDJhYS04MDVlLTIwNzE4ZDI1Mzg4YgAQAMBTdbjYN0BLotqWCIwntw4=</t>
  </si>
  <si>
    <t>WURT - URGENTE NUEVAS PÓLIZAS.</t>
  </si>
  <si>
    <t>martin.villavicencio@marsh.com</t>
  </si>
  <si>
    <t>Solicitante: martin.villavicencio@marsh.com</t>
  </si>
  <si>
    <t>AAQkADdkNThjNzFkLWM0ZmMtNDJhYS04MDVlLTIwNzE4ZDI1Mzg4YgAQANt7PoMsk5hHvJkzTQKB04o=-20261014140432</t>
  </si>
  <si>
    <t>AAQkADdkNThjNzFkLWM0ZmMtNDJhYS04MDVlLTIwNzE4ZDI1Mzg4YgAQANt7PoMsk5hHvJkzTQKB04o=</t>
  </si>
  <si>
    <t xml:space="preserve">RE: ACTIVACION DE POLIZA // SEANCAS AQUIÑO ROSA FRANCESA // MAPFRE SCTR </t>
  </si>
  <si>
    <t>Solicitante: lkcald1@mapfre.com.pe | Hilo con 8 mensaje(s) citado(s); correo original de: Patricia del Carmen San Martin Castillo &lt;psanmartin@cinternacional.com.pe&gt; | Llegó con el hilo ya respondido</t>
  </si>
  <si>
    <t>AAQkADdkNThjNzFkLWM0ZmMtNDJhYS04MDVlLTIwNzE4ZDI1Mzg4YgAQANQD2As5pHVJlD7VjvMqW1Y=-20261014141131</t>
  </si>
  <si>
    <t>AAQkADdkNThjNzFkLWM0ZmMtNDJhYS04MDVlLTIwNzE4ZDI1Mzg4YgAQANQD2As5pHVJlD7VjvMqW1Y=</t>
  </si>
  <si>
    <t>Liquidaciones facturados atenciones SCTR-centro Emasalud-Iquitos-Ruc 20607709221</t>
  </si>
  <si>
    <t>facturacion@clinicaespecializadaemanuel.com</t>
  </si>
  <si>
    <t>Solicitante: facturacion@clinicaespecializadaemanuel.com</t>
  </si>
  <si>
    <t>AAQkADdkNThjNzFkLWM0ZmMtNDJhYS04MDVlLTIwNzE4ZDI1Mzg4YgAQANygp6evXU3kgcjhbd-ivDg=-20261014142117</t>
  </si>
  <si>
    <t>AAQkADdkNThjNzFkLWM0ZmMtNDJhYS04MDVlLTIwNzE4ZDI1Mzg4YgAQANygp6evXU3kgcjhbd-ivDg=</t>
  </si>
  <si>
    <t>STATUS CG // ASEGURADO LEIVA NATIVIDAD MARIO VICTOR // HAUG</t>
  </si>
  <si>
    <t>Solicitante: luis.suarez1@aon.com</t>
  </si>
  <si>
    <t>AAQkADdkNThjNzFkLWM0ZmMtNDJhYS04MDVlLTIwNzE4ZDI1Mzg4YgAQAIbFAwUhm5RPs0c9SVs6YZE=-20261014142402</t>
  </si>
  <si>
    <t>AAQkADdkNThjNzFkLWM0ZmMtNDJhYS04MDVlLTIwNzE4ZDI1Mzg4YgAQAIbFAwUhm5RPs0c9SVs6YZE=</t>
  </si>
  <si>
    <t>REPORTE PRELIMINAR - CANAZA ARANDA JHORDIN LENIN</t>
  </si>
  <si>
    <t>cdiaz@linea24peru.com.pe</t>
  </si>
  <si>
    <t>Solicitante: cdiaz@linea24peru.com.pe</t>
  </si>
  <si>
    <t>AAQkADdkNThjNzFkLWM0ZmMtNDJhYS04MDVlLTIwNzE4ZDI1Mzg4YgAQADqQ1EblA0zEhYbgYAJHB6s=-20261014142816</t>
  </si>
  <si>
    <t xml:space="preserve">KURESA - SCTR - HUILLCA OCHOA SALVADOR </t>
  </si>
  <si>
    <t>yizza.arriaga@marsh.com</t>
  </si>
  <si>
    <t>Solicitante: yizza.arriaga@marsh.com | Nuevo mensaje en una conversación ya finalizada</t>
  </si>
  <si>
    <t>AAQkADdkNThjNzFkLWM0ZmMtNDJhYS04MDVlLTIwNzE4ZDI1Mzg4YgAQAHQWYFQZ_0kfnuhsTw_VB98=-20261014143128</t>
  </si>
  <si>
    <t>AAQkADdkNThjNzFkLWM0ZmMtNDJhYS04MDVlLTIwNzE4ZDI1Mzg4YgAQAHQWYFQZ_0kfnuhsTw_VB98=</t>
  </si>
  <si>
    <t>RE: SIMA PERU // RECHAZO DE TERAPIA FÍSICA - CASO DIEGO RAMIREZ RIOS</t>
  </si>
  <si>
    <t>Solicitante: silvia.siu@marsh.com | Hilo con 7 mensaje(s) citado(s); correo original de: Siu, Silvia &lt;silvia.siu@marsh.com&gt;</t>
  </si>
  <si>
    <t>AAQkADdkNThjNzFkLWM0ZmMtNDJhYS04MDVlLTIwNzE4ZDI1Mzg4YgAQANn4NOox4IhKhq9bXMEeExw=-20261014143708</t>
  </si>
  <si>
    <t>AAQkADdkNThjNzFkLWM0ZmMtNDJhYS04MDVlLTIwNzE4ZDI1Mzg4YgAQANn4NOox4IhKhq9bXMEeExw=</t>
  </si>
  <si>
    <t>URGENTE ACTIVACION PACIENTE SCTR EN WEB OIM // PCTE : URBINA NIEVES MARCOS ALEXIS // CE.008110616</t>
  </si>
  <si>
    <t>aprincipe@sanpablo.com.pe</t>
  </si>
  <si>
    <t>Solicitante: aprincipe@sanpablo.com.pe</t>
  </si>
  <si>
    <t>AAQkADdkNThjNzFkLWM0ZmMtNDJhYS04MDVlLTIwNzE4ZDI1Mzg4YgAQANAF9MxTZh1Gj-w22eZecEg=-20261014144806</t>
  </si>
  <si>
    <t>AAQkADdkNThjNzFkLWM0ZmMtNDJhYS04MDVlLTIwNzE4ZDI1Mzg4YgAQANAF9MxTZh1Gj-w22eZecEg=</t>
  </si>
  <si>
    <t>RV: REEMBOLSO GASTOS MEDICOS SCTR POLIZA 7022600130782 - DOVAS INGENIERIA E.I.R.L.</t>
  </si>
  <si>
    <t>afloresr@mapfre.com.pe</t>
  </si>
  <si>
    <t>Solicitante: afloresr@mapfre.com.pe | Hilo con 3 mensaje(s) citado(s); correo original de: Flores Reategui, Angela Maria &lt;afloresr@mapfre.com.pe&gt;</t>
  </si>
  <si>
    <t>AAQkADdkNThjNzFkLWM0ZmMtNDJhYS04MDVlLTIwNzE4ZDI1Mzg4YgAQADaQaxs5yExIilAn1h2a4KE=-20261014145301</t>
  </si>
  <si>
    <t>AAQkADdkNThjNzFkLWM0ZmMtNDJhYS04MDVlLTIwNzE4ZDI1Mzg4YgAQADaQaxs5yExIilAn1h2a4KE=</t>
  </si>
  <si>
    <t>FB3ADC0 // (INCUMPLIMIENTO) INFORME DE INVESTIGACION - MONTESINOS MENDOZA ELMER</t>
  </si>
  <si>
    <t>ltejedo@linea24peru.com.pe</t>
  </si>
  <si>
    <t>Solicitante: ltejedo@linea24peru.com.pe</t>
  </si>
  <si>
    <t>AAQkADdkNThjNzFkLWM0ZmMtNDJhYS04MDVlLTIwNzE4ZDI1Mzg4YgAQAAx6jT1aRgNDlcvD-MFUuGg=-20261014145355</t>
  </si>
  <si>
    <t>AAQkADdkNThjNzFkLWM0ZmMtNDJhYS04MDVlLTIwNzE4ZDI1Mzg4YgAQAAx6jT1aRgNDlcvD-MFUuGg=</t>
  </si>
  <si>
    <t>Solicitud de información relacionada con el accidente laboral del trabajador CANAZA ARANDA, JHORDIN LENIN</t>
  </si>
  <si>
    <t>AAQkADdkNThjNzFkLWM0ZmMtNDJhYS04MDVlLTIwNzE4ZDI1Mzg4YgAQAOUkxh_7kiNJmiDB2S_Ve3w=-20261014150456</t>
  </si>
  <si>
    <t>AAQkADdkNThjNzFkLWM0ZmMtNDJhYS04MDVlLTIwNzE4ZDI1Mzg4YgAQAOUkxh_7kiNJmiDB2S_Ve3w=</t>
  </si>
  <si>
    <t>EVALUACION DE SINIESTRO ASEG. CHICLLA MENDOZA CHRISTIAN - SKECHERS</t>
  </si>
  <si>
    <t>Solicitante: wguevara@gabel.com.pe | Hilo con 5 mensaje(s) citado(s); correo original de: Liliana Chacon Soto &lt;lchacon@gabel.com.pe&gt;</t>
  </si>
  <si>
    <t>AAQkADdkNThjNzFkLWM0ZmMtNDJhYS04MDVlLTIwNzE4ZDI1Mzg4YgAQAKOgjo-E3XBHo3h9tMNS5mM=-20261014150959</t>
  </si>
  <si>
    <t>AAQkADdkNThjNzFkLWM0ZmMtNDJhYS04MDVlLTIwNzE4ZDI1Mzg4YgAQAKOgjo-E3XBHo3h9tMNS5mM=</t>
  </si>
  <si>
    <t xml:space="preserve">APOYO PAC. APAZA YANARICO JULIA </t>
  </si>
  <si>
    <t>extjnmp@mapfre.com.pe</t>
  </si>
  <si>
    <t>Solicitante: extjnmp@mapfre.com.pe</t>
  </si>
  <si>
    <t>AAQkADdkNThjNzFkLWM0ZmMtNDJhYS04MDVlLTIwNzE4ZDI1Mzg4YgAQAHZvQkw-YZZOhRmiZdJcuqI=-20261014151410</t>
  </si>
  <si>
    <t>AAQkADdkNThjNzFkLWM0ZmMtNDJhYS04MDVlLTIwNzE4ZDI1Mzg4YgAQAHZvQkw-YZZOhRmiZdJcuqI=</t>
  </si>
  <si>
    <t>PACIENTE RODRIGUEZ FREITE, PEDRO (MAPFRE SCTR)</t>
  </si>
  <si>
    <t>Solicitante: cartas_garantia@montefiori.com.pe</t>
  </si>
  <si>
    <t>AAQkADdkNThjNzFkLWM0ZmMtNDJhYS04MDVlLTIwNzE4ZDI1Mzg4YgAQAKayqpm4VSpBgAD3OG3Kc4s=-20261014152856</t>
  </si>
  <si>
    <t>Solicitante: esilvera@cinternacional.com.pe | Nuevo mensaje en una conversación ya finalizada</t>
  </si>
  <si>
    <t>AAQkADdkNThjNzFkLWM0ZmMtNDJhYS04MDVlLTIwNzE4ZDI1Mzg4YgAQAJlO9DbXGVtNnRr9pVe7L-s=-20261014153108</t>
  </si>
  <si>
    <t>AAQkADdkNThjNzFkLWM0ZmMtNDJhYS04MDVlLTIwNzE4ZDI1Mzg4YgAQAJlO9DbXGVtNnRr9pVe7L-s=</t>
  </si>
  <si>
    <t>Solicitud de información relacionada con el accidente laboral del trabajador LEON VELA MANUEL ANGEL</t>
  </si>
  <si>
    <t>AAQkADdkNThjNzFkLWM0ZmMtNDJhYS04MDVlLTIwNzE4ZDI1Mzg4YgAQAGxT0lpBQ_xDvdr_LaMPsoY=-20261014153744</t>
  </si>
  <si>
    <t>AAQkADdkNThjNzFkLWM0ZmMtNDJhYS04MDVlLTIwNzE4ZDI1Mzg4YgAQAGxT0lpBQ_xDvdr_LaMPsoY=</t>
  </si>
  <si>
    <t>LOPEZ RAMIREZ MAURILIO</t>
  </si>
  <si>
    <t>Solicitante: cgdanit@mapfre.com.pe</t>
  </si>
  <si>
    <t>AAQkADdkNThjNzFkLWM0ZmMtNDJhYS04MDVlLTIwNzE4ZDI1Mzg4YgAQAC3Xh2Q0pfNEmhPaPDl9FFk=-20261014154225</t>
  </si>
  <si>
    <t>AAQkADdkNThjNzFkLWM0ZmMtNDJhYS04MDVlLTIwNzE4ZDI1Mzg4YgAQAC3Xh2Q0pfNEmhPaPDl9FFk=</t>
  </si>
  <si>
    <t>SINIESTRO SCTR RECHAZADO - CONTRATANTE: QUIMICA ESPECIALIZADA S.A. - ASEGURADO: JUAN CARLOS FRIAS</t>
  </si>
  <si>
    <t>evelynreano@tas.pe</t>
  </si>
  <si>
    <t>AAQkADdkNThjNzFkLWM0ZmMtNDJhYS04MDVlLTIwNzE4ZDI1Mzg4YgAQANDRC-lsp0ygmOCH23Gzv8s=-20261014154506</t>
  </si>
  <si>
    <t>AAQkADdkNThjNzFkLWM0ZmMtNDJhYS04MDVlLTIwNzE4ZDI1Mzg4YgAQANDRC-lsp0ygmOCH23Gzv8s=</t>
  </si>
  <si>
    <t>DERIVACION MEDICINA FISICA / JAB MANTENIMIENTOS / DOMINGUEZ PEREDA JULIO DNI 09858491</t>
  </si>
  <si>
    <t>Solicitante: mariaf@fyfdaruich.com</t>
  </si>
  <si>
    <t>AAQkADdkNThjNzFkLWM0ZmMtNDJhYS04MDVlLTIwNzE4ZDI1Mzg4YgAQAAYahMp8Cj1MoybXSSjEd9Q=-20261014155330</t>
  </si>
  <si>
    <t>AAQkADdkNThjNzFkLWM0ZmMtNDJhYS04MDVlLTIwNzE4ZDI1Mzg4YgAQAAYahMp8Cj1MoybXSSjEd9Q=</t>
  </si>
  <si>
    <t>RE: REQUIERE, SUSALUD, REYNOSO TORRES DE ALCOCER, ANA MARIA</t>
  </si>
  <si>
    <t>anquiro@mapfre.com.pe</t>
  </si>
  <si>
    <t>Anthony Quiroz</t>
  </si>
  <si>
    <t>Solicitante: anquiro@mapfre.com.pe | Hilo con 2 mensaje(s) citado(s); correo original de: Joseph Mejia &lt;jmejia@llerenaabogados.com&gt; | Llegó con el hilo ya respondido</t>
  </si>
  <si>
    <t>AAQkADdkNThjNzFkLWM0ZmMtNDJhYS04MDVlLTIwNzE4ZDI1Mzg4YgAQAEitfoieuhpKoThHkfeVo_c=-20261014160410</t>
  </si>
  <si>
    <t>AAQkADdkNThjNzFkLWM0ZmMtNDJhYS04MDVlLTIwNzE4ZDI1Mzg4YgAQAEitfoieuhpKoThHkfeVo_c=</t>
  </si>
  <si>
    <t>RE: MOVIL BUS -REACTIVACIÓN SCTR SALUD - TANIA RISCO RENTERIA DNI: 09865183</t>
  </si>
  <si>
    <t>Solicitante: cypila1@mapfre.com.pe | Hilo con 9 mensaje(s) citado(s); correo original de: SCTRSalud &lt;sctrsalud@mapfre.com.pe&gt; | Llegó con el hilo ya respondido</t>
  </si>
  <si>
    <t>AAQkADdkNThjNzFkLWM0ZmMtNDJhYS04MDVlLTIwNzE4ZDI1Mzg4YgAQAHI37PFAgqlDvY2bkJJjR0o=-20261014160909</t>
  </si>
  <si>
    <t>AAQkADdkNThjNzFkLWM0ZmMtNDJhYS04MDVlLTIwNzE4ZDI1Mzg4YgAQAHI37PFAgqlDvY2bkJJjR0o=</t>
  </si>
  <si>
    <t>MAPFRE SCTR SALUD - RISCO RENTERIA TANIA ELIZABETH - MOVIL BUS  S.A.C.</t>
  </si>
  <si>
    <t>Solicitante: cypila1@mapfre.com.pe</t>
  </si>
  <si>
    <t>AAQkADdkNThjNzFkLWM0ZmMtNDJhYS04MDVlLTIwNzE4ZDI1Mzg4YgAQAPe8AyTpopxOrqhLt181enw=-20261014161631</t>
  </si>
  <si>
    <t>AAQkADdkNThjNzFkLWM0ZmMtNDJhYS04MDVlLTIwNzE4ZDI1Mzg4YgAQAPe8AyTpopxOrqhLt181enw=</t>
  </si>
  <si>
    <t>Re: AII/RECLAMO 202612794 - LENG LENG ZHILIN - SCTR - MINERA JINXUN PENI SAC</t>
  </si>
  <si>
    <t>vcxiomy@mapfre.com.pe</t>
  </si>
  <si>
    <t>Xiomy Milagros Vega Cueva</t>
  </si>
  <si>
    <t>Solicitante: vcxiomy@mapfre.com.pe | Hilo con 2 mensaje(s) citado(s); correo original de: Gutierrez Ramirez, Noemi Lizbeth &lt;GRNOEM1@mapfre.com.pe&gt; | Llegó con el hilo ya respondido</t>
  </si>
  <si>
    <t>AAQkADdkNThjNzFkLWM0ZmMtNDJhYS04MDVlLTIwNzE4ZDI1Mzg4YgAQAMwcDGdyaEOrq_dBZWZIn8o=-20261015101512</t>
  </si>
  <si>
    <t>AAQkADdkNThjNzFkLWM0ZmMtNDJhYS04MDVlLTIwNzE4ZDI1Mzg4YgAQAMwcDGdyaEOrq_dBZWZIn8o=</t>
  </si>
  <si>
    <t>RE: AUTORIZAR ATENCION URGENTE - PROBLEMAS EN LA CLÍNICA  - SCTR SALUD Nº 7022600072944 //</t>
  </si>
  <si>
    <t>yselva@amesbroker.com.pe</t>
  </si>
  <si>
    <t>Llegó como hilo: 2 mensaje(s) anterior(es). Lo inició: Diaz Del Mazzo, Gabriela Sally &lt;gdiazd@mapfre.com.pe&gt;</t>
  </si>
  <si>
    <t>AAQkADdkNThjNzFkLWM0ZmMtNDJhYS04MDVlLTIwNzE4ZDI1Mzg4YgAQAMIlFoXeEpBGtAfKPq3Vbm0=-20261015101513</t>
  </si>
  <si>
    <t>AAQkADdkNThjNzFkLWM0ZmMtNDJhYS04MDVlLTIwNzE4ZDI1Mzg4YgAQAMIlFoXeEpBGtAfKPq3Vbm0=</t>
  </si>
  <si>
    <t>RV: CLINICA DELGADO // ACTIVACION SCTR // PAC. VICTOR SIMON GONZALEZ GONZALEZ</t>
  </si>
  <si>
    <t>Llegó como hilo: 1 mensaje(s) anterior(es). Lo inició: DIEGO ALFREDO RUIZ SIFUENTES &lt;diego.ruiz@auna.org&gt;</t>
  </si>
  <si>
    <t>AAQkADdkNThjNzFkLWM0ZmMtNDJhYS04MDVlLTIwNzE4ZDI1Mzg4YgAQAH-MZE5gI0oaq7fMPxZffxU=-20261015102513</t>
  </si>
  <si>
    <t>AAQkADdkNThjNzFkLWM0ZmMtNDJhYS04MDVlLTIwNzE4ZDI1Mzg4YgAQAH-MZE5gI0oaq7fMPxZffxU=</t>
  </si>
  <si>
    <t xml:space="preserve">RE: ENVIO INFORME // CONFIRMAR COBERTURA DE VACUNAS // ASEGURADO GARCIA HUAYLLA DAVID // MUR WY SAC </t>
  </si>
  <si>
    <t>Llegó como hilo: 2 mensaje(s) anterior(es). Lo inició: Luis Suarez &lt;luis.suarez1@aon.com&gt;</t>
  </si>
  <si>
    <t>AAQkADdkNThjNzFkLWM0ZmMtNDJhYS04MDVlLTIwNzE4ZDI1Mzg4YgAQACp0aOUUVUB3lLKWDhXjqzM=-20261015102733</t>
  </si>
  <si>
    <t>AAQkADdkNThjNzFkLWM0ZmMtNDJhYS04MDVlLTIwNzE4ZDI1Mzg4YgAQACp0aOUUVUB3lLKWDhXjqzM=</t>
  </si>
  <si>
    <t>CASO ACCIDENTADO CAVERO LOPEZ RODOLFO - DNI. 15639162</t>
  </si>
  <si>
    <t>rcalderon@mapfre.com.pe</t>
  </si>
  <si>
    <t>Rebeca Calderon Leon</t>
  </si>
  <si>
    <t>AAQkADdkNThjNzFkLWM0ZmMtNDJhYS04MDVlLTIwNzE4ZDI1Mzg4YgAQAPe8AyTpopxOrqhLt181enw=-20261015103037</t>
  </si>
  <si>
    <t>AII/RECLAMO 202612794 - LENG LENG ZHILIN - SCTR - MINERA JINXUN PENI SAC</t>
  </si>
  <si>
    <t>grkarl1@mapfre.com.pe</t>
  </si>
  <si>
    <t>Karla Guevara</t>
  </si>
  <si>
    <t>Caso nuevo: esta conversación ya tenía un caso finalizado (AAQkADdkNThjNzFkLWM0ZmMtNDJhYS04MDVlLTIwNzE4ZDI1Mzg4YgAQAPe8AyTpopxOrqhLt181enw=-20261014161631)</t>
  </si>
  <si>
    <t>AAQkADdkNThjNzFkLWM0ZmMtNDJhYS04MDVlLTIwNzE4ZDI1Mzg4YgAQAMWqMRNQDDhEjku-QqzWk0w=-20261015103819</t>
  </si>
  <si>
    <t>AAQkADdkNThjNzFkLWM0ZmMtNDJhYS04MDVlLTIwNzE4ZDI1Mzg4YgAQAMWqMRNQDDhEjku-QqzWk0w=</t>
  </si>
  <si>
    <t>Atención por consultorio quemadura 2do grado</t>
  </si>
  <si>
    <t>asistenciasocial@ottogrill.com</t>
  </si>
  <si>
    <t>AAQkADdkNThjNzFkLWM0ZmMtNDJhYS04MDVlLTIwNzE4ZDI1Mzg4YgAQADlYCNWM7E_EsDzul304VH4=-20261015104002</t>
  </si>
  <si>
    <t>AAQkADdkNThjNzFkLWM0ZmMtNDJhYS04MDVlLTIwNzE4ZDI1Mzg4YgAQADlYCNWM7E_EsDzul304VH4=</t>
  </si>
  <si>
    <t>SALUBRIDAD SANEAMIENTO AMBIENTAL Y SERVICIOS S.A.C.- SCTR- CASANA VILVA ERICA ESTER</t>
  </si>
  <si>
    <t>AAQkADdkNThjNzFkLWM0ZmMtNDJhYS04MDVlLTIwNzE4ZDI1Mzg4YgAQACbCL7dSiB1Muz5AI4tC-SQ=-20261015104424</t>
  </si>
  <si>
    <t>AAQkADdkNThjNzFkLWM0ZmMtNDJhYS04MDVlLTIwNzE4ZDI1Mzg4YgAQACbCL7dSiB1Muz5AI4tC-SQ=</t>
  </si>
  <si>
    <t>RE: CONSULTA CARTA GARANTÍA 1160304</t>
  </si>
  <si>
    <t>todosegurosjc@hotmail.com</t>
  </si>
  <si>
    <t>Llegó como hilo: 3 mensaje(s) anterior(es). Lo inició: JHOSELIN CASIMIRO &lt;todosegurosjc@hotmail.com&gt;</t>
  </si>
  <si>
    <t>AAQkADdkNThjNzFkLWM0ZmMtNDJhYS04MDVlLTIwNzE4ZDI1Mzg4YgAQANxCxVlDJLtNmLzcvR55axE=-20261015110433</t>
  </si>
  <si>
    <t>AAQkADdkNThjNzFkLWM0ZmMtNDJhYS04MDVlLTIwNzE4ZDI1Mzg4YgAQANxCxVlDJLtNmLzcvR55axE=</t>
  </si>
  <si>
    <t>RE: AUTORIZACION DE EMERGENCIA - PAC. LAVADO VILLA, LEONARDO AXEL</t>
  </si>
  <si>
    <t>Llegó como hilo: 1 mensaje(s) anterior(es). Lo inició: Jeanett Mery Cano Cayro</t>
  </si>
  <si>
    <t>AAQkADdkNThjNzFkLWM0ZmMtNDJhYS04MDVlLTIwNzE4ZDI1Mzg4YgAQABv6WqFfLIZMpmfWCjI_J9k=-20261015110435</t>
  </si>
  <si>
    <t>jorgemanguz@hotmail.com</t>
  </si>
  <si>
    <t>Caso nuevo: esta conversación ya tenía un caso finalizado (AAQkADdkNThjNzFkLWM0ZmMtNDJhYS04MDVlLTIwNzE4ZDI1Mzg4YgAQABv6WqFfLIZMpmfWCjI_J9k=-20261014110045)</t>
  </si>
  <si>
    <t>AAQkADdkNThjNzFkLWM0ZmMtNDJhYS04MDVlLTIwNzE4ZDI1Mzg4YgAQAE1l9YIrgQxNvWK1DVuvkcA=-20261015110900</t>
  </si>
  <si>
    <t>AAQkADdkNThjNzFkLWM0ZmMtNDJhYS04MDVlLTIwNzE4ZDI1Mzg4YgAQAE1l9YIrgQxNvWK1DVuvkcA=</t>
  </si>
  <si>
    <t xml:space="preserve">PACIENTE RODRIGUEZ HERNANDEZ, MILEIDY </t>
  </si>
  <si>
    <t>cartas_garantia@montefiori.com.pe</t>
  </si>
  <si>
    <t>AAQkADdkNThjNzFkLWM0ZmMtNDJhYS04MDVlLTIwNzE4ZDI1Mzg4YgAQAMi6k8hcqGVMveUwsY1zBvc=-20261015110912</t>
  </si>
  <si>
    <t>AAQkADdkNThjNzFkLWM0ZmMtNDJhYS04MDVlLTIwNzE4ZDI1Mzg4YgAQAMi6k8hcqGVMveUwsY1zBvc=</t>
  </si>
  <si>
    <t>Fwd: Procedimiento de Neuroproloterapia</t>
  </si>
  <si>
    <t>Llegó como hilo: 3 mensaje(s) anterior(es). Lo inició: SCTRSalud &lt;sctrsalud@mapfre.com.pe&gt;</t>
  </si>
  <si>
    <t>AAQkADdkNThjNzFkLWM0ZmMtNDJhYS04MDVlLTIwNzE4ZDI1Mzg4YgAQAGlOta72dktAljz2V8h4Jzk=-20261015111032</t>
  </si>
  <si>
    <t>AAQkADdkNThjNzFkLWM0ZmMtNDJhYS04MDVlLTIwNzE4ZDI1Mzg4YgAQAGlOta72dktAljz2V8h4Jzk=</t>
  </si>
  <si>
    <t xml:space="preserve">RE: RV: </t>
  </si>
  <si>
    <t>Llegó como hilo: 1 mensaje(s) anterior(es). Lo inició: SCTRSalud &lt;sctrsalud@mapfre.com.pe&gt;</t>
  </si>
  <si>
    <t>AAQkADdkNThjNzFkLWM0ZmMtNDJhYS04MDVlLTIwNzE4ZDI1Mzg4YgAQAIa5orv5svBOvsyiwwsBxgs=-20261015111300</t>
  </si>
  <si>
    <t>AAQkADdkNThjNzFkLWM0ZmMtNDJhYS04MDVlLTIwNzE4ZDI1Mzg4YgAQAIa5orv5svBOvsyiwwsBxgs=</t>
  </si>
  <si>
    <t>Re: ELEVACION AL INR - FIESTAS AMAYA AMERICA VALENTINA</t>
  </si>
  <si>
    <t>ijaviles@laprotectora.com.pe</t>
  </si>
  <si>
    <t>Llegó como hilo: 1 mensaje(s) anterior(es). Lo inició: Isidora Avilés &lt;ijaviles@laprotectora.com.pe&gt;</t>
  </si>
  <si>
    <t>AAQkADdkNThjNzFkLWM0ZmMtNDJhYS04MDVlLTIwNzE4ZDI1Mzg4YgAQALg6HR5YwTpLqzX60sIsR0o=-20261015111721</t>
  </si>
  <si>
    <t>AAQkADdkNThjNzFkLWM0ZmMtNDJhYS04MDVlLTIwNzE4ZDI1Mzg4YgAQALg6HR5YwTpLqzX60sIsR0o=</t>
  </si>
  <si>
    <t xml:space="preserve"> Solicitud de documentos – Siniestro SCTR MAPFRE N.º 89189842</t>
  </si>
  <si>
    <t>eliuria0@cassinelli.com</t>
  </si>
  <si>
    <t>Erika Uriarte</t>
  </si>
  <si>
    <t>Llegó como hilo: 1 mensaje(s) anterior(es). Lo inició: Luiggy Alberto Nuñez Bazalar &lt;lnunezbazalar@gmail.com&gt;</t>
  </si>
  <si>
    <t>AAQkADdkNThjNzFkLWM0ZmMtNDJhYS04MDVlLTIwNzE4ZDI1Mzg4YgAQAJz6M0oTlk0riIEt-sE_Yzo=-20261015112904</t>
  </si>
  <si>
    <t>AAQkADdkNThjNzFkLWM0ZmMtNDJhYS04MDVlLTIwNzE4ZDI1Mzg4YgAQAJz6M0oTlk0riIEt-sE_Yzo=</t>
  </si>
  <si>
    <t>RE: Continuidad de Cobertura de SOAT a SCTR - Clínica Santa Martha del Sur // COMPAÑIA MECANICA Y CONMINUCIÓN S.A.C. RUC: 20603234813 - Asegurado: JHONDER ELVERE ARIAS YALLE DNI: 46677256</t>
  </si>
  <si>
    <t>jcpayer@mapfre.com.pe</t>
  </si>
  <si>
    <t>Joan Payer</t>
  </si>
  <si>
    <t>Llegó como hilo: 1 mensaje(s) anterior(es). Lo inició: Guzman Sanchez, Alberto Martin &lt;AGUZMANS@mapfre.com.pe&gt;</t>
  </si>
  <si>
    <t>AAQkADdkNThjNzFkLWM0ZmMtNDJhYS04MDVlLTIwNzE4ZDI1Mzg4YgAQANLLN4K4VDhGrkhO4n7rkSs=-20261015113312</t>
  </si>
  <si>
    <t>Re:       URGENTE Christopher Vicuña // Marcan Ingenieros S.A</t>
  </si>
  <si>
    <t>Caso nuevo: esta conversación ya tenía un caso finalizado (AAQkADdkNThjNzFkLWM0ZmMtNDJhYS04MDVlLTIwNzE4ZDI1Mzg4YgAQANLLN4K4VDhGrkhO4n7rkSs=-20261014105851)</t>
  </si>
  <si>
    <t>AAQkADdkNThjNzFkLWM0ZmMtNDJhYS04MDVlLTIwNzE4ZDI1Mzg4YgAQAE2kJEMhnSNFmFrwSJ0bo7o=-20261015113919</t>
  </si>
  <si>
    <t>AAQkADdkNThjNzFkLWM0ZmMtNDJhYS04MDVlLTIwNzE4ZDI1Mzg4YgAQAE2kJEMhnSNFmFrwSJ0bo7o=</t>
  </si>
  <si>
    <t>Información</t>
  </si>
  <si>
    <t>linancassanoa@gmail.com</t>
  </si>
  <si>
    <t>AAQkADdkNThjNzFkLWM0ZmMtNDJhYS04MDVlLTIwNzE4ZDI1Mzg4YgAQAG4dnokiplxHupN0W2PMlf8=-20261015114710</t>
  </si>
  <si>
    <t>AAQkADdkNThjNzFkLWM0ZmMtNDJhYS04MDVlLTIwNzE4ZDI1Mzg4YgAQAG4dnokiplxHupN0W2PMlf8=</t>
  </si>
  <si>
    <t>CONSULTA SINIESTRO - SCTR SALUD - CC LABORATORIOS SAC</t>
  </si>
  <si>
    <t>cdelbusto@mapfre.com.pe</t>
  </si>
  <si>
    <t>Carolina del Busto Agüero</t>
  </si>
  <si>
    <t>AAQkADdkNThjNzFkLWM0ZmMtNDJhYS04MDVlLTIwNzE4ZDI1Mzg4YgAQABwPLOOdWlpKpeK723puoII=-20261015115254</t>
  </si>
  <si>
    <t>AAQkADdkNThjNzFkLWM0ZmMtNDJhYS04MDVlLTIwNzE4ZDI1Mzg4YgAQABwPLOOdWlpKpeK723puoII=</t>
  </si>
  <si>
    <t>RE: Tai loy: Solicitud de orientación – Caso SCTR Jairo Peña Marca</t>
  </si>
  <si>
    <t>AAQkADdkNThjNzFkLWM0ZmMtNDJhYS04MDVlLTIwNzE4ZDI1Mzg4YgAQANLLN4K4VDhGrkhO4n7rkSs=-20261015115305</t>
  </si>
  <si>
    <t>Re:        URGENTE Christopher Vicuña // Marcan Ingenieros S.A</t>
  </si>
  <si>
    <t>Caso nuevo: esta conversación ya tenía un caso finalizado (AAQkADdkNThjNzFkLWM0ZmMtNDJhYS04MDVlLTIwNzE4ZDI1Mzg4YgAQANLLN4K4VDhGrkhO4n7rkSs=-20261015113312)</t>
  </si>
  <si>
    <t>AAQkADdkNThjNzFkLWM0ZmMtNDJhYS04MDVlLTIwNzE4ZDI1Mzg4YgAQAPL51cYXoUdAgYmSEf0Qc50=-20261015115954</t>
  </si>
  <si>
    <t>AAQkADdkNThjNzFkLWM0ZmMtNDJhYS04MDVlLTIwNzE4ZDI1Mzg4YgAQAPL51cYXoUdAgYmSEf0Qc50=</t>
  </si>
  <si>
    <t>Carta de garantía pendiente</t>
  </si>
  <si>
    <t>AAQkADdkNThjNzFkLWM0ZmMtNDJhYS04MDVlLTIwNzE4ZDI1Mzg4YgAQAMKTzbbgp41Gs1waotpiyXI=-20261015121631</t>
  </si>
  <si>
    <t>AAQkADdkNThjNzFkLWM0ZmMtNDJhYS04MDVlLTIwNzE4ZDI1Mzg4YgAQAMKTzbbgp41Gs1waotpiyXI=</t>
  </si>
  <si>
    <t>Re: [EXTERNAL] RE: EVALUACION DE GASTOS NO CUBIERTOS // TEJADA SEGURA MOISES OLIVERIO</t>
  </si>
  <si>
    <t>jhanderis.villarroel@sanna.pe</t>
  </si>
  <si>
    <t>Llegó como hilo: 1 mensaje(s) anterior(es). Lo inició: Carito Jeremy Rocio Hurtado Loarte &lt;carito.hurtado@sanna.pe&gt;</t>
  </si>
  <si>
    <t>AAQkADdkNThjNzFkLWM0ZmMtNDJhYS04MDVlLTIwNzE4ZDI1Mzg4YgAQAJ5hH8CPfBZAgzf6g7PEjAY=-20261015122311</t>
  </si>
  <si>
    <t>AAQkADdkNThjNzFkLWM0ZmMtNDJhYS04MDVlLTIwNzE4ZDI1Mzg4YgAQAJ5hH8CPfBZAgzf6g7PEjAY=</t>
  </si>
  <si>
    <t>No se puede entregar: SINIESTRO SCTR -  VASQUEZ CHACON JOHN JAMES</t>
  </si>
  <si>
    <t>microsoftexchange329e71ec88ae4615bbc36ab6ce41109e@mapfrecorp.onmicrosoft.com</t>
  </si>
  <si>
    <t>AAQkADdkNThjNzFkLWM0ZmMtNDJhYS04MDVlLTIwNzE4ZDI1Mzg4YgAQAE4XMZPJeD1LhkKBw3Hfeyg=-20261015122740</t>
  </si>
  <si>
    <t>AAQkADdkNThjNzFkLWM0ZmMtNDJhYS04MDVlLTIwNzE4ZDI1Mzg4YgAQAE4XMZPJeD1LhkKBw3Hfeyg=</t>
  </si>
  <si>
    <t>Recuperar: CERCADO DE LA CRUZ MERLY MARIBEL</t>
  </si>
  <si>
    <t>openar@atu.gob.pe</t>
  </si>
  <si>
    <t>AAQkADdkNThjNzFkLWM0ZmMtNDJhYS04MDVlLTIwNzE4ZDI1Mzg4YgAQAF2aSwqEPURGlns_69tkyWU=-20261015122901</t>
  </si>
  <si>
    <t>AAQkADdkNThjNzFkLWM0ZmMtNDJhYS04MDVlLTIwNzE4ZDI1Mzg4YgAQAF2aSwqEPURGlns_69tkyWU=</t>
  </si>
  <si>
    <t>COPIA DE AVISO DE ACCIDENTE - ANGEL LEONCIO RODRIGUEZ GUILLERMO DNI 19253987</t>
  </si>
  <si>
    <t>celinar@mapfre.com.pe</t>
  </si>
  <si>
    <t>Celina Izaguirre Ortiz</t>
  </si>
  <si>
    <t>Llegó como hilo: 1 mensaje(s) anterior(es). Lo inició: xerox_outsourcing@mapfre.com.pe &lt;xerox_outsourcing@mapfre.com.pe&gt;</t>
  </si>
  <si>
    <t>AAQkADdkNThjNzFkLWM0ZmMtNDJhYS04MDVlLTIwNzE4ZDI1Mzg4YgAQAHabzbcrl79NsylJiASVDBg=-20261015124107</t>
  </si>
  <si>
    <t>AAQkADdkNThjNzFkLWM0ZmMtNDJhYS04MDVlLTIwNzE4ZDI1Mzg4YgAQAHabzbcrl79NsylJiASVDBg=</t>
  </si>
  <si>
    <t>CLINICA MIRAFLORES / S.S. DAR PRIORIDAD A SOLICITUD POR ACTUALIZACION CG 26-1160997-1 - PACTE TORRES DIAZ KIN - MAPFRE SCTR</t>
  </si>
  <si>
    <t>AAQkADdkNThjNzFkLWM0ZmMtNDJhYS04MDVlLTIwNzE4ZDI1Mzg4YgAQANyqyCLVpEOJkAXIpS4Pyg4=-20261015125757</t>
  </si>
  <si>
    <t>AAQkADdkNThjNzFkLWM0ZmMtNDJhYS04MDVlLTIwNzE4ZDI1Mzg4YgAQANyqyCLVpEOJkAXIpS4Pyg4=</t>
  </si>
  <si>
    <t>RE: **MUY URGENTE** - ESTADO CG - OJEDA NEIRA MAYCO SMITH | CONSTRUCCION Y ADMINISTRACION (CASA)</t>
  </si>
  <si>
    <t>AAQkADdkNThjNzFkLWM0ZmMtNDJhYS04MDVlLTIwNzE4ZDI1Mzg4YgAQACcL_Z5u5KVIm4IejmNmFqo=-20261015130748</t>
  </si>
  <si>
    <t>AAQkADdkNThjNzFkLWM0ZmMtNDJhYS04MDVlLTIwNzE4ZDI1Mzg4YgAQACcL_Z5u5KVIm4IejmNmFqo=</t>
  </si>
  <si>
    <t>SOLICITO EVALUACIÓN Y APROBACION DE CG-PCTE. OJEDA NEIRA MAYCO SMITH</t>
  </si>
  <si>
    <t>AAQkADdkNThjNzFkLWM0ZmMtNDJhYS04MDVlLTIwNzE4ZDI1Mzg4YgAQAAHUmj5FF0Wmod8NwNsMDrI=-20261015134321</t>
  </si>
  <si>
    <t>AAQkADdkNThjNzFkLWM0ZmMtNDJhYS04MDVlLTIwNzE4ZDI1Mzg4YgAQAAHUmj5FF0Wmod8NwNsMDrI=</t>
  </si>
  <si>
    <t>RE: REVISIÓN DE GASTOS NO CUBIERTOS _ PANAQUE NORIEGA MARITZA _ DNI 40456637 _ SERVICIOS BRICKELL S.A.C.  _ RUC 20512831983</t>
  </si>
  <si>
    <t>Llegó como hilo: 2 mensaje(s) anterior(es). Lo inició: Joan Yzquierdo Huaman &lt;jyzquierdo@gabel.com.pe&gt;</t>
  </si>
  <si>
    <t>AAQkADdkNThjNzFkLWM0ZmMtNDJhYS04MDVlLTIwNzE4ZDI1Mzg4YgAQAD12xrb7l2dMlzCnhT06WCw=-20261015134423</t>
  </si>
  <si>
    <t>AAQkADdkNThjNzFkLWM0ZmMtNDJhYS04MDVlLTIwNzE4ZDI1Mzg4YgAQAD12xrb7l2dMlzCnhT06WCw=</t>
  </si>
  <si>
    <t>RE: Consulta sobre cobro por constancia de descanso médico – Clínica San Juan de Dios Cusco</t>
  </si>
  <si>
    <t>Llegó como hilo: 2 mensaje(s) anterior(es). Lo inició: Zuñiga, Ricardo Andre &lt;Ricardo.Zuniga@marsh.com&gt;</t>
  </si>
  <si>
    <t>AAQkADdkNThjNzFkLWM0ZmMtNDJhYS04MDVlLTIwNzE4ZDI1Mzg4YgAQAGX13c8kLUQltwHqeejZ78k=-20261015135300</t>
  </si>
  <si>
    <t>AAQkADdkNThjNzFkLWM0ZmMtNDJhYS04MDVlLTIwNzE4ZDI1Mzg4YgAQAGX13c8kLUQltwHqeejZ78k=</t>
  </si>
  <si>
    <t>Re: URGENTE  PCTE NIZAMA CALLIRRGOS VICTOR SAUL REG 7324 HC 1943969//SCTR COMISION DE USUARIOS DEL SUBSECTOR HIDRAULICO SURCO-HUATICA//MAPFRE EPS</t>
  </si>
  <si>
    <t>AAQkADdkNThjNzFkLWM0ZmMtNDJhYS04MDVlLTIwNzE4ZDI1Mzg4YgAQAOzZXVjm4txEnu--BMEGDV4=-20261015140046</t>
  </si>
  <si>
    <t>AAQkADdkNThjNzFkLWM0ZmMtNDJhYS04MDVlLTIwNzE4ZDI1Mzg4YgAQAOzZXVjm4txEnu--BMEGDV4=</t>
  </si>
  <si>
    <t>Re: Informe accidente SCTR Liz Cabrejos</t>
  </si>
  <si>
    <t>lvillarroel.oxiromero@gmail.com</t>
  </si>
  <si>
    <t>Llegó como hilo: 1 mensaje(s) anterior(es). Lo inició: Liz Villarroel &lt;lvillarroel.oxiromero@gmail.com&gt;</t>
  </si>
  <si>
    <t>AAQkADdkNThjNzFkLWM0ZmMtNDJhYS04MDVlLTIwNzE4ZDI1Mzg4YgAQAP0xmvjBUkZYvLfD-mu1hPs=-20261015140745</t>
  </si>
  <si>
    <t>AAQkADdkNThjNzFkLWM0ZmMtNDJhYS04MDVlLTIwNzE4ZDI1Mzg4YgAQAP0xmvjBUkZYvLfD-mu1hPs=</t>
  </si>
  <si>
    <t>RE: SOLICITUD DE COBERTURA / AUTORIZACIÓN DE TERAPIAS SCTR - GREMARY MACHUCA BERMUDEZ - A.P. PESCA S.R.L.</t>
  </si>
  <si>
    <t>Llegó como hilo: 2 mensaje(s) anterior(es). Lo inició: SCTRSalud &lt;sctrsalud@mapfre.com.pe&gt;</t>
  </si>
  <si>
    <t>AAQkADdkNThjNzFkLWM0ZmMtNDJhYS04MDVlLTIwNzE4ZDI1Mzg4YgAQAOlfJ6zkv05lpjCqKO_YiAU=-20261015141827</t>
  </si>
  <si>
    <t>AAQkADdkNThjNzFkLWM0ZmMtNDJhYS04MDVlLTIwNzE4ZDI1Mzg4YgAQAOlfJ6zkv05lpjCqKO_YiAU=</t>
  </si>
  <si>
    <t>RE: GRUPO INTERCORP // INCIDENCIA EN LA ATENCION // CLINICA SAN JUAN BAUTISTA // HPSA</t>
  </si>
  <si>
    <t>AAQkADdkNThjNzFkLWM0ZmMtNDJhYS04MDVlLTIwNzE4ZDI1Mzg4YgAQABCmH06l80yMgw5Hu0VT9Ng=-20261015142128</t>
  </si>
  <si>
    <t>AAQkADdkNThjNzFkLWM0ZmMtNDJhYS04MDVlLTIwNzE4ZDI1Mzg4YgAQABCmH06l80yMgw5Hu0VT9Ng=</t>
  </si>
  <si>
    <t>URGENTE STATUS CG // ASEGURADO LLOCLLE HILACCAMA YSABEL SANTOS // APU LLALLAWA</t>
  </si>
  <si>
    <t>AAQkADdkNThjNzFkLWM0ZmMtNDJhYS04MDVlLTIwNzE4ZDI1Mzg4YgAQAJxehenRukfmtiKImOAzmzI=-20261015142548</t>
  </si>
  <si>
    <t>AAQkADdkNThjNzFkLWM0ZmMtNDJhYS04MDVlLTIwNzE4ZDI1Mzg4YgAQAJxehenRukfmtiKImOAzmzI=</t>
  </si>
  <si>
    <t>Solicitud de cobertura SCTR – Gabriela Cruces Fuentes</t>
  </si>
  <si>
    <t>mcollantes@epps.pe</t>
  </si>
  <si>
    <t>AAQkADdkNThjNzFkLWM0ZmMtNDJhYS04MDVlLTIwNzE4ZDI1Mzg4YgAQALAcK1CI5kzepkWdBgPzXwg=-20261015142737</t>
  </si>
  <si>
    <t>AAQkADdkNThjNzFkLWM0ZmMtNDJhYS04MDVlLTIwNzE4ZDI1Mzg4YgAQALAcK1CI5kzepkWdBgPzXwg=</t>
  </si>
  <si>
    <t>URGENTE: Carta de Garantía - Clínica AVIVA Los Olivos // BATALLA DE JUNIN S.A.C. RUC: 20603173156 - Asegurado: MICHAEL JUNIOR RODRIGUEZ ALVAREZ DNI: 73100025</t>
  </si>
  <si>
    <t>AAQkADdkNThjNzFkLWM0ZmMtNDJhYS04MDVlLTIwNzE4ZDI1Mzg4YgAQAIZEEOPYkitGjZFlyHS4RxU=-20261015152254</t>
  </si>
  <si>
    <t>AAQkADdkNThjNzFkLWM0ZmMtNDJhYS04MDVlLTIwNzE4ZDI1Mzg4YgAQAIZEEOPYkitGjZFlyHS4RxU=</t>
  </si>
  <si>
    <t>RE: APROBACIÓN DE OP</t>
  </si>
  <si>
    <t>nandrade@mapfre.com.pe</t>
  </si>
  <si>
    <t>AAQkADdkNThjNzFkLWM0ZmMtNDJhYS04MDVlLTIwNzE4ZDI1Mzg4YgAQAJkaPJrJGkSKrz6FPFJiarI=-20261015152703</t>
  </si>
  <si>
    <t>AAQkADdkNThjNzFkLWM0ZmMtNDJhYS04MDVlLTIwNzE4ZDI1Mzg4YgAQAJkaPJrJGkSKrz6FPFJiarI=</t>
  </si>
  <si>
    <t>RE: BROZINCEVIC X MARIANO ROBERTO</t>
  </si>
  <si>
    <t>Llegó como hilo: 2 mensaje(s) anterior(es). Lo inició: geguren@aseguren.com.pe &lt;geguren@aseguren.com.pe&gt;</t>
  </si>
  <si>
    <t>AAQkADdkNThjNzFkLWM0ZmMtNDJhYS04MDVlLTIwNzE4ZDI1Mzg4YgAQACvaOrbgRW5Bmq6zWBXNm4g=-20261015152931</t>
  </si>
  <si>
    <t>AAQkADdkNThjNzFkLWM0ZmMtNDJhYS04MDVlLTIwNzE4ZDI1Mzg4YgAQACvaOrbgRW5Bmq6zWBXNm4g=</t>
  </si>
  <si>
    <t xml:space="preserve">ENVIO DOCUMENTOS PARA REEMBOLSO POR VACUNAS // ASEGURADO GARCIA HUAYLLA DAVID // MUR WY SAC </t>
  </si>
  <si>
    <t>AAQkADdkNThjNzFkLWM0ZmMtNDJhYS04MDVlLTIwNzE4ZDI1Mzg4YgAQAL-BW4QMzVtMmjEMNXaCS5Y=-20261015153711</t>
  </si>
  <si>
    <t>AAQkADdkNThjNzFkLWM0ZmMtNDJhYS04MDVlLTIwNzE4ZDI1Mzg4YgAQAL-BW4QMzVtMmjEMNXaCS5Y=</t>
  </si>
  <si>
    <t>RV: SINIESTRO SCTR - SONIA CRISTINA AGUILAR ESPINOZA</t>
  </si>
  <si>
    <t>Llegó como hilo: 1 mensaje(s) anterior(es). Lo inició: Cordero Espinoza, Cesar Adolfo &lt;ccordero@mapfre.com.pe&gt;</t>
  </si>
  <si>
    <t>AAQkADdkNThjNzFkLWM0ZmMtNDJhYS04MDVlLTIwNzE4ZDI1Mzg4YgAQABhPuIJTGRxIu5Aeu_AvNrc=-20261015154802</t>
  </si>
  <si>
    <t>AAQkADdkNThjNzFkLWM0ZmMtNDJhYS04MDVlLTIwNzE4ZDI1Mzg4YgAQABhPuIJTGRxIu5Aeu_AvNrc=</t>
  </si>
  <si>
    <t>URGENTE ACTIVACION PACIENTE SCTR EN WEB OIM // PCTE : PACHECO RAMOS HECTOR GERARDO DEL JESUS // CE. 007968372</t>
  </si>
  <si>
    <t>AAQkADdkNThjNzFkLWM0ZmMtNDJhYS04MDVlLTIwNzE4ZDI1Mzg4YgAQAKTll6tlkEErpoHLvMNzXDg=-20261015155445</t>
  </si>
  <si>
    <t>AAQkADdkNThjNzFkLWM0ZmMtNDJhYS04MDVlLTIwNzE4ZDI1Mzg4YgAQAKTll6tlkEErpoHLvMNzXDg=</t>
  </si>
  <si>
    <t>RE: CARTA DE GARANTIA OBSERVADA - QUEZADA QUEVEDO JAIME ALEJANDRO</t>
  </si>
  <si>
    <t>AAQkADdkNThjNzFkLWM0ZmMtNDJhYS04MDVlLTIwNzE4ZDI1Mzg4YgAQAIcN7Lo0qkEYlIOxhWRVujw=-20261015160056</t>
  </si>
  <si>
    <t>AAQkADdkNThjNzFkLWM0ZmMtNDJhYS04MDVlLTIwNzE4ZDI1Mzg4YgAQAIcN7Lo0qkEYlIOxhWRVujw=</t>
  </si>
  <si>
    <t>SOLICITO ENTREGA DE BOTA WALKER // ASEG: YELSIN ROBIÑO HUIZA MORENO DNI 77016805 // COMPAÑIA MINERA CASMA S.A.C</t>
  </si>
  <si>
    <t>AAQkADdkNThjNzFkLWM0ZmMtNDJhYS04MDVlLTIwNzE4ZDI1Mzg4YgAQAGgoNLki_0BIsPzG5G8a_GA=-20261015160447</t>
  </si>
  <si>
    <t>AAQkADdkNThjNzFkLWM0ZmMtNDJhYS04MDVlLTIwNzE4ZDI1Mzg4YgAQAGgoNLki_0BIsPzG5G8a_GA=</t>
  </si>
  <si>
    <t>RE: SOLICITUD DE HC / PC. QUEZADA QUEVEDO JAIME ALEJANDRO / MAPFRE SCTR</t>
  </si>
  <si>
    <t>admisionpls@pls-crp.com.pe</t>
  </si>
  <si>
    <t>Admisión Ambulatoria</t>
  </si>
  <si>
    <t>Llegó como hilo: 2 mensaje(s) anterior(es). Lo inició: Calderon Ugarte, Liseth Katherine &lt;LKCALD1@mapfre.com.pe&gt;</t>
  </si>
  <si>
    <t>AAQkADdkNThjNzFkLWM0ZmMtNDJhYS04MDVlLTIwNzE4ZDI1Mzg4YgAQALgB8GNJGeNIu-ywm2wG7u4=-20261015161237</t>
  </si>
  <si>
    <t>AAQkADdkNThjNzFkLWM0ZmMtNDJhYS04MDVlLTIwNzE4ZDI1Mzg4YgAQALgB8GNJGeNIu-ywm2wG7u4=</t>
  </si>
  <si>
    <t>Re: SCTR SALUD N° 7022200063430 // INGENIERIA MECANICA ELECTRICA VASCOR SAC</t>
  </si>
  <si>
    <t>Llegó como hilo: 2 mensaje(s) anterior(es). Lo inició: Jenny Cano &lt;jennycano1970@gmail.com&gt;</t>
  </si>
  <si>
    <t>AAQkADdkNThjNzFkLWM0ZmMtNDJhYS04MDVlLTIwNzE4ZDI1Mzg4YgAQANI7jPS3nwxLjP-ZqnH68ik=-20261015161706</t>
  </si>
  <si>
    <t>AAQkADdkNThjNzFkLWM0ZmMtNDJhYS04MDVlLTIwNzE4ZDI1Mzg4YgAQANI7jPS3nwxLjP-ZqnH68ik=</t>
  </si>
  <si>
    <t>SOLICITO EVALUACIÓN Y APROBACION DE CG-PCTE.  TORRES DIAZ KIN</t>
  </si>
  <si>
    <t>AAQkADdkNThjNzFkLWM0ZmMtNDJhYS04MDVlLTIwNzE4ZDI1Mzg4YgAQAKdPz2_m0BpHjtS-NbvN9Nk=-20261015162133</t>
  </si>
  <si>
    <t>AAQkADdkNThjNzFkLWM0ZmMtNDJhYS04MDVlLTIwNzE4ZDI1Mzg4YgAQAKdPz2_m0BpHjtS-NbvN9Nk=</t>
  </si>
  <si>
    <t>Solicitud Reactivación Cobertura SCTR Salud - MILLAN CAIRAMPOMA Johel Jesus</t>
  </si>
  <si>
    <t>AAQkADdkNThjNzFkLWM0ZmMtNDJhYS04MDVlLTIwNzE4ZDI1Mzg4YgAQAJRZeTTw6wBNu3znQ4k2BUg=-20261015164206</t>
  </si>
  <si>
    <t>AAQkADdkNThjNzFkLWM0ZmMtNDJhYS04MDVlLTIwNzE4ZDI1Mzg4YgAQAJRZeTTw6wBNu3znQ4k2BUg=</t>
  </si>
  <si>
    <t>RE: SUTRAN  || SCTR SALUD  7022600006428  || ASEG   JOSE LUIS YUCRA ||  DERMATOLOGIA|| Atención 21.09 &gt;&gt; Solicitud : entrega de medicamentos</t>
  </si>
  <si>
    <t>Llegó como hilo: 2 mensaje(s) anterior(es). Lo inició: Cordova Yenque, Pilar Alexandra &lt;CYPILA1@mapfre.com.pe&gt;</t>
  </si>
  <si>
    <t>AAQkADdkNThjNzFkLWM0ZmMtNDJhYS04MDVlLTIwNzE4ZDI1Mzg4YgAQALgB8GNJGeNIu-ywm2wG7u4=-20261015165033</t>
  </si>
  <si>
    <t>RE: SCTR SALUD N° 7022200063430 // INGENIERIA MECANICA ELECTRICA VASCOR SAC</t>
  </si>
  <si>
    <t>Caso nuevo: esta conversación ya tenía un caso finalizado (AAQkADdkNThjNzFkLWM0ZmMtNDJhYS04MDVlLTIwNzE4ZDI1Mzg4YgAQALgB8GNJGeNIu-ywm2wG7u4=-20261015161237)</t>
  </si>
  <si>
    <t>AAQkADdkNThjNzFkLWM0ZmMtNDJhYS04MDVlLTIwNzE4ZDI1Mzg4YgAQAJQvVOJ5ZclLrLSGLAFLBrk=-20261015165037</t>
  </si>
  <si>
    <t>AAQkADdkNThjNzFkLWM0ZmMtNDJhYS04MDVlLTIwNzE4ZDI1Mzg4YgAQAJQvVOJ5ZclLrLSGLAFLBrk=</t>
  </si>
  <si>
    <t>Jack Ramirez Prieto, DNI 40789689</t>
  </si>
  <si>
    <t>AAQkADdkNThjNzFkLWM0ZmMtNDJhYS04MDVlLTIwNzE4ZDI1Mzg4YgAQAAfdmsuoEyFHt0t9wIIimAE=-20261015170230</t>
  </si>
  <si>
    <t>AAQkADdkNThjNzFkLWM0ZmMtNDJhYS04MDVlLTIwNzE4ZDI1Mzg4YgAQAAfdmsuoEyFHt0t9wIIimAE=</t>
  </si>
  <si>
    <t xml:space="preserve">RE: URGENTE / EMPRESA: TRANSMARINA DEL PERU  - ATENCION SCTR / COLABORADOR: LA CHIRA VITE ALEXIS JUNIOR /  CLINICA MIRAFLORES (PIURA) - CONSULTA COBRO DE CLINICA </t>
  </si>
  <si>
    <t>Llegó como hilo: 2 mensaje(s) anterior(es). Lo inició: Cepeda, Pamela &lt;Pamela.Cepeda@marsh.com&gt;</t>
  </si>
  <si>
    <t>AAQkADdkNThjNzFkLWM0ZmMtNDJhYS04MDVlLTIwNzE4ZDI1Mzg4YgAQAMwAWSc6iEbGopisEIy23vw=-20261015171550</t>
  </si>
  <si>
    <t>AAQkADdkNThjNzFkLWM0ZmMtNDJhYS04MDVlLTIwNzE4ZDI1Mzg4YgAQAMwAWSc6iEbGopisEIy23vw=</t>
  </si>
  <si>
    <t>RE: SOLICITO CONTINUIDAD ACCIDENTAL SCTR // ASEG: JEREMIAS ANGEL SANTIAGO ROJAS  DNI 43415192 // MINERA CASMA</t>
  </si>
  <si>
    <t>Llegó como hilo: 6 mensaje(s) anterior(es). Lo inició: Cordova Yenque, Pilar Alexandra &lt;CYPILA1@mapfre.com.pe&gt;</t>
  </si>
  <si>
    <t>AAQkADdkNThjNzFkLWM0ZmMtNDJhYS04MDVlLTIwNzE4ZDI1Mzg4YgAQALIdeWQe11RGtPRACvu9K44=-20261015171846</t>
  </si>
  <si>
    <t>AAQkADdkNThjNzFkLWM0ZmMtNDJhYS04MDVlLTIwNzE4ZDI1Mzg4YgAQALIdeWQe11RGtPRACvu9K44=</t>
  </si>
  <si>
    <t>RE: SOLICITO CAMBIO DE CLINICA A LA CLINICA ORTEGA - PACIENTE CONTRERAS GAGO ELMER</t>
  </si>
  <si>
    <t>Llegó como hilo: 2 mensaje(s) anterior(es). Lo inició: Pisconte San Miguel, Lessly Lisseth &lt;PSMLESS@mapfre.com.pe&gt;</t>
  </si>
  <si>
    <t>AAQkADdkNThjNzFkLWM0ZmMtNDJhYS04MDVlLTIwNzE4ZDI1Mzg4YgAQAIH30dThXs9Aiq-3M6Hc73I=-20261015173329</t>
  </si>
  <si>
    <t>AAQkADdkNThjNzFkLWM0ZmMtNDJhYS04MDVlLTIwNzE4ZDI1Mzg4YgAQAIH30dThXs9Aiq-3M6Hc73I=</t>
  </si>
  <si>
    <t>RV: SUSTENTO DIGITAL DE FACTURAS POR SERVICIO DE MEDIDA DE VISTA</t>
  </si>
  <si>
    <t>oftalmovision@hotmail.com</t>
  </si>
  <si>
    <t>Elisa Ellen Morillo</t>
  </si>
  <si>
    <t>Llegó como hilo: 1 mensaje(s) anterior(es). Lo inició: Clinica de ojos Oftalmovision &lt;oftalmovision@hotmail.com&gt;</t>
  </si>
  <si>
    <t>AAQkADdkNThjNzFkLWM0ZmMtNDJhYS04MDVlLTIwNzE4ZDI1Mzg4YgAQAJFVhh00INBKvs0h3V3s5ao=-20261015174650</t>
  </si>
  <si>
    <t>AAQkADdkNThjNzFkLWM0ZmMtNDJhYS04MDVlLTIwNzE4ZDI1Mzg4YgAQAJFVhh00INBKvs0h3V3s5ao=</t>
  </si>
  <si>
    <t>RV: SUDARIO CABELLO YOLINO</t>
  </si>
  <si>
    <t>Llegó como hilo: 1 mensaje(s) anterior(es). Lo inició: Farmacia Ambulatoria &lt;farmaciaexterna@crp.com.pe&gt;</t>
  </si>
  <si>
    <t>AAQkADdkNThjNzFkLWM0ZmMtNDJhYS04MDVlLTIwNzE4ZDI1Mzg4YgAQAB6VFWX5S03Uk1bGqRbrCE4=-20261015181612</t>
  </si>
  <si>
    <t>AAQkADdkNThjNzFkLWM0ZmMtNDJhYS04MDVlLTIwNzE4ZDI1Mzg4YgAQAB6VFWX5S03Uk1bGqRbrCE4=</t>
  </si>
  <si>
    <t xml:space="preserve">RV: Cambios en Tesoreria - Solicitud de envió al Buzon </t>
  </si>
  <si>
    <t>gaguayo@mapfre.com.pe</t>
  </si>
  <si>
    <t>Gerardo Aguayo</t>
  </si>
  <si>
    <t>Llegó como hilo: 1 mensaje(s) anterior(es). Lo inició: Cubas Deza, Cesar Herman &lt;ccubasd@mapfre.com.pe&gt;</t>
  </si>
  <si>
    <t>AAQkADdkNThjNzFkLWM0ZmMtNDJhYS04MDVlLTIwNzE4ZDI1Mzg4YgAQABV98PU0N51ApXKEJH_nYYw=-20261015182413</t>
  </si>
  <si>
    <t>AAQkADdkNThjNzFkLWM0ZmMtNDJhYS04MDVlLTIwNzE4ZDI1Mzg4YgAQABV98PU0N51ApXKEJH_nYYw=</t>
  </si>
  <si>
    <t>RV: OBSERVACION DE CARTA DE TOMOGRAFIA//CARHUAPOMA VILCAHUAMAN JEFFERSON JULIO</t>
  </si>
  <si>
    <t>Llegó como hilo: 1 mensaje(s) anterior(es). Lo inició: Admisión Emergencia &lt;admisionemergencia@cinternacional.com.pe&gt;</t>
  </si>
  <si>
    <t>AAQkADdkNThjNzFkLWM0ZmMtNDJhYS04MDVlLTIwNzE4ZDI1Mzg4YgAQANtOihOYYJpBkOejeOWPpsU=-20261015184258</t>
  </si>
  <si>
    <t>AAQkADdkNThjNzFkLWM0ZmMtNDJhYS04MDVlLTIwNzE4ZDI1Mzg4YgAQANtOihOYYJpBkOejeOWPpsU=</t>
  </si>
  <si>
    <t>RV: ASTETE MORAN AARON</t>
  </si>
  <si>
    <t>Llegó como hilo: 2 mensaje(s) anterior(es). Lo inició: Farmacia Ambulatoria &lt;farmaciaexterna@crp.com.pe&gt;</t>
  </si>
  <si>
    <t>AAQkADdkNThjNzFkLWM0ZmMtNDJhYS04MDVlLTIwNzE4ZDI1Mzg4YgAQAGM-od7pwE82kc5U3tEu-xo=-20261015184611</t>
  </si>
  <si>
    <t>AAQkADdkNThjNzFkLWM0ZmMtNDJhYS04MDVlLTIwNzE4ZDI1Mzg4YgAQAGM-od7pwE82kc5U3tEu-xo=</t>
  </si>
  <si>
    <t>RV: URGENTE // SIMA PERU // SOLICITUD DE PROCEDIMIENTO PARA TRATAMIENTO NEUROQUIRURGICO - CASO LUZMILA ZEÑA NIZAMA</t>
  </si>
  <si>
    <t>Llegó como hilo: 3 mensaje(s) anterior(es). Lo inició: Pisconte San Miguel, Lessly Lisseth &lt;PSMLESS@mapfre.com.pe&gt;</t>
  </si>
  <si>
    <t>AAQkADdkNThjNzFkLWM0ZmMtNDJhYS04MDVlLTIwNzE4ZDI1Mzg4YgAQABCmH06l80yMgw5Hu0VT9Ng=-20261015184611</t>
  </si>
  <si>
    <t>Re: URGENTE STATUS CG // ASEGURADO LLOCLLE HILACCAMA YSABEL SANTOS // APU LLALLAWA</t>
  </si>
  <si>
    <t>Luis Suárez Matushita</t>
  </si>
  <si>
    <t>Caso nuevo: esta conversación ya tenía un caso finalizado (AAQkADdkNThjNzFkLWM0ZmMtNDJhYS04MDVlLTIwNzE4ZDI1Mzg4YgAQABCmH06l80yMgw5Hu0VT9Ng=-20261015142128)</t>
  </si>
  <si>
    <t>AAQkADdkNThjNzFkLWM0ZmMtNDJhYS04MDVlLTIwNzE4ZDI1Mzg4YgAQAFh74VCbxChGldcY_L4DKrE=-20261015194825</t>
  </si>
  <si>
    <t>AAQkADdkNThjNzFkLWM0ZmMtNDJhYS04MDVlLTIwNzE4ZDI1Mzg4YgAQAFh74VCbxChGldcY_L4DKrE=</t>
  </si>
  <si>
    <t>RV: AUDITORIA MEDICA DE RECETA - SCTR SALUD - ASG MEDINA CORDERO CRISTIAN - INVERSIONES CYS- MAPFRE</t>
  </si>
  <si>
    <t>Llegó como hilo: 2 mensaje(s) anterior(es). Lo inició: Silvia Alvarado &lt;salvarado@decorcenter.pe&gt;</t>
  </si>
  <si>
    <t>AAQkADdkNThjNzFkLWM0ZmMtNDJhYS04MDVlLTIwNzE4ZDI1Mzg4YgAQAKdPz2_m0BpHjtS-NbvN9Nk=-20261015214201</t>
  </si>
  <si>
    <t>RE: Solicitud Reactivación Cobertura SCTR Salud - MILLAN CAIRAMPOMA Johel Jesus</t>
  </si>
  <si>
    <t>jlperez@mapfre.com.pe</t>
  </si>
  <si>
    <t>Caso nuevo: esta conversación ya tenía un caso finalizado (AAQkADdkNThjNzFkLWM0ZmMtNDJhYS04MDVlLTIwNzE4ZDI1Mzg4YgAQAKdPz2_m0BpHjtS-NbvN9Nk=-20261015162133)</t>
  </si>
  <si>
    <t>AAQkADdkNThjNzFkLWM0ZmMtNDJhYS04MDVlLTIwNzE4ZDI1Mzg4YgAQAI8HMecvXkJHjkWQ4YCPfx0=-20261016080655</t>
  </si>
  <si>
    <t>AAQkADdkNThjNzFkLWM0ZmMtNDJhYS04MDVlLTIwNzE4ZDI1Mzg4YgAQAI8HMecvXkJHjkWQ4YCPfx0=</t>
  </si>
  <si>
    <t>ELIANE MERCEDES MIRANDA</t>
  </si>
  <si>
    <t>AAQkADdkNThjNzFkLWM0ZmMtNDJhYS04MDVlLTIwNzE4ZDI1Mzg4YgAQADGJWUwQgLRGgT_eD8Dbg4Y=-20261016084306</t>
  </si>
  <si>
    <t>AAQkADdkNThjNzFkLWM0ZmMtNDJhYS04MDVlLTIwNzE4ZDI1Mzg4YgAQADGJWUwQgLRGgT_eD8Dbg4Y=</t>
  </si>
  <si>
    <t>SOLICITO REEMBOLSO - SCTR SALUD RUC. 20604081905</t>
  </si>
  <si>
    <t>msalazar@winos.com.pe</t>
  </si>
  <si>
    <t>Maribel Salazar T</t>
  </si>
  <si>
    <t>Llegó como hilo: 3 mensaje(s) anterior(es). Lo inició: ADMINISTRACION TECNICAS WINOS &lt;tecnicas.winos@gmail.com&gt;</t>
  </si>
  <si>
    <t>AAQkADdkNThjNzFkLWM0ZmMtNDJhYS04MDVlLTIwNzE4ZDI1Mzg4YgAQAFh74VCbxChGldcY_L4DKrE=-20261016084323</t>
  </si>
  <si>
    <t>Re: AUDITORIA MEDICA DE RECETA - SCTR SALUD - ASG MEDINA CORDERO CRISTIAN - INVERSIONES CYS- MAPFRE</t>
  </si>
  <si>
    <t>Caso nuevo: esta conversación ya tenía un caso finalizado (AAQkADdkNThjNzFkLWM0ZmMtNDJhYS04MDVlLTIwNzE4ZDI1Mzg4YgAQAFh74VCbxChGldcY_L4DKrE=-20261015194825)</t>
  </si>
  <si>
    <t>AAQkADdkNThjNzFkLWM0ZmMtNDJhYS04MDVlLTIwNzE4ZDI1Mzg4YgAQAP0xmvjBUkZYvLfD-mu1hPs=-20261016084420</t>
  </si>
  <si>
    <t>Caso nuevo: esta conversación ya tenía un caso finalizado (AAQkADdkNThjNzFkLWM0ZmMtNDJhYS04MDVlLTIwNzE4ZDI1Mzg4YgAQAP0xmvjBUkZYvLfD-mu1hPs=-20261015140745)</t>
  </si>
  <si>
    <t>AAQkADdkNThjNzFkLWM0ZmMtNDJhYS04MDVlLTIwNzE4ZDI1Mzg4YgAQADo89SPaDAtAsF3GlTVO2nw=-20261016084823</t>
  </si>
  <si>
    <t>AAQkADdkNThjNzFkLWM0ZmMtNDJhYS04MDVlLTIwNzE4ZDI1Mzg4YgAQADo89SPaDAtAsF3GlTVO2nw=</t>
  </si>
  <si>
    <t>Notification: Notificacion - R40C0B7</t>
  </si>
  <si>
    <t>postmaster@mapfrecorp.onmicrosoft.com</t>
  </si>
  <si>
    <t>AAQkADdkNThjNzFkLWM0ZmMtNDJhYS04MDVlLTIwNzE4ZDI1Mzg4YgAQAHQ0ipx9ouBCtraOIP1NVKA=-20261016085648</t>
  </si>
  <si>
    <t>AAQkADdkNThjNzFkLWM0ZmMtNDJhYS04MDVlLTIwNzE4ZDI1Mzg4YgAQAHQ0ipx9ouBCtraOIP1NVKA=</t>
  </si>
  <si>
    <t>RE: SOLICITUD DE PRENDA - SCTR SALUD - SANCHEZ SANCHEZ LUIS</t>
  </si>
  <si>
    <t>anton</t>
  </si>
  <si>
    <t>Llegó como hilo: 1 mensaje(s) anterior(es). Lo inició: SCTRSalud &lt;sctrsalud@mapfre.com.pe&gt; | Finalizado en Power Apps por anton el 16/10/2026 11:03</t>
  </si>
  <si>
    <t>AAQkADdkNThjNzFkLWM0ZmMtNDJhYS04MDVlLTIwNzE4ZDI1Mzg4YgAQAHcpYLJOEltGk7Q_LglByLE=-20261016085904</t>
  </si>
  <si>
    <t>AAQkADdkNThjNzFkLWM0ZmMtNDJhYS04MDVlLTIwNzE4ZDI1Mzg4YgAQAHcpYLJOEltGk7Q_LglByLE=</t>
  </si>
  <si>
    <t>RE: Solicitud de Reembolso por Atención Médica – Accidente Laboral – Valera Linares Mariano Agustín</t>
  </si>
  <si>
    <t>Llegó como hilo: 1 mensaje(s) anterior(es). Lo inició: SCTRSalud &lt;sctrsalud@mapfre.com.pe&gt; | Finalizado en Power Apps por anton el 16/10/2026 10:30</t>
  </si>
  <si>
    <t>AAQkADdkNThjNzFkLWM0ZmMtNDJhYS04MDVlLTIwNzE4ZDI1Mzg4YgAQAA1YQX44JCpFo2jPFE10GvY=-20261016091303</t>
  </si>
  <si>
    <t>AAQkADdkNThjNzFkLWM0ZmMtNDJhYS04MDVlLTIwNzE4ZDI1Mzg4YgAQAA1YQX44JCpFo2jPFE10GvY=</t>
  </si>
  <si>
    <t>RE: REEMBOLSO DE MEDICAMENTO X ACC. TRABAJO - QUISPE LLIHUAC FRANK</t>
  </si>
  <si>
    <t>AAQkADdkNThjNzFkLWM0ZmMtNDJhYS04MDVlLTIwNzE4ZDI1Mzg4YgAQAJ1u_euL7ZFJljT8R7KDCdo=-20261016092436</t>
  </si>
  <si>
    <t>AAQkADdkNThjNzFkLWM0ZmMtNDJhYS04MDVlLTIwNzE4ZDI1Mzg4YgAQAJ1u_euL7ZFJljT8R7KDCdo=</t>
  </si>
  <si>
    <t>Orden Medica Ferula dinámica SCTR</t>
  </si>
  <si>
    <t>AAQkADdkNThjNzFkLWM0ZmMtNDJhYS04MDVlLTIwNzE4ZDI1Mzg4YgAQAOQb9dxBJUilq4hvNEl_GBw=-20261016093305</t>
  </si>
  <si>
    <t>AAQkADdkNThjNzFkLWM0ZmMtNDJhYS04MDVlLTIwNzE4ZDI1Mzg4YgAQAOQb9dxBJUilq4hvNEl_GBw=</t>
  </si>
  <si>
    <t>RE: REEMBOLSO SCT ATENCION MINERA SOUTHERN EMPRESA LUANG</t>
  </si>
  <si>
    <t>Llegó como hilo: 4 mensaje(s) anterior(es). Lo inició: SCTRSalud &lt;sctrsalud@mapfre.com.pe&gt;</t>
  </si>
  <si>
    <t>AAQkADdkNThjNzFkLWM0ZmMtNDJhYS04MDVlLTIwNzE4ZDI1Mzg4YgAQADQDrDVSYkcApTV7LKZktpA=-20261016094321</t>
  </si>
  <si>
    <t>AAQkADdkNThjNzFkLWM0ZmMtNDJhYS04MDVlLTIwNzE4ZDI1Mzg4YgAQADQDrDVSYkcApTV7LKZktpA=</t>
  </si>
  <si>
    <t>RE: HONGKUN MAQUINARIAS S.A.C. // OBSERVACION -- ACCIDENTE DE TRABAJADOR  EN EL AÑO 2025 - ALEX ZHUANG DNI: 07659854</t>
  </si>
  <si>
    <t>Llegó como hilo: 2 mensaje(s) anterior(es). Lo inició: Marina Marin &lt;mmarin@ruska.com.pe&gt;</t>
  </si>
  <si>
    <t>AAQkADdkNThjNzFkLWM0ZmMtNDJhYS04MDVlLTIwNzE4ZDI1Mzg4YgAQAFOXhWhuakp4rR2SBymSqGU=-20261016095036</t>
  </si>
  <si>
    <t>AAQkADdkNThjNzFkLWM0ZmMtNDJhYS04MDVlLTIwNzE4ZDI1Mzg4YgAQAFOXhWhuakp4rR2SBymSqGU=</t>
  </si>
  <si>
    <t>RE: +VIDA Seguro de Accidentes - EsSalud - Sociedad Nacional de Minería, Petróleo y Energía</t>
  </si>
  <si>
    <t>Llegó como hilo: 1 mensaje(s) anterior(es). Lo inició: Sofía Izquierdo &lt;sizquierdo@snmpe.org.pe&gt;</t>
  </si>
  <si>
    <t>AAQkADdkNThjNzFkLWM0ZmMtNDJhYS04MDVlLTIwNzE4ZDI1Mzg4YgAQAHkRno1mIMhKhb6VnmSihvE=-20261016095633</t>
  </si>
  <si>
    <t>AAQkADdkNThjNzFkLWM0ZmMtNDJhYS04MDVlLTIwNzE4ZDI1Mzg4YgAQAHkRno1mIMhKhb6VnmSihvE=</t>
  </si>
  <si>
    <t xml:space="preserve">RE: Solicitud de Reembolso SCTR SALUD   - Atención Rubi Bellasmil//  PEDRAL </t>
  </si>
  <si>
    <t>Llegó como hilo: 4 mensaje(s) anterior(es). Lo inició: Soledad Pérez &lt;sperez@platanitos.com&gt;</t>
  </si>
  <si>
    <t>AAQkADdkNThjNzFkLWM0ZmMtNDJhYS04MDVlLTIwNzE4ZDI1Mzg4YgAQALgB8GNJGeNIu-ywm2wG7u4=-20261016095651</t>
  </si>
  <si>
    <t>jennycano1970@gmail.com</t>
  </si>
  <si>
    <t>Caso nuevo: esta conversación ya tenía un caso finalizado (AAQkADdkNThjNzFkLWM0ZmMtNDJhYS04MDVlLTIwNzE4ZDI1Mzg4YgAQALgB8GNJGeNIu-ywm2wG7u4=-20261015165033)</t>
  </si>
  <si>
    <t>AAQkADdkNThjNzFkLWM0ZmMtNDJhYS04MDVlLTIwNzE4ZDI1Mzg4YgAQAOvUx9PVCUflr2upTKymxec=-20261016100343</t>
  </si>
  <si>
    <t>AAQkADdkNThjNzFkLWM0ZmMtNDJhYS04MDVlLTIwNzE4ZDI1Mzg4YgAQAOvUx9PVCUflr2upTKymxec=</t>
  </si>
  <si>
    <t xml:space="preserve">RE: PESQUERA DIAMANTE SCTR : LOZADA MIRANDA MARIO - EVALUACION </t>
  </si>
  <si>
    <t>AAQkADdkNThjNzFkLWM0ZmMtNDJhYS04MDVlLTIwNzE4ZDI1Mzg4YgAQAKrWzxcKwkRBiznkg3zhClQ=-20261016100438</t>
  </si>
  <si>
    <t>AAQkADdkNThjNzFkLWM0ZmMtNDJhYS04MDVlLTIwNzE4ZDI1Mzg4YgAQAKrWzxcKwkRBiznkg3zhClQ=</t>
  </si>
  <si>
    <t xml:space="preserve">RE:  URGENTE APOYO SAN ANTONIO : OFICIO MINISTERIO PUBLICO CASO  EDGARDO CARREÑO. SCTR SALUD MAPFRE </t>
  </si>
  <si>
    <t>Llegó como hilo: 1 mensaje(s) anterior(es). Lo inició: Herrera Mazuelos, Cesar Ramon cherrera@mapfre.com.pe</t>
  </si>
  <si>
    <t>AAQkADdkNThjNzFkLWM0ZmMtNDJhYS04MDVlLTIwNzE4ZDI1Mzg4YgAQAFTffaSjvh1MsJ3_jWvHI0U=-20261016100456</t>
  </si>
  <si>
    <t>AAQkADdkNThjNzFkLWM0ZmMtNDJhYS04MDVlLTIwNzE4ZDI1Mzg4YgAQAFTffaSjvh1MsJ3_jWvHI0U=</t>
  </si>
  <si>
    <t>LOZADA MIRANDA MARIO - CITA MEDICA</t>
  </si>
  <si>
    <t>AAQkADdkNThjNzFkLWM0ZmMtNDJhYS04MDVlLTIwNzE4ZDI1Mzg4YgAQAPydu0ZHeEDwhA0lcPSmpP0=-20261016100513</t>
  </si>
  <si>
    <t>AAQkADdkNThjNzFkLWM0ZmMtNDJhYS04MDVlLTIwNzE4ZDI1Mzg4YgAQAPydu0ZHeEDwhA0lcPSmpP0=</t>
  </si>
  <si>
    <t>SINIESTRO SCTR SALUD - ASEG SALINAS BARRIGA ESTELA MILUSKA - SRES SHALOM EMPRESARIAL SAC</t>
  </si>
  <si>
    <t>AAQkADdkNThjNzFkLWM0ZmMtNDJhYS04MDVlLTIwNzE4ZDI1Mzg4YgAQADW6SuilqPFMi9L7gb45YSs=-20261016100812</t>
  </si>
  <si>
    <t>AAQkADdkNThjNzFkLWM0ZmMtNDJhYS04MDVlLTIwNzE4ZDI1Mzg4YgAQADW6SuilqPFMi9L7gb45YSs=</t>
  </si>
  <si>
    <t>RV: AUTORIZACIÓN DE COBERTURA MATERIALES DESCARTABLES</t>
  </si>
  <si>
    <t>AAQkADdkNThjNzFkLWM0ZmMtNDJhYS04MDVlLTIwNzE4ZDI1Mzg4YgAQAGlOta72dktAljz2V8h4Jzk=-20261016101342</t>
  </si>
  <si>
    <t xml:space="preserve">RE: RE: </t>
  </si>
  <si>
    <t>dianahuillca699@gmail.com</t>
  </si>
  <si>
    <t>Caso nuevo: esta conversación ya tenía un caso finalizado (AAQkADdkNThjNzFkLWM0ZmMtNDJhYS04MDVlLTIwNzE4ZDI1Mzg4YgAQAGlOta72dktAljz2V8h4Jzk=-20261015111032)</t>
  </si>
  <si>
    <t>AAQkADdkNThjNzFkLWM0ZmMtNDJhYS04MDVlLTIwNzE4ZDI1Mzg4YgAQAGN7rBqrOx9KsHFhL8x7VsI=-20261016102458</t>
  </si>
  <si>
    <t>AAQkADdkNThjNzFkLWM0ZmMtNDJhYS04MDVlLTIwNzE4ZDI1Mzg4YgAQAGN7rBqrOx9KsHFhL8x7VsI=</t>
  </si>
  <si>
    <t>SOLICITUD DE COBERTURA DE 02 MANGA COMPRESORA Y 02 SILICONA - QUISPE LLIHUAC FRANK PAUL - ACC TRABAJO</t>
  </si>
  <si>
    <t>AAQkADdkNThjNzFkLWM0ZmMtNDJhYS04MDVlLTIwNzE4ZDI1Mzg4YgAQAPiBWnFd7wVIhyqiZeNwXSk=-20261016102650</t>
  </si>
  <si>
    <t>AAQkADdkNThjNzFkLWM0ZmMtNDJhYS04MDVlLTIwNzE4ZDI1Mzg4YgAQAPiBWnFd7wVIhyqiZeNwXSk=</t>
  </si>
  <si>
    <t>RE: Solicitud de Reembolso por Atención Médica – Accidente Laboral – MAQUEN MENDOZA YOLANDA HERMINIA</t>
  </si>
  <si>
    <t>Llegó como hilo: 2 mensaje(s) anterior(es). Lo inició: Riveros Briceño, Carlos Rolando &lt;rriveros@mapfre.com.pe&gt;</t>
  </si>
  <si>
    <t>AAQkADdkNThjNzFkLWM0ZmMtNDJhYS04MDVlLTIwNzE4ZDI1Mzg4YgAQAGxKj52V8kfdrcJHLCF70Wo=-20261016103103</t>
  </si>
  <si>
    <t>AAQkADdkNThjNzFkLWM0ZmMtNDJhYS04MDVlLTIwNzE4ZDI1Mzg4YgAQAGxKj52V8kfdrcJHLCF70Wo=</t>
  </si>
  <si>
    <t>RE: CARTA DE GARANTIA ROLIN AYACHI ALEX ADRIAN</t>
  </si>
  <si>
    <t>Llegó como hilo: 2 mensaje(s) anterior(es). Lo inició: Padilla, Jhon &lt;Jhon.Padilla@marsh.com&gt;</t>
  </si>
  <si>
    <t>AAQkADdkNThjNzFkLWM0ZmMtNDJhYS04MDVlLTIwNzE4ZDI1Mzg4YgAQAPfONlEK60KJmUyDgjxHZKk=-20261016104614</t>
  </si>
  <si>
    <t>AAQkADdkNThjNzFkLWM0ZmMtNDJhYS04MDVlLTIwNzE4ZDI1Mzg4YgAQAPfONlEK60KJmUyDgjxHZKk=</t>
  </si>
  <si>
    <t>TORRES AQUINO JUVENAL HC 1884636 REG 7860//SCTR MOLY-COP ADESUR S.A//MAPFRE EPS</t>
  </si>
  <si>
    <t>AAQkADdkNThjNzFkLWM0ZmMtNDJhYS04MDVlLTIwNzE4ZDI1Mzg4YgAQAOtwfdiF8flEujFqCba03gA=-20261016105611</t>
  </si>
  <si>
    <t>AAQkADdkNThjNzFkLWM0ZmMtNDJhYS04MDVlLTIwNzE4ZDI1Mzg4YgAQAOtwfdiF8flEujFqCba03gA=</t>
  </si>
  <si>
    <t>RE: ASEG. JOSE DAVID FLORES ONOFRE - SCTR</t>
  </si>
  <si>
    <t>Llegó como hilo: 1 mensaje(s) anterior(es). Lo inició: Christiane von Koeller &lt;christiane@euromedica.pe&gt;</t>
  </si>
  <si>
    <t>AAQkADdkNThjNzFkLWM0ZmMtNDJhYS04MDVlLTIwNzE4ZDI1Mzg4YgAQAHuX3U1Z0u9Mg94rgXMLoiE=-20261016105657</t>
  </si>
  <si>
    <t>Caso nuevo: esta conversación ya tenía un caso finalizado (AAQkADdkNThjNzFkLWM0ZmMtNDJhYS04MDVlLTIwNzE4ZDI1Mzg4YgAQAHuX3U1Z0u9Mg94rgXMLoiE=-20261014114726)</t>
  </si>
  <si>
    <t>AAQkADdkNThjNzFkLWM0ZmMtNDJhYS04MDVlLTIwNzE4ZDI1Mzg4YgAQAFZonFICPGVNv9B0X5OjDx4=-20261016110344</t>
  </si>
  <si>
    <t>AAQkADdkNThjNzFkLWM0ZmMtNDJhYS04MDVlLTIwNzE4ZDI1Mzg4YgAQAFZonFICPGVNv9B0X5OjDx4=</t>
  </si>
  <si>
    <t>RE: Reembolso SCTR AI LONGHAI</t>
  </si>
  <si>
    <t>ryu29dbr@gmail.com</t>
  </si>
  <si>
    <t>Llegó como hilo: 2 mensaje(s) anterior(es). Lo inició: Debora Apaza Quilca &lt;ryu29dbr@gmail.com&gt;</t>
  </si>
  <si>
    <t>AAQkADdkNThjNzFkLWM0ZmMtNDJhYS04MDVlLTIwNzE4ZDI1Mzg4YgAQABd9UA-MNVdElotb__0xVMA=-20261016111023</t>
  </si>
  <si>
    <t>AAQkADdkNThjNzFkLWM0ZmMtNDJhYS04MDVlLTIwNzE4ZDI1Mzg4YgAQABd9UA-MNVdElotb__0xVMA=</t>
  </si>
  <si>
    <t>RE: REVISIÓN CG OBSERVADA// SCTR SALUD// PANA AUTOS // PACIENTE: FRACISCO CRUZ - CRUZ SEDANO FRANCISCO CARMELO</t>
  </si>
  <si>
    <t>AAQkADdkNThjNzFkLWM0ZmMtNDJhYS04MDVlLTIwNzE4ZDI1Mzg4YgAQADou-rQQVLxCstes3Mekap8=-20261016111045</t>
  </si>
  <si>
    <t>AAQkADdkNThjNzFkLWM0ZmMtNDJhYS04MDVlLTIwNzE4ZDI1Mzg4YgAQADou-rQQVLxCstes3Mekap8=</t>
  </si>
  <si>
    <t>RE: SE SOLICITA CARTA DE GARANTIA//PAC;: BLAZ RUEDA FERMIN // MAPFRE SCTR</t>
  </si>
  <si>
    <t>Llegó como hilo: 1 mensaje(s) anterior(es). Lo inició: Admision Hospitalaria 2 &lt;admisionhospitalaria@montefiori.com.pe&gt;</t>
  </si>
  <si>
    <t>AAQkADdkNThjNzFkLWM0ZmMtNDJhYS04MDVlLTIwNzE4ZDI1Mzg4YgAQANZAhb6LZ0ICiGgPUyZbN3g=-20261016111726</t>
  </si>
  <si>
    <t>AAQkADdkNThjNzFkLWM0ZmMtNDJhYS04MDVlLTIwNzE4ZDI1Mzg4YgAQANZAhb6LZ0ICiGgPUyZbN3g=</t>
  </si>
  <si>
    <t>ATENCION DE TRABAJADORA</t>
  </si>
  <si>
    <t>AAQkADdkNThjNzFkLWM0ZmMtNDJhYS04MDVlLTIwNzE4ZDI1Mzg4YgAQAL-BW4QMzVtMmjEMNXaCS5Y=-20261016112052</t>
  </si>
  <si>
    <t>Re: SINIESTRO SCTR - SONIA CRISTINA AGUILAR ESPINOZA</t>
  </si>
  <si>
    <t>Caso nuevo: esta conversación ya tenía un caso finalizado (AAQkADdkNThjNzFkLWM0ZmMtNDJhYS04MDVlLTIwNzE4ZDI1Mzg4YgAQAL-BW4QMzVtMmjEMNXaCS5Y=-20261015153711)</t>
  </si>
  <si>
    <t>AAQkADdkNThjNzFkLWM0ZmMtNDJhYS04MDVlLTIwNzE4ZDI1Mzg4YgAQABd9UA-MNVdElotb__0xVMA=-20261016112107</t>
  </si>
  <si>
    <t>Caso nuevo: esta conversación ya tenía un caso finalizado (AAQkADdkNThjNzFkLWM0ZmMtNDJhYS04MDVlLTIwNzE4ZDI1Mzg4YgAQABd9UA-MNVdElotb__0xVMA=-20261016111023)</t>
  </si>
  <si>
    <t>AAQkADdkNThjNzFkLWM0ZmMtNDJhYS04MDVlLTIwNzE4ZDI1Mzg4YgAQAL7ZA0Vgjb9NmGFXOYqjljw=-20261016112258</t>
  </si>
  <si>
    <t>AAQkADdkNThjNzFkLWM0ZmMtNDJhYS04MDVlLTIwNzE4ZDI1Mzg4YgAQAL7ZA0Vgjb9NmGFXOYqjljw=</t>
  </si>
  <si>
    <t>RCONSULTA SINIESTRO - SCTR SALUD - POLIZA N° 7022500115991 - CC LABORATORIOS SAC</t>
  </si>
  <si>
    <t>Llegó como hilo: 1 mensaje(s) anterior(es). Lo inició: Del Busto Aguero, Carolina Maria Del Rosario &lt;cdelbusto@mapfre.com.pe&gt;</t>
  </si>
  <si>
    <t>AAQkADdkNThjNzFkLWM0ZmMtNDJhYS04MDVlLTIwNzE4ZDI1Mzg4YgAQAIliMqLxAkATqy6vQNIzrSA=-20261016112759</t>
  </si>
  <si>
    <t>AAQkADdkNThjNzFkLWM0ZmMtNDJhYS04MDVlLTIwNzE4ZDI1Mzg4YgAQAIliMqLxAkATqy6vQNIzrSA=</t>
  </si>
  <si>
    <t xml:space="preserve">RE: COMPROMISO DE AMPLIACION - AGUILAR ESPINOZA SONIA </t>
  </si>
  <si>
    <t>Llegó como hilo: 2 mensaje(s) anterior(es). Lo inició: Alexander Rodriguez – Jefaura de Presupuesto Hospitalario &lt;alrodriguez@sanpablo.com.pe&gt;</t>
  </si>
  <si>
    <t>AAQkADdkNThjNzFkLWM0ZmMtNDJhYS04MDVlLTIwNzE4ZDI1Mzg4YgAQAHIRvVRbuMRDmNxZZ-XQU9E=-20261016113137</t>
  </si>
  <si>
    <t>AAQkADdkNThjNzFkLWM0ZmMtNDJhYS04MDVlLTIwNzE4ZDI1Mzg4YgAQAHIRvVRbuMRDmNxZZ-XQU9E=</t>
  </si>
  <si>
    <t>RE: REEVALUACIÓN DE CARTA DE GARANTÍA | AS. APOLITOS VERGARAY SANCHEZ DNI: 44329580 | SRES. SOCORRO CARGO EXPRESS SA</t>
  </si>
  <si>
    <t>Llegó como hilo: 2 mensaje(s) anterior(es). Lo inició: Marco Gomez &lt;mgomez@blcorredoresdeseguros.com&gt;</t>
  </si>
  <si>
    <t>AAQkADdkNThjNzFkLWM0ZmMtNDJhYS04MDVlLTIwNzE4ZDI1Mzg4YgAQACTd0vYacxlJoj_R2yh3NFE=-20261016114322</t>
  </si>
  <si>
    <t>AAQkADdkNThjNzFkLWM0ZmMtNDJhYS04MDVlLTIwNzE4ZDI1Mzg4YgAQACTd0vYacxlJoj_R2yh3NFE=</t>
  </si>
  <si>
    <t>VALIDACIÓN Y CONFRIMACIÓN DE COBERTURA SCTR / PX. TORRES DEL RIO DANIELLA</t>
  </si>
  <si>
    <t>AAQkADdkNThjNzFkLWM0ZmMtNDJhYS04MDVlLTIwNzE4ZDI1Mzg4YgAQAOwwiVbZYllNpNQ7mYrZLGQ=-20261016115003</t>
  </si>
  <si>
    <t>AAQkADdkNThjNzFkLWM0ZmMtNDJhYS04MDVlLTIwNzE4ZDI1Mzg4YgAQAOwwiVbZYllNpNQ7mYrZLGQ=</t>
  </si>
  <si>
    <t>CG 1150990 | ASEG: CARRION RENGIFO WALDIR EDINSON | SCTR</t>
  </si>
  <si>
    <t>AAQkADdkNThjNzFkLWM0ZmMtNDJhYS04MDVlLTIwNzE4ZDI1Mzg4YgAQAIDLSWIKXqVLnbMeEgteBCg=-20261016120029</t>
  </si>
  <si>
    <t>AAQkADdkNThjNzFkLWM0ZmMtNDJhYS04MDVlLTIwNzE4ZDI1Mzg4YgAQAIDLSWIKXqVLnbMeEgteBCg=</t>
  </si>
  <si>
    <t>MAPFRE SCTR SALUD - HUERTAS AGUIRRE GINA MARA - PERU PIMA S.A.</t>
  </si>
  <si>
    <t>AAQkADdkNThjNzFkLWM0ZmMtNDJhYS04MDVlLTIwNzE4ZDI1Mzg4YgAQAE8YGofNYAJPg_wgBMh2Un4=-20261016120039</t>
  </si>
  <si>
    <t>AAQkADdkNThjNzFkLWM0ZmMtNDJhYS04MDVlLTIwNzE4ZDI1Mzg4YgAQAE8YGofNYAJPg_wgBMh2Un4=</t>
  </si>
  <si>
    <t>RE: REACTIVACIÓN DE COBERTURA SCTR _ HUERTAS AGUIRRE GINA MARA _ DNI 40560552  _ PERU PIMA</t>
  </si>
  <si>
    <t>AAQkADdkNThjNzFkLWM0ZmMtNDJhYS04MDVlLTIwNzE4ZDI1Mzg4YgAQANLLN4K4VDhGrkhO4n7rkSs=-20261016120417</t>
  </si>
  <si>
    <t>RE:       URGENTE Christopher Vicuña // Marcan Ingenieros S.A</t>
  </si>
  <si>
    <t>Caso nuevo: esta conversación ya tenía un caso finalizado (AAQkADdkNThjNzFkLWM0ZmMtNDJhYS04MDVlLTIwNzE4ZDI1Mzg4YgAQANLLN4K4VDhGrkhO4n7rkSs=-20261015115305)</t>
  </si>
  <si>
    <t>AAQkADdkNThjNzFkLWM0ZmMtNDJhYS04MDVlLTIwNzE4ZDI1Mzg4YgAQAMwAWSc6iEbGopisEIy23vw=-20261016120957</t>
  </si>
  <si>
    <t>Caso nuevo: esta conversación ya tenía un caso finalizado (AAQkADdkNThjNzFkLWM0ZmMtNDJhYS04MDVlLTIwNzE4ZDI1Mzg4YgAQAMwAWSc6iEbGopisEIy23vw=-20261015171550)</t>
  </si>
  <si>
    <t>AAQkADdkNThjNzFkLWM0ZmMtNDJhYS04MDVlLTIwNzE4ZDI1Mzg4YgAQAKkgDpU78uVLrDL8aiw3eQg=-20261016121110</t>
  </si>
  <si>
    <t>AAQkADdkNThjNzFkLWM0ZmMtNDJhYS04MDVlLTIwNzE4ZDI1Mzg4YgAQAKkgDpU78uVLrDL8aiw3eQg=</t>
  </si>
  <si>
    <t>CITA MEDICA - ANA MONTENEGRO CARRION</t>
  </si>
  <si>
    <t>AAQkADdkNThjNzFkLWM0ZmMtNDJhYS04MDVlLTIwNzE4ZDI1Mzg4YgAQAEwOPS97d7pKlZfJAybIEnI=-20261016122016</t>
  </si>
  <si>
    <t>AAQkADdkNThjNzFkLWM0ZmMtNDJhYS04MDVlLTIwNzE4ZDI1Mzg4YgAQAEwOPS97d7pKlZfJAybIEnI=</t>
  </si>
  <si>
    <t>RE: CONCURRENCIA ESSALUD -  BORJAS RAMOS MARCO ANTONIO</t>
  </si>
  <si>
    <t>Fraude y Reticencia</t>
  </si>
  <si>
    <t>AAQkADdkNThjNzFkLWM0ZmMtNDJhYS04MDVlLTIwNzE4ZDI1Mzg4YgAQAJJ6N1BMwX9ChMevFru0jg0=-20261016122600</t>
  </si>
  <si>
    <t>AAQkADdkNThjNzFkLWM0ZmMtNDJhYS04MDVlLTIwNzE4ZDI1Mzg4YgAQAJJ6N1BMwX9ChMevFru0jg0=</t>
  </si>
  <si>
    <t>RE: TREBOL | CONSULTA ATENCION SCTR - LASTRA CAMUS MARIANO</t>
  </si>
  <si>
    <t>Llegó como hilo: 2 mensaje(s) anterior(es). Lo inició: Lockton Peru - Celima &lt;celima.peru@lockton.com&gt;</t>
  </si>
  <si>
    <t>AAQkADdkNThjNzFkLWM0ZmMtNDJhYS04MDVlLTIwNzE4ZDI1Mzg4YgAQAAtbde2nRNJAipg_C5ux7rY=-20261016122855</t>
  </si>
  <si>
    <t>AAQkADdkNThjNzFkLWM0ZmMtNDJhYS04MDVlLTIwNzE4ZDI1Mzg4YgAQAAtbde2nRNJAipg_C5ux7rY=</t>
  </si>
  <si>
    <t>MAPFRE SCTR SALUD - LANDA MOTTA JESUS RODOLFO - LEE FILTER DEL PERU S.A.</t>
  </si>
  <si>
    <t>AAQkADdkNThjNzFkLWM0ZmMtNDJhYS04MDVlLTIwNzE4ZDI1Mzg4YgAQAFNfs6Fi10nur2PXMLe_xzs=-20261016124529</t>
  </si>
  <si>
    <t>AAQkADdkNThjNzFkLWM0ZmMtNDJhYS04MDVlLTIwNzE4ZDI1Mzg4YgAQAFNfs6Fi10nur2PXMLe_xzs=</t>
  </si>
  <si>
    <t>RE: MUY URGENTE ALERTA!!! COBERTURA POR NUEVA LESIÓN / PIERIPLAST S.A.C. / MAPFRE SCTR SALUD - PÓLIZA N° 7022200037541 / ASEG: SANDY GONZALES RAMOS - DNI: 81595466  / CL SAN JUAN BAUTISTA</t>
  </si>
  <si>
    <t>AAQkADdkNThjNzFkLWM0ZmMtNDJhYS04MDVlLTIwNzE4ZDI1Mzg4YgAQAHW-CNkCJ7hIjnQqPdjVc6k=-20261016124928</t>
  </si>
  <si>
    <t>AAQkADdkNThjNzFkLWM0ZmMtNDJhYS04MDVlLTIwNzE4ZDI1Mzg4YgAQAHW-CNkCJ7hIjnQqPdjVc6k=</t>
  </si>
  <si>
    <t>INDECI - REPORTE ACCIDENTES SCTR SALUD OCTUBRE 2026</t>
  </si>
  <si>
    <t>Llegó como hilo: 1 mensaje(s) anterior(es). Lo inició: Maria Fernanda Prado Flores &lt;mprado@indeci.gob.pe&gt;</t>
  </si>
  <si>
    <t>AAQkADdkNThjNzFkLWM0ZmMtNDJhYS04MDVlLTIwNzE4ZDI1Mzg4YgAQAEuF17Ky0TNIlRIaLsum41s=-20261016125207</t>
  </si>
  <si>
    <t>AAQkADdkNThjNzFkLWM0ZmMtNDJhYS04MDVlLTIwNzE4ZDI1Mzg4YgAQAEuF17Ky0TNIlRIaLsum41s=</t>
  </si>
  <si>
    <t>MAPFRE SCTR SALUD - SANDY GONZALES RAMOS - PIERIPLAST S.A.C</t>
  </si>
  <si>
    <t>AAQkADdkNThjNzFkLWM0ZmMtNDJhYS04MDVlLTIwNzE4ZDI1Mzg4YgAQADQ_LybLxKhEnpb_dRQTYqk=-20261016125253</t>
  </si>
  <si>
    <t>AAQkADdkNThjNzFkLWM0ZmMtNDJhYS04MDVlLTIwNzE4ZDI1Mzg4YgAQADQ_LybLxKhEnpb_dRQTYqk=</t>
  </si>
  <si>
    <t>Revisión urgente de caso SCTR - JORGE QUIPAS</t>
  </si>
  <si>
    <t>AAQkADdkNThjNzFkLWM0ZmMtNDJhYS04MDVlLTIwNzE4ZDI1Mzg4YgAQABimXmiHTxlBg-bEvFnwja8=-20261016125331</t>
  </si>
  <si>
    <t>AAQkADdkNThjNzFkLWM0ZmMtNDJhYS04MDVlLTIwNzE4ZDI1Mzg4YgAQABimXmiHTxlBg-bEvFnwja8=</t>
  </si>
  <si>
    <t>RE: CONCURRENCIA ESSALUD - LEON VELA MANUEL ANGEL</t>
  </si>
  <si>
    <t>AAQkADdkNThjNzFkLWM0ZmMtNDJhYS04MDVlLTIwNzE4ZDI1Mzg4YgAQAFyojxKdkoBCld0Nkw55UdU=-20261016130833</t>
  </si>
  <si>
    <t>AAQkADdkNThjNzFkLWM0ZmMtNDJhYS04MDVlLTIwNzE4ZDI1Mzg4YgAQAFyojxKdkoBCld0Nkw55UdU=</t>
  </si>
  <si>
    <t>ROJAS SARMIENTO JOSE  ESTEBAN, has recibido un pago</t>
  </si>
  <si>
    <t>pagoactivo@notificaciones.interbank.pe</t>
  </si>
  <si>
    <t>AAQkADdkNThjNzFkLWM0ZmMtNDJhYS04MDVlLTIwNzE4ZDI1Mzg4YgAQAFOXhWhuakp4rR2SBymSqGU=-20261016131039</t>
  </si>
  <si>
    <t>Respuesta automática: +VIDA Seguro de Accidentes - EsSalud - Sociedad Nacional de Minería, Petróleo y Energía</t>
  </si>
  <si>
    <t>solucionesvida@mapfre.com.pe</t>
  </si>
  <si>
    <t>Caso nuevo: esta conversación ya tenía un caso finalizado (AAQkADdkNThjNzFkLWM0ZmMtNDJhYS04MDVlLTIwNzE4ZDI1Mzg4YgAQAFOXhWhuakp4rR2SBymSqGU=-20261016095036)</t>
  </si>
  <si>
    <t>AAQkADdkNThjNzFkLWM0ZmMtNDJhYS04MDVlLTIwNzE4ZDI1Mzg4YgAQAAl41asTPrZJs4KsL6YPKYk=-20261016131620</t>
  </si>
  <si>
    <t>Caso nuevo: esta conversación ya tenía un caso finalizado (AAQkADdkNThjNzFkLWM0ZmMtNDJhYS04MDVlLTIwNzE4ZDI1Mzg4YgAQAAl41asTPrZJs4KsL6YPKYk=-20261014112925)</t>
  </si>
  <si>
    <t>AAQkADdkNThjNzFkLWM0ZmMtNDJhYS04MDVlLTIwNzE4ZDI1Mzg4YgAQAJ1u_euL7ZFJljT8R7KDCdo=-20261016131808</t>
  </si>
  <si>
    <t>RE: Orden Medica Ferula dinámica SCTR</t>
  </si>
  <si>
    <t>gestionalpaciente_surco@mapfre.com.pe</t>
  </si>
  <si>
    <t>Evelyn Meza</t>
  </si>
  <si>
    <t>Caso nuevo: esta conversación ya tenía un caso finalizado (AAQkADdkNThjNzFkLWM0ZmMtNDJhYS04MDVlLTIwNzE4ZDI1Mzg4YgAQAJ1u_euL7ZFJljT8R7KDCdo=-20261016092436)</t>
  </si>
  <si>
    <t>AAQkADdkNThjNzFkLWM0ZmMtNDJhYS04MDVlLTIwNzE4ZDI1Mzg4YgAQAHP8uBZ-sq5DlOebIIq8GXQ=-20261016133028</t>
  </si>
  <si>
    <t>AAQkADdkNThjNzFkLWM0ZmMtNDJhYS04MDVlLTIwNzE4ZDI1Mzg4YgAQAHP8uBZ-sq5DlOebIIq8GXQ=</t>
  </si>
  <si>
    <t>RE: DERTERMINACION DE GRADO DE INVALIDEZ SCTR SALUD - ANDAHUASI</t>
  </si>
  <si>
    <t>Llegó como hilo: 1 mensaje(s) anterior(es). Lo inició: Cordova Yenque, Pilar Alexandra &lt;CYPILA1@mapfre.com.pe&gt;</t>
  </si>
  <si>
    <t>AAQkADdkNThjNzFkLWM0ZmMtNDJhYS04MDVlLTIwNzE4ZDI1Mzg4YgAQAPUiGrrTEY1CpxlVH9wC8r4=-20261016135732</t>
  </si>
  <si>
    <t>AAQkADdkNThjNzFkLWM0ZmMtNDJhYS04MDVlLTIwNzE4ZDI1Mzg4YgAQAPUiGrrTEY1CpxlVH9wC8r4=</t>
  </si>
  <si>
    <t>MAPFRE SCTR SALUD - CALDERON CARBAJAL, AVELINO ABEL - EMPRESA ANDAHUASI KM 41.5 S.A.C</t>
  </si>
  <si>
    <t>AAQkADdkNThjNzFkLWM0ZmMtNDJhYS04MDVlLTIwNzE4ZDI1Mzg4YgAQAEADlp1s2EMun5lSAAhSoFs=-20261016140136</t>
  </si>
  <si>
    <t>AAQkADdkNThjNzFkLWM0ZmMtNDJhYS04MDVlLTIwNzE4ZDI1Mzg4YgAQAEADlp1s2EMun5lSAAhSoFs=</t>
  </si>
  <si>
    <t xml:space="preserve">URG. APROBACION CARTA GARANTIA - PEÑA GAMARRA MANUEL ANDERSON - </t>
  </si>
  <si>
    <t>AAQkADdkNThjNzFkLWM0ZmMtNDJhYS04MDVlLTIwNzE4ZDI1Mzg4YgAQAArOCzQZtL9KoYZGJBGdOJw=-20261016143146</t>
  </si>
  <si>
    <t>AAQkADdkNThjNzFkLWM0ZmMtNDJhYS04MDVlLTIwNzE4ZDI1Mzg4YgAQAArOCzQZtL9KoYZGJBGdOJw=</t>
  </si>
  <si>
    <t>COUNTRY CLUB DE VILLA - ACTA DE CONFORMIDAD DE ORDEN DE SERVICIO</t>
  </si>
  <si>
    <t>orden.de.compra@countryclubvilla.org.pe</t>
  </si>
  <si>
    <t>AAQkADdkNThjNzFkLWM0ZmMtNDJhYS04MDVlLTIwNzE4ZDI1Mzg4YgAQAI9a_JhGPoVCm5619fHkrNM=-20261016143205</t>
  </si>
  <si>
    <t>AAQkADdkNThjNzFkLWM0ZmMtNDJhYS04MDVlLTIwNzE4ZDI1Mzg4YgAQAI9a_JhGPoVCm5619fHkrNM=</t>
  </si>
  <si>
    <t>AAQkADdkNThjNzFkLWM0ZmMtNDJhYS04MDVlLTIwNzE4ZDI1Mzg4YgAQAFIcxB2VERtPsn0GrC9lCNY=-20261016145042</t>
  </si>
  <si>
    <t>AAQkADdkNThjNzFkLWM0ZmMtNDJhYS04MDVlLTIwNzE4ZDI1Mzg4YgAQAFIcxB2VERtPsn0GrC9lCNY=</t>
  </si>
  <si>
    <t>RV: CAMBIO DE CLÍNICA ATENCIÓN SCTR CHINCHA : JORGE EDUARDO ROJAS LOPEZ // GRUPO NORTE</t>
  </si>
  <si>
    <t>Llegó como hilo: 3 mensaje(s) anterior(es). Lo inició: Elena Irene Sanchez &lt;elena.sanchez@gruponorte.pe&gt;</t>
  </si>
  <si>
    <t>AAQkADdkNThjNzFkLWM0ZmMtNDJhYS04MDVlLTIwNzE4ZDI1Mzg4YgAQACxPzJ5QB_ZHlhMKzKl5hKA=-20261016145132</t>
  </si>
  <si>
    <t>AAQkADdkNThjNzFkLWM0ZmMtNDJhYS04MDVlLTIwNzE4ZDI1Mzg4YgAQACxPzJ5QB_ZHlhMKzKl5hKA=</t>
  </si>
  <si>
    <t>Mapfre Weekly Digest</t>
  </si>
  <si>
    <t>noreply_mapfre@engage.mail.microsoft</t>
  </si>
  <si>
    <t>AAQkADdkNThjNzFkLWM0ZmMtNDJhYS04MDVlLTIwNzE4ZDI1Mzg4YgAQAKiDRViIF4hMowziclGhiYs=-20261016151658</t>
  </si>
  <si>
    <t>AAQkADdkNThjNzFkLWM0ZmMtNDJhYS04MDVlLTIwNzE4ZDI1Mzg4YgAQAKiDRViIF4hMowziclGhiYs=</t>
  </si>
  <si>
    <t>SINIESTRO SCTR SALUD // DERIVACIÓN DE CLÍNICA // MUNICIPALIDAD DE VENTANILLA / PÓLIZA 7022500158870</t>
  </si>
  <si>
    <t>mnavarro@polanco.com.pe</t>
  </si>
  <si>
    <t>Melani Navarro</t>
  </si>
  <si>
    <t>AAQkADdkNThjNzFkLWM0ZmMtNDJhYS04MDVlLTIwNzE4ZDI1Mzg4YgAQAPfONlEK60KJmUyDgjxHZKk=-20261016151925</t>
  </si>
  <si>
    <t>RE: TORRES AQUINO JUVENAL HC 1884636 REG 7860//SCTR MOLY-COP ADESUR S.A//MAPFRE EPS</t>
  </si>
  <si>
    <t>Caso nuevo: esta conversación ya tenía un caso finalizado (AAQkADdkNThjNzFkLWM0ZmMtNDJhYS04MDVlLTIwNzE4ZDI1Mzg4YgAQAPfONlEK60KJmUyDgjxHZKk=-20261016104614)</t>
  </si>
  <si>
    <t>AAQkADdkNThjNzFkLWM0ZmMtNDJhYS04MDVlLTIwNzE4ZDI1Mzg4YgAQAEADlp1s2EMun5lSAAhSoFs=-20261016161618</t>
  </si>
  <si>
    <t xml:space="preserve">RE: URG. APROBACION CARTA GARANTIA - PEÑA GAMARRA MANUEL ANDERSON - </t>
  </si>
  <si>
    <t>david.soto@omerlag.com</t>
  </si>
  <si>
    <t>Caso nuevo: esta conversación ya tenía un caso finalizado (AAQkADdkNThjNzFkLWM0ZmMtNDJhYS04MDVlLTIwNzE4ZDI1Mzg4YgAQAEADlp1s2EMun5lSAAhSoFs=-20261016140136)</t>
  </si>
  <si>
    <t>AAQkADdkNThjNzFkLWM0ZmMtNDJhYS04MDVlLTIwNzE4ZDI1Mzg4YgAQAAgxKoiZzg9NqE0aR55WHq4=-20261016161917</t>
  </si>
  <si>
    <t>AAQkADdkNThjNzFkLWM0ZmMtNDJhYS04MDVlLTIwNzE4ZDI1Mzg4YgAQAAgxKoiZzg9NqE0aR55WHq4=</t>
  </si>
  <si>
    <t xml:space="preserve">SAN FERNANDO - Póliza SCTR Salud Nro. S0206746 - Siniestro del 03.12.24 - Asegurado:  Victor Carpio Ramirez </t>
  </si>
  <si>
    <t>Llegó como hilo: 1 mensaje(s) anterior(es). Lo inició: Fiorella Vanessa Gallegos Chavez &lt;fgallegosc@san-fernando.com.pe&gt;</t>
  </si>
  <si>
    <t>AAQkADdkNThjNzFkLWM0ZmMtNDJhYS04MDVlLTIwNzE4ZDI1Mzg4YgAQAPfONlEK60KJmUyDgjxHZKk=-20261016163124</t>
  </si>
  <si>
    <t>Caso nuevo: esta conversación ya tenía un caso finalizado (AAQkADdkNThjNzFkLWM0ZmMtNDJhYS04MDVlLTIwNzE4ZDI1Mzg4YgAQAPfONlEK60KJmUyDgjxHZKk=-20261016151925)</t>
  </si>
  <si>
    <t>AAQkADdkNThjNzFkLWM0ZmMtNDJhYS04MDVlLTIwNzE4ZDI1Mzg4YgAQAL-EHlcSjSJKrVcmwwEfg_M=-20261016170552</t>
  </si>
  <si>
    <t>AAQkADdkNThjNzFkLWM0ZmMtNDJhYS04MDVlLTIwNzE4ZDI1Mzg4YgAQAL-EHlcSjSJKrVcmwwEfg_M=</t>
  </si>
  <si>
    <t xml:space="preserve">RE: URG.  PEÑA GAMARRA MANUEL ANDERSON </t>
  </si>
  <si>
    <t>AAQkADdkNThjNzFkLWM0ZmMtNDJhYS04MDVlLTIwNzE4ZDI1Mzg4YgAQAHDvWav1yEbNn_acE0-DLFw=-20261016171018</t>
  </si>
  <si>
    <t>AAQkADdkNThjNzFkLWM0ZmMtNDJhYS04MDVlLTIwNzE4ZDI1Mzg4YgAQAHDvWav1yEbNn_acE0-DLFw=</t>
  </si>
  <si>
    <t>RV: CARTA DE GARANTIA DE CARHUATANTA MEGO ENDER</t>
  </si>
  <si>
    <t>Llegó como hilo: 1 mensaje(s) anterior(es). Lo inició: cajatomomedichz02@sanpablo.com.pe &lt;cajatomomedichz02@sanpablo.com.pe&gt;</t>
  </si>
  <si>
    <t>AAQkADdkNThjNzFkLWM0ZmMtNDJhYS04MDVlLTIwNzE4ZDI1Mzg4YgAQAIwcKdQCOS5KhD02xejXQj4=-20261016171600</t>
  </si>
  <si>
    <t>AAQkADdkNThjNzFkLWM0ZmMtNDJhYS04MDVlLTIwNzE4ZDI1Mzg4YgAQAIwcKdQCOS5KhD02xejXQj4=</t>
  </si>
  <si>
    <t>RV: MAPFRE - SOLICITUD DE COBERTURA DE MEDICAMENTOS PAC: VILCA PEDRAZA JOSE LUIS</t>
  </si>
  <si>
    <t>Llegó como hilo: 1 mensaje(s) anterior(es). Lo inició: Mariluz Ruth Salazar Zea &lt;mariluz.salazar@auna.org&gt;</t>
  </si>
  <si>
    <t>AAQkADdkNThjNzFkLWM0ZmMtNDJhYS04MDVlLTIwNzE4ZDI1Mzg4YgAQALHTdPHxG8BPne6VOqUfNCc=-20261016172617</t>
  </si>
  <si>
    <t>AAQkADdkNThjNzFkLWM0ZmMtNDJhYS04MDVlLTIwNzE4ZDI1Mzg4YgAQALHTdPHxG8BPne6VOqUfNCc=</t>
  </si>
  <si>
    <t xml:space="preserve">RV: CASO OBSERVADO - PCTE MEDRANO VILLANO CLAUDIO </t>
  </si>
  <si>
    <t>jefeauditoriajn@sanpablo.com.pe</t>
  </si>
  <si>
    <t>Llegó como hilo: 2 mensaje(s) anterior(es). Lo inició: Jefa Admisión Hospitalaria Jesús del Norte &lt;jefaadmisionhospitalariajn@sanpablo.com.pe&gt;</t>
  </si>
  <si>
    <t>AAQkADdkNThjNzFkLWM0ZmMtNDJhYS04MDVlLTIwNzE4ZDI1Mzg4YgAQAEhKsr85MEg_oXfaibz1vS4=-20261016173213</t>
  </si>
  <si>
    <t>AAQkADdkNThjNzFkLWM0ZmMtNDJhYS04MDVlLTIwNzE4ZDI1Mzg4YgAQAEhKsr85MEg_oXfaibz1vS4=</t>
  </si>
  <si>
    <t>RE: SIMA PERU // RECHAZO CIRUGIA DE MUÑECA // CASO LEON AGUIRRE PEDRO</t>
  </si>
  <si>
    <t>silvia.siu@marsh.com</t>
  </si>
  <si>
    <t>Silvia Siu Flores</t>
  </si>
  <si>
    <t>AAQkADdkNThjNzFkLWM0ZmMtNDJhYS04MDVlLTIwNzE4ZDI1Mzg4YgAQAO8mGZwdQ9pOlRHITn2SEog=-20261016173758</t>
  </si>
  <si>
    <t>AAQkADdkNThjNzFkLWM0ZmMtNDJhYS04MDVlLTIwNzE4ZDI1Mzg4YgAQAO8mGZwdQ9pOlRHITn2SEog=</t>
  </si>
  <si>
    <t>anular la CG N° 1158804-2</t>
  </si>
  <si>
    <t>presupuestos@montefiori.com.pe</t>
  </si>
  <si>
    <t>AAQkADdkNThjNzFkLWM0ZmMtNDJhYS04MDVlLTIwNzE4ZDI1Mzg4YgAQAJFDM7uVdsVNtsnaTvk2RHQ=-20261016175326</t>
  </si>
  <si>
    <t>AAQkADdkNThjNzFkLWM0ZmMtNDJhYS04MDVlLTIwNzE4ZDI1Mzg4YgAQAJFDM7uVdsVNtsnaTvk2RHQ=</t>
  </si>
  <si>
    <t>CONTINUIDAD // SCTR SALUD // ALVA TORRES DENIS JULIO // INVERSIONES NORLIMA S.A RUC:20602020518 // LR102026-00937</t>
  </si>
  <si>
    <t>AAQkADdkNThjNzFkLWM0ZmMtNDJhYS04MDVlLTIwNzE4ZDI1Mzg4YgAQABAsnfYWp0yzkhOY5iZOaIw=-20261016184751</t>
  </si>
  <si>
    <t>AAQkADdkNThjNzFkLWM0ZmMtNDJhYS04MDVlLTIwNzE4ZDI1Mzg4YgAQABAsnfYWp0yzkhOY5iZOaIw=</t>
  </si>
  <si>
    <t>Re: SIMA PERU // SOLICITUD DE MULETAS Y MEDICAMENTO NO COBERTURADO</t>
  </si>
  <si>
    <t>AAQkADdkNThjNzFkLWM0ZmMtNDJhYS04MDVlLTIwNzE4ZDI1Mzg4YgAQAOeZ0iy_Ykush_lwCAPXKKE=-20261016193850</t>
  </si>
  <si>
    <t>AAQkADdkNThjNzFkLWM0ZmMtNDJhYS04MDVlLTIwNzE4ZDI1Mzg4YgAQAOeZ0iy_Ykush_lwCAPXKKE=</t>
  </si>
  <si>
    <t xml:space="preserve">ACTIVAR SINIESTO PACT SOTO ROJAS , LINDER SABINO / MAPFRE SCTR </t>
  </si>
  <si>
    <t>AAQkADdkNThjNzFkLWM0ZmMtNDJhYS04MDVlLTIwNzE4ZDI1Mzg4YgAQANaMVVomnh1Aii_w_YHaUC8=-20261017080821</t>
  </si>
  <si>
    <t>AAQkADdkNThjNzFkLWM0ZmMtNDJhYS04MDVlLTIwNzE4ZDI1Mzg4YgAQANaMVVomnh1Aii_w_YHaUC8=</t>
  </si>
  <si>
    <t>Traslado con ambulancia</t>
  </si>
  <si>
    <t>AAQkADdkNThjNzFkLWM0ZmMtNDJhYS04MDVlLTIwNzE4ZDI1Mzg4YgAQAOHRjOa5axRDnRqU30DFKA0=-20261017080918</t>
  </si>
  <si>
    <t>AAQkADdkNThjNzFkLWM0ZmMtNDJhYS04MDVlLTIwNzE4ZDI1Mzg4YgAQAOHRjOa5axRDnRqU30DFKA0=</t>
  </si>
  <si>
    <t>Resumen diario de reacciones: sábado, 17 de octubre de 2026</t>
  </si>
  <si>
    <t>no-reply@outlook.mail.microsoft</t>
  </si>
  <si>
    <t>AAQkADdkNThjNzFkLWM0ZmMtNDJhYS04MDVlLTIwNzE4ZDI1Mzg4YgAQALcYeOYmnvhDjrIayv6rgLg=-20261017082309</t>
  </si>
  <si>
    <t>AAQkADdkNThjNzFkLWM0ZmMtNDJhYS04MDVlLTIwNzE4ZDI1Mzg4YgAQALcYeOYmnvhDjrIayv6rgLg=</t>
  </si>
  <si>
    <t>RV: ZAMORA AGUILAR JHONATAN JOEL</t>
  </si>
  <si>
    <t>AAQkADdkNThjNzFkLWM0ZmMtNDJhYS04MDVlLTIwNzE4ZDI1Mzg4YgAQAL1w-k25WIdEgRkKtXyaqYE=-20261017083343</t>
  </si>
  <si>
    <t>AAQkADdkNThjNzFkLWM0ZmMtNDJhYS04MDVlLTIwNzE4ZDI1Mzg4YgAQAL1w-k25WIdEgRkKtXyaqYE=</t>
  </si>
  <si>
    <t>RE: PASE DE ATENCIÓN- SAN PABLO SURCO // ARCASI GARCIA ALEJANDRO // 44136441- SCTR SALUD MAPFRE- MODASA</t>
  </si>
  <si>
    <t>AAQkADdkNThjNzFkLWM0ZmMtNDJhYS04MDVlLTIwNzE4ZDI1Mzg4YgAQAGfOCY9_TkdypkcWtTloc-k=-20261017084152</t>
  </si>
  <si>
    <t>AAQkADdkNThjNzFkLWM0ZmMtNDJhYS04MDVlLTIwNzE4ZDI1Mzg4YgAQAGfOCY9_TkdypkcWtTloc-k=</t>
  </si>
  <si>
    <t>RE: AUTORIZACION PARA I/C CON TERAPIA OCUPACIONAL _CARRION RENGIFO WALDIR _ DNI 77207481 _ SCTR _ CONSORCIO SAN MIGUEL</t>
  </si>
  <si>
    <t>AAQkADdkNThjNzFkLWM0ZmMtNDJhYS04MDVlLTIwNzE4ZDI1Mzg4YgAQAMMHVyVsVdVIhr7_s9acIA4=-20261017084523</t>
  </si>
  <si>
    <t>AAQkADdkNThjNzFkLWM0ZmMtNDJhYS04MDVlLTIwNzE4ZDI1Mzg4YgAQAMMHVyVsVdVIhr7_s9acIA4=</t>
  </si>
  <si>
    <t>AUTORIZACION DE CARTA DE GARANTIA / PAC. GOMEZ LOPEZ IRWUIN (SCTR)</t>
  </si>
  <si>
    <t>cghospitalario.arequipa@sanjuandedios.pe</t>
  </si>
  <si>
    <t>María Paz Bustamante</t>
  </si>
  <si>
    <t>AAQkADdkNThjNzFkLWM0ZmMtNDJhYS04MDVlLTIwNzE4ZDI1Mzg4YgAQAN2c_3bGx-JGoB1nBrzV88I=-20261017084901</t>
  </si>
  <si>
    <t>AAQkADdkNThjNzFkLWM0ZmMtNDJhYS04MDVlLTIwNzE4ZDI1Mzg4YgAQAN2c_3bGx-JGoB1nBrzV88I=</t>
  </si>
  <si>
    <t>RE: CL. GUARDIA CIVIL// SOLICITUD DE CG // PCTE: BRYAN ROA MILLA - 945823 // MAPFRE EPS SCTR</t>
  </si>
  <si>
    <t>Llegó como hilo: 1 mensaje(s) anterior(es). Lo inició: SAMARA KIAVET PLACIDO MORENO &lt;samara.placido@auna.org&gt;</t>
  </si>
  <si>
    <t>AAQkADdkNThjNzFkLWM0ZmMtNDJhYS04MDVlLTIwNzE4ZDI1Mzg4YgAQAHBOJvg9wGpDoCXVFeKhEgw=-20261017090015</t>
  </si>
  <si>
    <t>AAQkADdkNThjNzFkLWM0ZmMtNDJhYS04MDVlLTIwNzE4ZDI1Mzg4YgAQAHBOJvg9wGpDoCXVFeKhEgw=</t>
  </si>
  <si>
    <t>Re: SEDE BELLAVISTA // CASO PAC JORGE LUIS QUIPAS MARTINEZ // MAPFRE SCTR // BAW 931225</t>
  </si>
  <si>
    <t>Llegó como hilo: 1 mensaje(s) anterior(es). Lo inició: VERONICA MORENO RAMIREZ &lt;veronica.moreno@auna.org&gt;</t>
  </si>
  <si>
    <t>AAQkADdkNThjNzFkLWM0ZmMtNDJhYS04MDVlLTIwNzE4ZDI1Mzg4YgAQAHjmVVBi31pHjybqIDFTycA=-20261017093317</t>
  </si>
  <si>
    <t>AAQkADdkNThjNzFkLWM0ZmMtNDJhYS04MDVlLTIwNzE4ZDI1Mzg4YgAQAHjmVVBi31pHjybqIDFTycA=</t>
  </si>
  <si>
    <t>SOLICITUD DE CARTA DE GARANTIA PCTE MOGOLLON GONZAGA NESTOR</t>
  </si>
  <si>
    <t>altashospitalarias@cmch.com.pe</t>
  </si>
  <si>
    <t>AAQkADdkNThjNzFkLWM0ZmMtNDJhYS04MDVlLTIwNzE4ZDI1Mzg4YgAQAB24z1Sxz7JKlktZxQ2XGC8=-20261017101709</t>
  </si>
  <si>
    <t>AAQkADdkNThjNzFkLWM0ZmMtNDJhYS04MDVlLTIwNzE4ZDI1Mzg4YgAQAB24z1Sxz7JKlktZxQ2XGC8=</t>
  </si>
  <si>
    <t>RECLAMO FORMAL</t>
  </si>
  <si>
    <t>soportepsicologico@batalladejunin.com</t>
  </si>
  <si>
    <t>AAQkADdkNThjNzFkLWM0ZmMtNDJhYS04MDVlLTIwNzE4ZDI1Mzg4YgAQAGgvb5-3vvZJi7mbjNh8QK4=-20261017102747</t>
  </si>
  <si>
    <t>AAQkADdkNThjNzFkLWM0ZmMtNDJhYS04MDVlLTIwNzE4ZDI1Mzg4YgAQAGgvb5-3vvZJi7mbjNh8QK4=</t>
  </si>
  <si>
    <t>RE: SINIESTRO SCTR - LEON ROMERO LIZETH BEATRIZ - INVERSIONES Y SERVICIOS ESPEJO S.A. C.</t>
  </si>
  <si>
    <t>diguev1@mapfre.com.pe</t>
  </si>
  <si>
    <t>Asesor Profesional</t>
  </si>
  <si>
    <t>AAQkADdkNThjNzFkLWM0ZmMtNDJhYS04MDVlLTIwNzE4ZDI1Mzg4YgAQAAO_OwGouNhPk7h5hATfh1E=-20261017111049</t>
  </si>
  <si>
    <t>AAQkADdkNThjNzFkLWM0ZmMtNDJhYS04MDVlLTIwNzE4ZDI1Mzg4YgAQAAO_OwGouNhPk7h5hATfh1E=</t>
  </si>
  <si>
    <t>LABOR GUERRERO JHON FRANK</t>
  </si>
  <si>
    <t>AAQkADdkNThjNzFkLWM0ZmMtNDJhYS04MDVlLTIwNzE4ZDI1Mzg4YgAQABx9SS2AiDVNkZGRp3qpT38=-20261017112022</t>
  </si>
  <si>
    <t>AAQkADdkNThjNzFkLWM0ZmMtNDJhYS04MDVlLTIwNzE4ZDI1Mzg4YgAQABx9SS2AiDVNkZGRp3qpT38=</t>
  </si>
  <si>
    <t>Sustento de Area Medica</t>
  </si>
  <si>
    <t>AAQkADdkNThjNzFkLWM0ZmMtNDJhYS04MDVlLTIwNzE4ZDI1Mzg4YgAQAPHg4BU7JK5AgD6mXCqFxoc=-20261017113608</t>
  </si>
  <si>
    <t>AAQkADdkNThjNzFkLWM0ZmMtNDJhYS04MDVlLTIwNzE4ZDI1Mzg4YgAQAPHg4BU7JK5AgD6mXCqFxoc=</t>
  </si>
  <si>
    <t>PC: SCTR - LAOS RAMOS ZAHIR JASMINE</t>
  </si>
  <si>
    <t>AAQkADdkNThjNzFkLWM0ZmMtNDJhYS04MDVlLTIwNzE4ZDI1Mzg4YgAQACqdGeqgukAxidl4ZbiphyM=-20261017114720</t>
  </si>
  <si>
    <t>AAQkADdkNThjNzFkLWM0ZmMtNDJhYS04MDVlLTIwNzE4ZDI1Mzg4YgAQACqdGeqgukAxidl4ZbiphyM=</t>
  </si>
  <si>
    <t xml:space="preserve">PAC  TORRES AQUINO  JUVENAL REG 007860// MAPFRE SCTR </t>
  </si>
  <si>
    <t>AAQkADdkNThjNzFkLWM0ZmMtNDJhYS04MDVlLTIwNzE4ZDI1Mzg4YgAQAILDfuakD08kh3slYTLP-qo=-20261017124508</t>
  </si>
  <si>
    <t>AAQkADdkNThjNzFkLWM0ZmMtNDJhYS04MDVlLTIwNzE4ZDI1Mzg4YgAQAILDfuakD08kh3slYTLP-qo=</t>
  </si>
  <si>
    <t>ACTUALIZACION DE EN LA CARTA DE GARANTIA - PAC. HUAMAN CINICIO JHONATAN</t>
  </si>
  <si>
    <t>AAQkADdkNThjNzFkLWM0ZmMtNDJhYS04MDVlLTIwNzE4ZDI1Mzg4YgAQANcAiIGUJlwzpqa_w-yt_08=-20261017152614</t>
  </si>
  <si>
    <t>AAQkADdkNThjNzFkLWM0ZmMtNDJhYS04MDVlLTIwNzE4ZDI1Mzg4YgAQANcAiIGUJlwzpqa_w-yt_08=</t>
  </si>
  <si>
    <t>RV: DENUNCIA DE ACCIDENTE DE TRABAJO - ATUC</t>
  </si>
  <si>
    <t>Llegó como hilo: 1 mensaje(s) anterior(es). Lo inició: avillavicencio@atucsolucionesyservicios.com &lt;avillavicencio@atucsolucionesyservicios.com&gt;</t>
  </si>
  <si>
    <t>AAQkADdkNThjNzFkLWM0ZmMtNDJhYS04MDVlLTIwNzE4ZDI1Mzg4YgAQAPL51cYXoUdAgYmSEf0Qc50=-20261017154649</t>
  </si>
  <si>
    <t>Re: Carta de garantía pendiente</t>
  </si>
  <si>
    <t>Caso nuevo: esta conversación ya tenía un caso finalizado (AAQkADdkNThjNzFkLWM0ZmMtNDJhYS04MDVlLTIwNzE4ZDI1Mzg4YgAQAPL51cYXoUdAgYmSEf0Qc50=-20261015115954)</t>
  </si>
  <si>
    <t>AAQkADdkNThjNzFkLWM0ZmMtNDJhYS04MDVlLTIwNzE4ZDI1Mzg4YgAQAJJDvHiqnEHJjeC5HIEjdqg=-20261017215253</t>
  </si>
  <si>
    <t>AAQkADdkNThjNzFkLWM0ZmMtNDJhYS04MDVlLTIwNzE4ZDI1Mzg4YgAQAJJDvHiqnEHJjeC5HIEjdqg=</t>
  </si>
  <si>
    <t xml:space="preserve">RE: REVALUAR EL DIAGNOSTICO DEL PACIENTE ANGEL CHURA SANCHEZ - CLINICA SAN PABLO </t>
  </si>
  <si>
    <t>soporte@asesorescastaneda.com.pe</t>
  </si>
  <si>
    <t>AAQkADdkNThjNzFkLWM0ZmMtNDJhYS04MDVlLTIwNzE4ZDI1Mzg4YgAQAIiIDtaCzlJCnMTNiP_Vavg=-20261017221258</t>
  </si>
  <si>
    <t>AAQkADdkNThjNzFkLWM0ZmMtNDJhYS04MDVlLTIwNzE4ZDI1Mzg4YgAQAIiIDtaCzlJCnMTNiP_Vavg=</t>
  </si>
  <si>
    <t>Re: solicitud de terapia</t>
  </si>
  <si>
    <t>Llegó como hilo: 1 mensaje(s) anterior(es). Lo inició: Dayana Vargas &lt;dayanavargasq234@gmail.com&gt;</t>
  </si>
  <si>
    <t>AAQkADdkNThjNzFkLWM0ZmMtNDJhYS04MDVlLTIwNzE4ZDI1Mzg4YgAQAJ1giX1lvB1GivHP0Sc-qCY=-20261017222257</t>
  </si>
  <si>
    <t>AAQkADdkNThjNzFkLWM0ZmMtNDJhYS04MDVlLTIwNzE4ZDI1Mzg4YgAQAJ1giX1lvB1GivHP0Sc-qCY=</t>
  </si>
  <si>
    <t>RV: SOLICITO CARTA DE GARANTÍA-IZQUIERDO NOLORBE CARLOS-SCTR-CLINICA EMASALUD-IQUITOS</t>
  </si>
  <si>
    <t>Llegó como hilo: 1 mensaje(s) anterior(es). Lo inició: FACTURACION CLINICA EMANUEL &lt;facturacion@clinicaespecializadaemanuel.com&gt;</t>
  </si>
  <si>
    <t>AAQkADdkNThjNzFkLWM0ZmMtNDJhYS04MDVlLTIwNzE4ZDI1Mzg4YgAQAIzfGp1K7vlFsSFwwTEiROE=-20261017223254</t>
  </si>
  <si>
    <t>AAQkADdkNThjNzFkLWM0ZmMtNDJhYS04MDVlLTIwNzE4ZDI1Mzg4YgAQAIzfGp1K7vlFsSFwwTEiROE=</t>
  </si>
  <si>
    <t>RHE10066679557E00146.pdf</t>
  </si>
  <si>
    <t>juancarlosdurandgomez@gmail.com</t>
  </si>
  <si>
    <t>AAQkADdkNThjNzFkLWM0ZmMtNDJhYS04MDVlLTIwNzE4ZDI1Mzg4YgAQAKDXAetlhk8rrgvk-4xKuiU=-20261018083546</t>
  </si>
  <si>
    <t>AAQkADdkNThjNzFkLWM0ZmMtNDJhYS04MDVlLTIwNzE4ZDI1Mzg4YgAQAKDXAetlhk8rrgvk-4xKuiU=</t>
  </si>
  <si>
    <t>RE: URGENTE // CONFIRMAR COBERTURA DE DIAGNÓSTICO // ASEGURADO MELGAR ROJAS YOLANDA AURELIA // EDITORA PERU</t>
  </si>
  <si>
    <t>Llegó como hilo: 2 mensaje(s) anterior(es). Lo inició: Luis Suarez</t>
  </si>
  <si>
    <t>AAQkADdkNThjNzFkLWM0ZmMtNDJhYS04MDVlLTIwNzE4ZDI1Mzg4YgAQABVYe3FoFY1Dgdp2D8OVOsA=-20261018083957</t>
  </si>
  <si>
    <t>AAQkADdkNThjNzFkLWM0ZmMtNDJhYS04MDVlLTIwNzE4ZDI1Mzg4YgAQABVYe3FoFY1Dgdp2D8OVOsA=</t>
  </si>
  <si>
    <t xml:space="preserve">RE: CLIENTE EN OFICINA - SCTR RUC: 20552427981 RECUPERACION MATERIALES DIVERSOS PERU S.A.C.  SR.  WILBER EDUARDO VIDAL CALDAS    DNI :  42621225 </t>
  </si>
  <si>
    <t>AAQkADdkNThjNzFkLWM0ZmMtNDJhYS04MDVlLTIwNzE4ZDI1Mzg4YgAQAOnLaUAci_RGjNMxPx4qTsQ=-20261018085217</t>
  </si>
  <si>
    <t>AAQkADdkNThjNzFkLWM0ZmMtNDJhYS04MDVlLTIwNzE4ZDI1Mzg4YgAQAOnLaUAci_RGjNMxPx4qTsQ=</t>
  </si>
  <si>
    <t>RE: EVALUACION DE CONTINUIDAD DE TERAPIAS DEL PACIENTE GARCIA VELASQUEZ VLADIMIR ALEXANDER</t>
  </si>
  <si>
    <t>AAQkADdkNThjNzFkLWM0ZmMtNDJhYS04MDVlLTIwNzE4ZDI1Mzg4YgAQAHIRvVRbuMRDmNxZZ-XQU9E=-20261018110619</t>
  </si>
  <si>
    <t>Caso nuevo: esta conversación ya tenía un caso finalizado (AAQkADdkNThjNzFkLWM0ZmMtNDJhYS04MDVlLTIwNzE4ZDI1Mzg4YgAQAHIRvVRbuMRDmNxZZ-XQU9E=-20261016113137)</t>
  </si>
  <si>
    <t>AAQkADdkNThjNzFkLWM0ZmMtNDJhYS04MDVlLTIwNzE4ZDI1Mzg4YgAQAFeN52Nng_NIiLQKvFqYtYE=-20261018133744</t>
  </si>
  <si>
    <t>AAQkADdkNThjNzFkLWM0ZmMtNDJhYS04MDVlLTIwNzE4ZDI1Mzg4YgAQAFeN52Nng_NIiLQKvFqYtYE=</t>
  </si>
  <si>
    <t>MATERIAL ORTOPEDICO MULETAS // PX CERVANTES RUIZ SARITA// MAPFRE SCTR</t>
  </si>
  <si>
    <t>AAQkADdkNThjNzFkLWM0ZmMtNDJhYS04MDVlLTIwNzE4ZDI1Mzg4YgAQAKqY5ta7g05Iqebu49N6DDI=-20261018180739</t>
  </si>
  <si>
    <t>AAQkADdkNThjNzFkLWM0ZmMtNDJhYS04MDVlLTIwNzE4ZDI1Mzg4YgAQAKqY5ta7g05Iqebu49N6DDI=</t>
  </si>
  <si>
    <t>URGENTE ACTIVACION PACIENTE SCTR EN WEB OIM // PCTE : ARIRAMA RUIZ VICTOR HUGO // DNI. 46516683</t>
  </si>
  <si>
    <t>AAQkADdkNThjNzFkLWM0ZmMtNDJhYS04MDVlLTIwNzE4ZDI1Mzg4YgAQAL3orULClxhNun3ZJjL_bKg=-20261019020942</t>
  </si>
  <si>
    <t>AAQkADdkNThjNzFkLWM0ZmMtNDJhYS04MDVlLTIwNzE4ZDI1Mzg4YgAQAL3orULClxhNun3ZJjL_bKg=</t>
  </si>
  <si>
    <t>REMITIMOS DOCUMENTOS DEL ASEGURADO Sr. ELEASAR TANCHIM YUKUPAU</t>
  </si>
  <si>
    <t>Llegó como hilo: 7 mensaje(s) anterior(es). Lo inició: Moises Idrogo Guevara &lt;migodor@hotmail.com&gt;</t>
  </si>
  <si>
    <t>AAQkADdkNThjNzFkLWM0ZmMtNDJhYS04MDVlLTIwNzE4ZDI1Mzg4YgAQAHh-rS7WtllEvq44b6beZjo=-20261019023522</t>
  </si>
  <si>
    <t>AAQkADdkNThjNzFkLWM0ZmMtNDJhYS04MDVlLTIwNzE4ZDI1Mzg4YgAQAHh-rS7WtllEvq44b6beZjo=</t>
  </si>
  <si>
    <t xml:space="preserve">REITERA SOLICITUD DE REEMBOLSO ORLANDO HERNANDEZ VENTURA, </t>
  </si>
  <si>
    <t>migodor@hotmail.com</t>
  </si>
  <si>
    <t>Moises Idrogo Guevara</t>
  </si>
  <si>
    <t>AAQkADdkNThjNzFkLWM0ZmMtNDJhYS04MDVlLTIwNzE4ZDI1Mzg4YgAQAJr1p1wXIhJFq4SsVkW_owo=-20261019081516</t>
  </si>
  <si>
    <t>AAQkADdkNThjNzFkLWM0ZmMtNDJhYS04MDVlLTIwNzE4ZDI1Mzg4YgAQAJr1p1wXIhJFq4SsVkW_owo=</t>
  </si>
  <si>
    <t>RE: AUTORIZACION DE CARTA DE GARANTIA / PAC. GUZMAN LOPEZ IRWUIN (SCTR)</t>
  </si>
  <si>
    <t>Llegó como hilo: 1 mensaje(s) anterior(es). Lo inició: Cartas de Garantía Hospitalarias &lt;cghospitalario.arequipa@sanjuandedios.pe&gt;</t>
  </si>
  <si>
    <t>AAQkADdkNThjNzFkLWM0ZmMtNDJhYS04MDVlLTIwNzE4ZDI1Mzg4YgAQAMoMvvHmxUpPpUZLJIpcLYU=-20261019083453</t>
  </si>
  <si>
    <t>AAQkADdkNThjNzFkLWM0ZmMtNDJhYS04MDVlLTIwNzE4ZDI1Mzg4YgAQAMoMvvHmxUpPpUZLJIpcLYU=</t>
  </si>
  <si>
    <t>MAPFRE SCTR SALUD - DIAZ CAMPOS, INDALECIO - EMPRESA ANDAHUASI KM 41.5 S.A.C</t>
  </si>
  <si>
    <t>AAQkADdkNThjNzFkLWM0ZmMtNDJhYS04MDVlLTIwNzE4ZDI1Mzg4YgAQAAYQGPoOuUtOqbpJBzmtHQY=-20261019083457</t>
  </si>
  <si>
    <t>AAQkADdkNThjNzFkLWM0ZmMtNDJhYS04MDVlLTIwNzE4ZDI1Mzg4YgAQAAYQGPoOuUtOqbpJBzmtHQY=</t>
  </si>
  <si>
    <t>MAPFRE SCTR SALUD - FLORES VERAMENDI, MARCIAL - EMPRESA ANDAHUASI KM 41.5 S.A.C</t>
  </si>
  <si>
    <t>AAQkADdkNThjNzFkLWM0ZmMtNDJhYS04MDVlLTIwNzE4ZDI1Mzg4YgAQALmQ6f56qEhPmO118lYYtq4=-20261019085313</t>
  </si>
  <si>
    <t>AAQkADdkNThjNzFkLWM0ZmMtNDJhYS04MDVlLTIwNzE4ZDI1Mzg4YgAQALmQ6f56qEhPmO118lYYtq4=</t>
  </si>
  <si>
    <t>SOLICITUD DE ENTREGA DE MEDICAMENTOS: NICOLAS QUINTANILLA ANGELA - SCTR  SGS DEL PERU - CONTRATO DE SALUD NO. 7022300067040</t>
  </si>
  <si>
    <t>Llegó como hilo: 1 mensaje(s) anterior(es). Lo inició: Ruiz, Aurora (Callao) &lt;Aurora.Ruiz@sgs.com&gt;</t>
  </si>
  <si>
    <t>AAQkADdkNThjNzFkLWM0ZmMtNDJhYS04MDVlLTIwNzE4ZDI1Mzg4YgAQAOJmmxbOriRFmGrRbZwy9d4=-20261019090836</t>
  </si>
  <si>
    <t>AAQkADdkNThjNzFkLWM0ZmMtNDJhYS04MDVlLTIwNzE4ZDI1Mzg4YgAQAOJmmxbOriRFmGrRbZwy9d4=</t>
  </si>
  <si>
    <t>Respuesta automática: CARTAS DE GARANTÍA PENDIENTES SOLICITADAS Y AUDITORIA ADMINISTRATIVA / 19-10-2026</t>
  </si>
  <si>
    <t>AAQkADdkNThjNzFkLWM0ZmMtNDJhYS04MDVlLTIwNzE4ZDI1Mzg4YgAQADvMN8og5ipNmE2lw8H4Q8Y=-20261019090859</t>
  </si>
  <si>
    <t>AAQkADdkNThjNzFkLWM0ZmMtNDJhYS04MDVlLTIwNzE4ZDI1Mzg4YgAQADvMN8og5ipNmE2lw8H4Q8Y=</t>
  </si>
  <si>
    <t>HUAMAN YATACO WALDIR JOSE</t>
  </si>
  <si>
    <t>AAQkADdkNThjNzFkLWM0ZmMtNDJhYS04MDVlLTIwNzE4ZDI1Mzg4YgAQAK4IWu_ydyFBvBvkQ8XrsV4=-20261019091545</t>
  </si>
  <si>
    <t>AAQkADdkNThjNzFkLWM0ZmMtNDJhYS04MDVlLTIwNzE4ZDI1Mzg4YgAQAK4IWu_ydyFBvBvkQ8XrsV4=</t>
  </si>
  <si>
    <t>MIRANDA NINAPAYTAN JUAN PABLO</t>
  </si>
  <si>
    <t>AAQkADdkNThjNzFkLWM0ZmMtNDJhYS04MDVlLTIwNzE4ZDI1Mzg4YgAQAGUh1Ev4W0VJv8COJJdlWjU=-20261019092802</t>
  </si>
  <si>
    <t>AAQkADdkNThjNzFkLWM0ZmMtNDJhYS04MDVlLTIwNzE4ZDI1Mzg4YgAQAGUh1Ev4W0VJv8COJJdlWjU=</t>
  </si>
  <si>
    <t>RHE10757760482E00186.pdf</t>
  </si>
  <si>
    <t>AAQkADdkNThjNzFkLWM0ZmMtNDJhYS04MDVlLTIwNzE4ZDI1Mzg4YgAQAJxapqZDCW1Pj7xY01Bz7ZQ=-20261019093202</t>
  </si>
  <si>
    <t>Caso nuevo: esta conversación ya tenía un caso finalizado (AAQkADdkNThjNzFkLWM0ZmMtNDJhYS04MDVlLTIwNzE4ZDI1Mzg4YgAQAJxapqZDCW1Pj7xY01Bz7ZQ=-20261014125516)</t>
  </si>
  <si>
    <t>AAQkADdkNThjNzFkLWM0ZmMtNDJhYS04MDVlLTIwNzE4ZDI1Mzg4YgAQABAsnfYWp0yzkhOY5iZOaIw=-20261019093620</t>
  </si>
  <si>
    <t>RE: SIMA PERU // SOLICITUD DE MULETAS Y MEDICAMENTO NO COBERTURADO</t>
  </si>
  <si>
    <t>Caso nuevo: esta conversación ya tenía un caso finalizado (AAQkADdkNThjNzFkLWM0ZmMtNDJhYS04MDVlLTIwNzE4ZDI1Mzg4YgAQABAsnfYWp0yzkhOY5iZOaIw=-20261016184751)</t>
  </si>
  <si>
    <t>AAQkADdkNThjNzFkLWM0ZmMtNDJhYS04MDVlLTIwNzE4ZDI1Mzg4YgAQAML7Y-g9vEhDpeGME15lpug=-20261019094101</t>
  </si>
  <si>
    <t>AAQkADdkNThjNzFkLWM0ZmMtNDJhYS04MDVlLTIwNzE4ZDI1Mzg4YgAQAML7Y-g9vEhDpeGME15lpug=</t>
  </si>
  <si>
    <t>RE: RECONSIDERACION /SCTR SALUD / GASTOS NO CUBIERTOS / INMAQ AR S.A.C. / FALCON LOPEZ WILMER</t>
  </si>
  <si>
    <t>drodriguez@cinternacional.com.pe</t>
  </si>
  <si>
    <t>Diego Rodriguez Altamirano</t>
  </si>
  <si>
    <t>Llegó como hilo: 2 mensaje(s) anterior(es). Lo inició: Ana Carolina Morales Zapata &lt;acmorales@cinternacional.com.pe&gt;</t>
  </si>
  <si>
    <t>AAQkADdkNThjNzFkLWM0ZmMtNDJhYS04MDVlLTIwNzE4ZDI1Mzg4YgAQAFaVY4Atm0QojpwesG6mTQ8=-20261019094143</t>
  </si>
  <si>
    <t>AAQkADdkNThjNzFkLWM0ZmMtNDJhYS04MDVlLTIwNzE4ZDI1Mzg4YgAQAFaVY4Atm0QojpwesG6mTQ8=</t>
  </si>
  <si>
    <t>RE: PACIENTE REYES ROJAS ALEXANDHER</t>
  </si>
  <si>
    <t>flaviafernanda.delbustobonifaz@cencosud.com.pe</t>
  </si>
  <si>
    <t>Llegó como hilo: 2 mensaje(s) anterior(es). Lo inició: SCTRSalud</t>
  </si>
  <si>
    <t>AAQkADdkNThjNzFkLWM0ZmMtNDJhYS04MDVlLTIwNzE4ZDI1Mzg4YgAQAI_pJQ3SUi9Cm7rAIyt9UNI=-20261019094220</t>
  </si>
  <si>
    <t>AAQkADdkNThjNzFkLWM0ZmMtNDJhYS04MDVlLTIwNzE4ZDI1Mzg4YgAQAI_pJQ3SUi9Cm7rAIyt9UNI=</t>
  </si>
  <si>
    <t>URGENTE!!!CONTINUIDAD DE COBERTURA SCTR SALUD | AS. IMAN ZEVALLOS ROLANDO INOCENTE  DNI 03483326 | SRES. PROTEKTOR SEGURIDAD INTEGRAL SAC</t>
  </si>
  <si>
    <t>AAQkADdkNThjNzFkLWM0ZmMtNDJhYS04MDVlLTIwNzE4ZDI1Mzg4YgAQAKXmS3Rli0OZuklOREma3uw=-20261019094355</t>
  </si>
  <si>
    <t>AAQkADdkNThjNzFkLWM0ZmMtNDJhYS04MDVlLTIwNzE4ZDI1Mzg4YgAQAKXmS3Rli0OZuklOREma3uw=</t>
  </si>
  <si>
    <t>RE: REEMBOLSO POR ATENCIÓN MEDICA DE FISIOTERAPIA: ACCIDENTE DE TRABAJO / MAYNITA ABARCA JULIO RAFAEL.</t>
  </si>
  <si>
    <t>tesoreriaperu@mapfre.com.pe</t>
  </si>
  <si>
    <t>Llegó como hilo: 2 mensaje(s) anterior(es). Lo inició: Rocio Santisteban &lt;rocio_santisteban@ajg.com&gt;</t>
  </si>
  <si>
    <t>AAQkADdkNThjNzFkLWM0ZmMtNDJhYS04MDVlLTIwNzE4ZDI1Mzg4YgAQANdXBRXYe9hIiKRaIbjat30=-20261019095352</t>
  </si>
  <si>
    <t>AAQkADdkNThjNzFkLWM0ZmMtNDJhYS04MDVlLTIwNzE4ZDI1Mzg4YgAQANdXBRXYe9hIiKRaIbjat30=</t>
  </si>
  <si>
    <t xml:space="preserve">RE: PAN AMERICAN SILVER HUARON - MAPFRE SCTR SALUD - ELOY GERONIMO CARBAJAL QUISPE - REEMBOLSO ATENCIÓN ODONTOLOGICA </t>
  </si>
  <si>
    <t>AAQkADdkNThjNzFkLWM0ZmMtNDJhYS04MDVlLTIwNzE4ZDI1Mzg4YgAQACK4xHLo4f5Lu6VOlDyV89g=-20261019095745</t>
  </si>
  <si>
    <t>AAQkADdkNThjNzFkLWM0ZmMtNDJhYS04MDVlLTIwNzE4ZDI1Mzg4YgAQACK4xHLo4f5Lu6VOlDyV89g=</t>
  </si>
  <si>
    <t>TRAMITE SCTR MAPFRE // BERRU AYALA EDWIN ALDAIR</t>
  </si>
  <si>
    <t>AAQkADdkNThjNzFkLWM0ZmMtNDJhYS04MDVlLTIwNzE4ZDI1Mzg4YgAQAJQH8qAMWFVLmgTFUEIlIIc=-20261019100004</t>
  </si>
  <si>
    <t>AAQkADdkNThjNzFkLWM0ZmMtNDJhYS04MDVlLTIwNzE4ZDI1Mzg4YgAQAJQH8qAMWFVLmgTFUEIlIIc=</t>
  </si>
  <si>
    <t>POR FAVOR APROBACION DE ACCIDENTE LABORAL MAPFRE // PAC CANDELA SANCHEZ JORGE// MAPFRE SCTR</t>
  </si>
  <si>
    <t>AAQkADdkNThjNzFkLWM0ZmMtNDJhYS04MDVlLTIwNzE4ZDI1Mzg4YgAQAHvfNpmf3ZhPjEfhtIAz0l4=-20261019101139</t>
  </si>
  <si>
    <t>AAQkADdkNThjNzFkLWM0ZmMtNDJhYS04MDVlLTIwNzE4ZDI1Mzg4YgAQAHvfNpmf3ZhPjEfhtIAz0l4=</t>
  </si>
  <si>
    <t>RE: MAXIMO MENDOZA MORI/  PASE DE ATENCION SCTR</t>
  </si>
  <si>
    <t>Llegó como hilo: 6 mensaje(s) anterior(es). Lo inició: Flores Isuiza, Peggy Luz &lt;PLFLORE@mapfre.com.pe&gt;</t>
  </si>
  <si>
    <t>AAQkADdkNThjNzFkLWM0ZmMtNDJhYS04MDVlLTIwNzE4ZDI1Mzg4YgAQAOXbk69mLvlMjkh-y0sRMDk=-20261019101233</t>
  </si>
  <si>
    <t>AAQkADdkNThjNzFkLWM0ZmMtNDJhYS04MDVlLTIwNzE4ZDI1Mzg4YgAQAOXbk69mLvlMjkh-y0sRMDk=</t>
  </si>
  <si>
    <t>RE: SCTR SALUD 7022500174321 SRES. INPRECONT ASEGURADO RUBEN SUAREZ RV: Solicitud de derivación para la elaboracion de prótesis</t>
  </si>
  <si>
    <t>kscappellettir@hotmail.com</t>
  </si>
  <si>
    <t>Karina C</t>
  </si>
  <si>
    <t>Llegó como hilo: 3 mensaje(s) anterior(es). Lo inició: Maritza Velasquez Mendoza &lt;m.velasquez@inprecontasb.com&gt;</t>
  </si>
  <si>
    <t>AAQkADdkNThjNzFkLWM0ZmMtNDJhYS04MDVlLTIwNzE4ZDI1Mzg4YgAQAPyDgJ8gi2dFvKIz-jzwHFM=-20261019101309</t>
  </si>
  <si>
    <t>AAQkADdkNThjNzFkLWM0ZmMtNDJhYS04MDVlLTIwNzE4ZDI1Mzg4YgAQAPyDgJ8gi2dFvKIz-jzwHFM=</t>
  </si>
  <si>
    <t>Re: URGENTE ATENCIÓN - SERNANP -SCTR SALUD-ASEGURADO YONY ESPARDI GUEVARA PAPA- CIRUGIA PENDIENTE - OFTALMICA</t>
  </si>
  <si>
    <t>AAQkADdkNThjNzFkLWM0ZmMtNDJhYS04MDVlLTIwNzE4ZDI1Mzg4YgAQAH1sir1tTnlMrRtLqqlvzBY=-20261019101407</t>
  </si>
  <si>
    <t>AAQkADdkNThjNzFkLWM0ZmMtNDJhYS04MDVlLTIwNzE4ZDI1Mzg4YgAQAH1sir1tTnlMrRtLqqlvzBY=</t>
  </si>
  <si>
    <t xml:space="preserve">RE: SNACKS - RE: APOYO EN LA GESTION: LEVIS ROMERO JOEL </t>
  </si>
  <si>
    <t>extdamg@mapfre.com.pe</t>
  </si>
  <si>
    <t>Arlette Martínez Gonzáles</t>
  </si>
  <si>
    <t>Llegó como hilo: 2 mensaje(s) anterior(es). Lo inició: Gamarra, David &lt;David.Gamarra@marsh.com&gt;</t>
  </si>
  <si>
    <t>AAQkADdkNThjNzFkLWM0ZmMtNDJhYS04MDVlLTIwNzE4ZDI1Mzg4YgAQAHCfQZcdTj5Bh9fOi10orIE=-20261019101735</t>
  </si>
  <si>
    <t>AAQkADdkNThjNzFkLWM0ZmMtNDJhYS04MDVlLTIwNzE4ZDI1Mzg4YgAQAHCfQZcdTj5Bh9fOi10orIE=</t>
  </si>
  <si>
    <t>Autorización Carta de Garantía - Gomez Cántaro Ever DNI: 42301517</t>
  </si>
  <si>
    <t>AAQkADdkNThjNzFkLWM0ZmMtNDJhYS04MDVlLTIwNzE4ZDI1Mzg4YgAQAD7xH9tAKdVGhHjL4eZq7N8=-20261019102136</t>
  </si>
  <si>
    <t>AAQkADdkNThjNzFkLWM0ZmMtNDJhYS04MDVlLTIwNzE4ZDI1Mzg4YgAQAD7xH9tAKdVGhHjL4eZq7N8=</t>
  </si>
  <si>
    <t>RE: HABILITAR CODIGO SCTR - ACOSTA PANTOJA JUAN</t>
  </si>
  <si>
    <t>Llegó como hilo: 2 mensaje(s) anterior(es). Lo inició: zzd GestionAlPaciente_Surco &lt;GestionAlPaciente_Surco@mapfre.com.pe&gt;</t>
  </si>
  <si>
    <t>AAQkADdkNThjNzFkLWM0ZmMtNDJhYS04MDVlLTIwNzE4ZDI1Mzg4YgAQADaMHv9bvFRFiM-PeCokOVE=-20261019102448</t>
  </si>
  <si>
    <t>AAQkADdkNThjNzFkLWM0ZmMtNDJhYS04MDVlLTIwNzE4ZDI1Mzg4YgAQADaMHv9bvFRFiM-PeCokOVE=</t>
  </si>
  <si>
    <t>PX. SOLICITA EVALUACION DE INCAPACIDAD - AVILA ZERPA YOAM ALEJANDRO</t>
  </si>
  <si>
    <t>AAQkADdkNThjNzFkLWM0ZmMtNDJhYS04MDVlLTIwNzE4ZDI1Mzg4YgAQAFpViUF1W0h_oV9I5vxCwXQ=-20261019102813</t>
  </si>
  <si>
    <t>AAQkADdkNThjNzFkLWM0ZmMtNDJhYS04MDVlLTIwNzE4ZDI1Mzg4YgAQAFpViUF1W0h_oV9I5vxCwXQ=</t>
  </si>
  <si>
    <t xml:space="preserve">CAMBIO DE CLINICA - JONATHAN ALEXIS PASTOR TORRES </t>
  </si>
  <si>
    <t>AAQkADdkNThjNzFkLWM0ZmMtNDJhYS04MDVlLTIwNzE4ZDI1Mzg4YgAQAIodui8O4EzEp4oBqg7Rles=-20261019104403</t>
  </si>
  <si>
    <t>AAQkADdkNThjNzFkLWM0ZmMtNDJhYS04MDVlLTIwNzE4ZDI1Mzg4YgAQAIodui8O4EzEp4oBqg7Rles=</t>
  </si>
  <si>
    <t>solicita la evaluación y determinación del menoscabo - JUNIOR AGUSTIN MIRO CHGUNGA -48321918</t>
  </si>
  <si>
    <t>AAQkADdkNThjNzFkLWM0ZmMtNDJhYS04MDVlLTIwNzE4ZDI1Mzg4YgAQADfMp533ZMtMs4VW-o4YLz4=-20261019104936</t>
  </si>
  <si>
    <t>Caso nuevo: esta conversación ya tenía un caso finalizado (AAQkADdkNThjNzFkLWM0ZmMtNDJhYS04MDVlLTIwNzE4ZDI1Mzg4YgAQADfMp533ZMtMs4VW-o4YLz4=-20261014125527)</t>
  </si>
  <si>
    <t>AAQkADdkNThjNzFkLWM0ZmMtNDJhYS04MDVlLTIwNzE4ZDI1Mzg4YgAQAILDfuakD08kh3slYTLP-qo=-20261019104947</t>
  </si>
  <si>
    <t>RE: ACTUALIZACION DE EN LA CARTA DE GARANTIA - PAC. HUAMAN CINICIO JHONATAN</t>
  </si>
  <si>
    <t>Caso nuevo: esta conversación ya tenía un caso finalizado (AAQkADdkNThjNzFkLWM0ZmMtNDJhYS04MDVlLTIwNzE4ZDI1Mzg4YgAQAILDfuakD08kh3slYTLP-qo=-20261017124508)</t>
  </si>
  <si>
    <t>AAQkADdkNThjNzFkLWM0ZmMtNDJhYS04MDVlLTIwNzE4ZDI1Mzg4YgAQAD7xH9tAKdVGhHjL4eZq7N8=-20261019105351</t>
  </si>
  <si>
    <t>Caso nuevo: esta conversación ya tenía un caso finalizado (AAQkADdkNThjNzFkLWM0ZmMtNDJhYS04MDVlLTIwNzE4ZDI1Mzg4YgAQAD7xH9tAKdVGhHjL4eZq7N8=-20261019102136)</t>
  </si>
  <si>
    <t>AAQkADdkNThjNzFkLWM0ZmMtNDJhYS04MDVlLTIwNzE4ZDI1Mzg4YgAQADuw21cdPW3ZOvx8YfL9evo=-20261019105523</t>
  </si>
  <si>
    <t>AAQkADdkNThjNzFkLWM0ZmMtNDJhYS04MDVlLTIwNzE4ZDI1Mzg4YgAQADuw21cdPW3ZOvx8YfL9evo=</t>
  </si>
  <si>
    <t>SOLICITUD DE CARTA DE GARANTIA SERVICIO RMD PAC Helen Aracely Amado Sanchez // SERMEDIAL SAC</t>
  </si>
  <si>
    <t>AAQkADdkNThjNzFkLWM0ZmMtNDJhYS04MDVlLTIwNzE4ZDI1Mzg4YgAQAPyDgJ8gi2dFvKIz-jzwHFM=-20261019110709</t>
  </si>
  <si>
    <t>RE: URGENTE ATENCIÓN - SERNANP -SCTR SALUD-ASEGURADO YONY ESPARDI GUEVARA PAPA- CIRUGIA PENDIENTE - OFTALMICA</t>
  </si>
  <si>
    <t>Caso nuevo: esta conversación ya tenía un caso finalizado (AAQkADdkNThjNzFkLWM0ZmMtNDJhYS04MDVlLTIwNzE4ZDI1Mzg4YgAQAPyDgJ8gi2dFvKIz-jzwHFM=-20261019101309)</t>
  </si>
  <si>
    <t>AAQkADdkNThjNzFkLWM0ZmMtNDJhYS04MDVlLTIwNzE4ZDI1Mzg4YgAQAOFJMw98oCRNvjA6UOkaIFQ=-20261019110943</t>
  </si>
  <si>
    <t>AAQkADdkNThjNzFkLWM0ZmMtNDJhYS04MDVlLTIwNzE4ZDI1Mzg4YgAQAOFJMw98oCRNvjA6UOkaIFQ=</t>
  </si>
  <si>
    <t>AII/RECLAMO 202613410 - CONSULTAS Y/O SOLICITUD N° 202613410 - CASO 89645322</t>
  </si>
  <si>
    <t>damayt1@mapfre.com.pe</t>
  </si>
  <si>
    <t>AAQkADdkNThjNzFkLWM0ZmMtNDJhYS04MDVlLTIwNzE4ZDI1Mzg4YgAQANkgXCPd1GtBm0Hu7zHg31w=-20261019111224</t>
  </si>
  <si>
    <t>AAQkADdkNThjNzFkLWM0ZmMtNDJhYS04MDVlLTIwNzE4ZDI1Mzg4YgAQANkgXCPd1GtBm0Hu7zHg31w=</t>
  </si>
  <si>
    <t>No se puede entregar: RE: INDECO - SCTR SALUD MAPFRE: Mendoza Mori Maximo - ATENCION EN CL. INTERNANCIONAL SAN BORJA</t>
  </si>
  <si>
    <t>AAQkADdkNThjNzFkLWM0ZmMtNDJhYS04MDVlLTIwNzE4ZDI1Mzg4YgAQAHvfNpmf3ZhPjEfhtIAz0l4=-20261019111343</t>
  </si>
  <si>
    <t>No se puede entregar: RE: MAXIMO MENDOZA MORI/  PASE DE ATENCION SCTR</t>
  </si>
  <si>
    <t>Caso nuevo: esta conversación ya tenía un caso finalizado (AAQkADdkNThjNzFkLWM0ZmMtNDJhYS04MDVlLTIwNzE4ZDI1Mzg4YgAQAHvfNpmf3ZhPjEfhtIAz0l4=-20261019101139)</t>
  </si>
  <si>
    <t>AAQkADdkNThjNzFkLWM0ZmMtNDJhYS04MDVlLTIwNzE4ZDI1Mzg4YgAQAI_pJQ3SUi9Cm7rAIyt9UNI=-20261019111724</t>
  </si>
  <si>
    <t>RE: URGENTE!!!CONTINUIDAD DE COBERTURA SCTR SALUD | AS. IMAN ZEVALLOS ROLANDO INOCENTE  DNI 03483326 | SRES. PROTEKTOR SEGURIDAD INTEGRAL SAC</t>
  </si>
  <si>
    <t>Caso nuevo: esta conversación ya tenía un caso finalizado (AAQkADdkNThjNzFkLWM0ZmMtNDJhYS04MDVlLTIwNzE4ZDI1Mzg4YgAQAI_pJQ3SUi9Cm7rAIyt9UNI=-20261019094220)</t>
  </si>
  <si>
    <t>AAQkADdkNThjNzFkLWM0ZmMtNDJhYS04MDVlLTIwNzE4ZDI1Mzg4YgAQAGwb42yS8bZMrXFl3K6mjdo=-20261019112435</t>
  </si>
  <si>
    <t>AAQkADdkNThjNzFkLWM0ZmMtNDJhYS04MDVlLTIwNzE4ZDI1Mzg4YgAQAGwb42yS8bZMrXFl3K6mjdo=</t>
  </si>
  <si>
    <t>Fwd: COBERTURA DE MEDICINA // FATAMA TUANAMA WIDMER</t>
  </si>
  <si>
    <t>AAQkADdkNThjNzFkLWM0ZmMtNDJhYS04MDVlLTIwNzE4ZDI1Mzg4YgAQAHiIMuxU9v9BqwmuyVZQXwU=-20261019112638</t>
  </si>
  <si>
    <t>AAQkADdkNThjNzFkLWM0ZmMtNDJhYS04MDVlLTIwNzE4ZDI1Mzg4YgAQAHiIMuxU9v9BqwmuyVZQXwU=</t>
  </si>
  <si>
    <t>COBERTURA DE MEDICINA // ROMAN VIVANCO CARLOS</t>
  </si>
  <si>
    <t>AAQkADdkNThjNzFkLWM0ZmMtNDJhYS04MDVlLTIwNzE4ZDI1Mzg4YgAQAJQH8qAMWFVLmgTFUEIlIIc=-20261019114015</t>
  </si>
  <si>
    <t>RE: POR FAVOR APROBACION DE ACCIDENTE LABORAL MAPFRE // PAC CANDELA SANCHEZ JORGE// MAPFRE SCTR</t>
  </si>
  <si>
    <t>Caso nuevo: esta conversación ya tenía un caso finalizado (AAQkADdkNThjNzFkLWM0ZmMtNDJhYS04MDVlLTIwNzE4ZDI1Mzg4YgAQAJQH8qAMWFVLmgTFUEIlIIc=-20261019100004)</t>
  </si>
  <si>
    <t>AAQkADdkNThjNzFkLWM0ZmMtNDJhYS04MDVlLTIwNzE4ZDI1Mzg4YgAQABx9SS2AiDVNkZGRp3qpT38=-20261019114636</t>
  </si>
  <si>
    <t>RE: Sustento de Area Medica</t>
  </si>
  <si>
    <t>Caso nuevo: esta conversación ya tenía un caso finalizado (AAQkADdkNThjNzFkLWM0ZmMtNDJhYS04MDVlLTIwNzE4ZDI1Mzg4YgAQABx9SS2AiDVNkZGRp3qpT38=-20261017112022)</t>
  </si>
  <si>
    <t>AAQkADdkNThjNzFkLWM0ZmMtNDJhYS04MDVlLTIwNzE4ZDI1Mzg4YgAQAMyWehDwePNBuDrZLQUVrAY=-20261019114801</t>
  </si>
  <si>
    <t>AAQkADdkNThjNzFkLWM0ZmMtNDJhYS04MDVlLTIwNzE4ZDI1Mzg4YgAQAMyWehDwePNBuDrZLQUVrAY=</t>
  </si>
  <si>
    <t xml:space="preserve">HABILITAR CODIGO SCTR - GARCIA SANCHEZ MARIA FRANCISCA </t>
  </si>
  <si>
    <t>AAQkADdkNThjNzFkLWM0ZmMtNDJhYS04MDVlLTIwNzE4ZDI1Mzg4YgAQAIwhxdsg3phGgnStkBKFi_I=-20261019115333</t>
  </si>
  <si>
    <t>AAQkADdkNThjNzFkLWM0ZmMtNDJhYS04MDVlLTIwNzE4ZDI1Mzg4YgAQAIwhxdsg3phGgnStkBKFi_I=</t>
  </si>
  <si>
    <t>Delivery Status Notification (Failure)</t>
  </si>
  <si>
    <t>mailer-daemon@googlemail.com</t>
  </si>
  <si>
    <t>AAQkADdkNThjNzFkLWM0ZmMtNDJhYS04MDVlLTIwNzE4ZDI1Mzg4YgAQAFXxW5i8FEeBpowyPgknXfY=-20261019115948</t>
  </si>
  <si>
    <t>AAQkADdkNThjNzFkLWM0ZmMtNDJhYS04MDVlLTIwNzE4ZDI1Mzg4YgAQAFXxW5i8FEeBpowyPgknXfY=</t>
  </si>
  <si>
    <t>RV: SINIESTRO SCTR SALUD - ASEG SALINAS BARRIGA ESTELA MILUSKA - SRES SHALOM EMPRESARIAL SAC</t>
  </si>
  <si>
    <t>Llegó como hilo: 1 mensaje(s) anterior(es). Lo inició: jcastaneda@accionseguros.net &lt;jcastaneda@accionseguros.net&gt;</t>
  </si>
  <si>
    <t>AAQkADdkNThjNzFkLWM0ZmMtNDJhYS04MDVlLTIwNzE4ZDI1Mzg4YgAQAB1PI4wbu07Ur5hXhuYP790=-20261019120058</t>
  </si>
  <si>
    <t>AAQkADdkNThjNzFkLWM0ZmMtNDJhYS04MDVlLTIwNzE4ZDI1Mzg4YgAQAB1PI4wbu07Ur5hXhuYP790=</t>
  </si>
  <si>
    <t>RE: EXAMENES NO COBERTURADOS- LOPEZ MARAVI YANETH- EFCO AMERICA- SCTR SALUD MAPFRE</t>
  </si>
  <si>
    <t>Johaida Medina</t>
  </si>
  <si>
    <t>AAQkADdkNThjNzFkLWM0ZmMtNDJhYS04MDVlLTIwNzE4ZDI1Mzg4YgAQAAusp5vmFkVQtO8cVh281Fo=-20261019120427</t>
  </si>
  <si>
    <t>AAQkADdkNThjNzFkLWM0ZmMtNDJhYS04MDVlLTIwNzE4ZDI1Mzg4YgAQAAusp5vmFkVQtO8cVh281Fo=</t>
  </si>
  <si>
    <t>RE: SINIESTRO SCTR SALUD - ASEG LUIS ROY ACUÑA HUAMAN - SRES SHALOM EMPRESARIAL SAC</t>
  </si>
  <si>
    <t>Llegó como hilo: 3 mensaje(s) anterior(es). Lo inició: Cordova Yenque, Pilar Alexandra &lt;CYPILA1@mapfre.com.pe&gt;</t>
  </si>
  <si>
    <t>AAQkADdkNThjNzFkLWM0ZmMtNDJhYS04MDVlLTIwNzE4ZDI1Mzg4YgAQAJr1p1wXIhJFq4SsVkW_owo=-20261019120439</t>
  </si>
  <si>
    <t>Caso nuevo: esta conversación ya tenía un caso finalizado (AAQkADdkNThjNzFkLWM0ZmMtNDJhYS04MDVlLTIwNzE4ZDI1Mzg4YgAQAJr1p1wXIhJFq4SsVkW_owo=-20261019081516)</t>
  </si>
  <si>
    <t>AAQkADdkNThjNzFkLWM0ZmMtNDJhYS04MDVlLTIwNzE4ZDI1Mzg4YgAQAHBOJvg9wGpDoCXVFeKhEgw=-20261019120601</t>
  </si>
  <si>
    <t>RE: SEDE BELLAVISTA // CASO PAC JORGE LUIS QUIPAS MARTINEZ // MAPFRE SCTR // BAW 931225</t>
  </si>
  <si>
    <t>veronica.moreno@auna.org</t>
  </si>
  <si>
    <t>Caso nuevo: esta conversación ya tenía un caso finalizado (AAQkADdkNThjNzFkLWM0ZmMtNDJhYS04MDVlLTIwNzE4ZDI1Mzg4YgAQAHBOJvg9wGpDoCXVFeKhEgw=-20261017090015)</t>
  </si>
  <si>
    <t>AAQkADdkNThjNzFkLWM0ZmMtNDJhYS04MDVlLTIwNzE4ZDI1Mzg4YgAQANB9tvrbDEwwqjCPLIHNEm4=-20261019120944</t>
  </si>
  <si>
    <t>AAQkADdkNThjNzFkLWM0ZmMtNDJhYS04MDVlLTIwNzE4ZDI1Mzg4YgAQANB9tvrbDEwwqjCPLIHNEm4=</t>
  </si>
  <si>
    <t xml:space="preserve">COBERTURA DE SEGURO- RODILLERA ARTICULADO//REYES CANO JUAN EDER </t>
  </si>
  <si>
    <t>AAQkADdkNThjNzFkLWM0ZmMtNDJhYS04MDVlLTIwNzE4ZDI1Mzg4YgAQAMTxNVVMiOpHmQqSZHC_qjQ=-20261019121243</t>
  </si>
  <si>
    <t>AAQkADdkNThjNzFkLWM0ZmMtNDJhYS04MDVlLTIwNzE4ZDI1Mzg4YgAQAMTxNVVMiOpHmQqSZHC_qjQ=</t>
  </si>
  <si>
    <t>URGENTE!!!! ACTIVAR ASEGURADO // SOL CG// PXPEREZ RODRIGUEZ MARCO ANTONIO // MAPFRE SCTR</t>
  </si>
  <si>
    <t>AAQkADdkNThjNzFkLWM0ZmMtNDJhYS04MDVlLTIwNzE4ZDI1Mzg4YgAQALmQ6f56qEhPmO118lYYtq4=-20261019121245</t>
  </si>
  <si>
    <t>RE: SOLICITUD DE ENTREGA DE MEDICAMENTOS: NICOLAS QUINTANILLA ANGELA - SCTR  SGS DEL PERU - CONTRATO DE SALUD NO. 7022300067040</t>
  </si>
  <si>
    <t>Caso nuevo: esta conversación ya tenía un caso finalizado (AAQkADdkNThjNzFkLWM0ZmMtNDJhYS04MDVlLTIwNzE4ZDI1Mzg4YgAQALmQ6f56qEhPmO118lYYtq4=-20261019085313)</t>
  </si>
  <si>
    <t>AAQkADdkNThjNzFkLWM0ZmMtNDJhYS04MDVlLTIwNzE4ZDI1Mzg4YgAQAHIRvVRbuMRDmNxZZ-XQU9E=-20261019123112</t>
  </si>
  <si>
    <t>Caso nuevo: esta conversación ya tenía un caso finalizado (AAQkADdkNThjNzFkLWM0ZmMtNDJhYS04MDVlLTIwNzE4ZDI1Mzg4YgAQAHIRvVRbuMRDmNxZZ-XQU9E=-20261018110619)</t>
  </si>
  <si>
    <t>AAQkADdkNThjNzFkLWM0ZmMtNDJhYS04MDVlLTIwNzE4ZDI1Mzg4YgAQAMODUcOlkaRHiXCUH6d3uQQ=-20261019124503</t>
  </si>
  <si>
    <t>AAQkADdkNThjNzFkLWM0ZmMtNDJhYS04MDVlLTIwNzE4ZDI1Mzg4YgAQAMODUcOlkaRHiXCUH6d3uQQ=</t>
  </si>
  <si>
    <t>URGENTE ACTIVACION PACIENTE SCTR EN WEB  OIM // PCTE : FIGUEROA AZOCAR FRANCISCO JOSE // DNI: 002499962</t>
  </si>
  <si>
    <t>AAQkADdkNThjNzFkLWM0ZmMtNDJhYS04MDVlLTIwNzE4ZDI1Mzg4YgAQAKFejihTTdBGkC84bfn4i6k=-20261019124512</t>
  </si>
  <si>
    <t>AAQkADdkNThjNzFkLWM0ZmMtNDJhYS04MDVlLTIwNzE4ZDI1Mzg4YgAQAKFejihTTdBGkC84bfn4i6k=</t>
  </si>
  <si>
    <t>Jack Ramirez Prieto - DNI 40789689 - reconocimiento de lesión cervical y brazo izquierdo</t>
  </si>
  <si>
    <t>abejajapon@gmail.com</t>
  </si>
  <si>
    <t>AAQkADdkNThjNzFkLWM0ZmMtNDJhYS04MDVlLTIwNzE4ZDI1Mzg4YgAQAA1YQX44JCpFo2jPFE10GvY=-20261019124559</t>
  </si>
  <si>
    <t>No se puede entregar: RE: REEMBOLSO DE MEDICAMENTO X ACC. TRABAJO - QUISPE LLIHUAC FRANK</t>
  </si>
  <si>
    <t>Caso nuevo: esta conversación ya tenía un caso finalizado (AAQkADdkNThjNzFkLWM0ZmMtNDJhYS04MDVlLTIwNzE4ZDI1Mzg4YgAQAA1YQX44JCpFo2jPFE10GvY=-20261016091303)</t>
  </si>
  <si>
    <t>AAQkADdkNThjNzFkLWM0ZmMtNDJhYS04MDVlLTIwNzE4ZDI1Mzg4YgAQAPHLx4poPPRPmOp4c00exJc=-20261019125200</t>
  </si>
  <si>
    <t>AAQkADdkNThjNzFkLWM0ZmMtNDJhYS04MDVlLTIwNzE4ZDI1Mzg4YgAQAPHLx4poPPRPmOp4c00exJc=</t>
  </si>
  <si>
    <t>AAQkADdkNThjNzFkLWM0ZmMtNDJhYS04MDVlLTIwNzE4ZDI1Mzg4YgAQAGN7rBqrOx9KsHFhL8x7VsI=-20261019125709</t>
  </si>
  <si>
    <t>RE: SOLICITUD DE COBERTURA DE 02 MANGA COMPRESORA Y 02 SILICONA - QUISPE LLIHUAC FRANK PAUL - ACC TRABAJO</t>
  </si>
  <si>
    <t>jntorresb@natividad.pe</t>
  </si>
  <si>
    <t>Caso nuevo: esta conversación ya tenía un caso finalizado (AAQkADdkNThjNzFkLWM0ZmMtNDJhYS04MDVlLTIwNzE4ZDI1Mzg4YgAQAGN7rBqrOx9KsHFhL8x7VsI=-20261016102458)</t>
  </si>
  <si>
    <t>AAQkADdkNThjNzFkLWM0ZmMtNDJhYS04MDVlLTIwNzE4ZDI1Mzg4YgAQALCa3g2EYQdOur82MSgJIgo=-20261019130546</t>
  </si>
  <si>
    <t>AAQkADdkNThjNzFkLWM0ZmMtNDJhYS04MDVlLTIwNzE4ZDI1Mzg4YgAQALCa3g2EYQdOur82MSgJIgo=</t>
  </si>
  <si>
    <t>RE: INGENIEROS Y ARQUITECTOS W-SANCHEZ EIRL CON RUC: 20610840940</t>
  </si>
  <si>
    <t>AAQkADdkNThjNzFkLWM0ZmMtNDJhYS04MDVlLTIwNzE4ZDI1Mzg4YgAQAHCfQZcdTj5Bh9fOi10orIE=-20261019130550</t>
  </si>
  <si>
    <t>RE: Autorización Carta de Garantía - Gomez Cántaro Ever DNI: 42301517</t>
  </si>
  <si>
    <t>Caso nuevo: esta conversación ya tenía un caso finalizado (AAQkADdkNThjNzFkLWM0ZmMtNDJhYS04MDVlLTIwNzE4ZDI1Mzg4YgAQAHCfQZcdTj5Bh9fOi10orIE=-20261019101735)</t>
  </si>
  <si>
    <t>AAQkADdkNThjNzFkLWM0ZmMtNDJhYS04MDVlLTIwNzE4ZDI1Mzg4YgAQAApNlv_kIo5ArIYOiBrT70c=-20261019130628</t>
  </si>
  <si>
    <t>AAQkADdkNThjNzFkLWM0ZmMtNDJhYS04MDVlLTIwNzE4ZDI1Mzg4YgAQAApNlv_kIo5ArIYOiBrT70c=</t>
  </si>
  <si>
    <t>JCJ CONSTRUCTORES S. A.C, has recibido un pago</t>
  </si>
  <si>
    <t>AAQkADdkNThjNzFkLWM0ZmMtNDJhYS04MDVlLTIwNzE4ZDI1Mzg4YgAQAJ1giX1lvB1GivHP0Sc-qCY=-20261019130854</t>
  </si>
  <si>
    <t>RE: SOLICITO CARTA DE GARANTÍA-IZQUIERDO NOLORBE CARLOS-SCTR-CLINICA EMASALUD-IQUITOS</t>
  </si>
  <si>
    <t>cmnadi1@mapfre.com.pe</t>
  </si>
  <si>
    <t>Nadia Solange Cordova Miranda</t>
  </si>
  <si>
    <t>Caso nuevo: esta conversación ya tenía un caso finalizado (AAQkADdkNThjNzFkLWM0ZmMtNDJhYS04MDVlLTIwNzE4ZDI1Mzg4YgAQAJ1giX1lvB1GivHP0Sc-qCY=-20261017222257)</t>
  </si>
  <si>
    <t>AAQkADdkNThjNzFkLWM0ZmMtNDJhYS04MDVlLTIwNzE4ZDI1Mzg4YgAQAPfONlEK60KJmUyDgjxHZKk=-20261019131600</t>
  </si>
  <si>
    <t>ssalvador@sanpablo.com.pe</t>
  </si>
  <si>
    <t>Sumi Salvador Sanchez</t>
  </si>
  <si>
    <t>Caso nuevo: esta conversación ya tenía un caso finalizado (AAQkADdkNThjNzFkLWM0ZmMtNDJhYS04MDVlLTIwNzE4ZDI1Mzg4YgAQAPfONlEK60KJmUyDgjxHZKk=-20261016163124)</t>
  </si>
  <si>
    <t>AAQkADdkNThjNzFkLWM0ZmMtNDJhYS04MDVlLTIwNzE4ZDI1Mzg4YgAQAJUcGxNHnknSlxJD44FcQoo=-20261019132052</t>
  </si>
  <si>
    <t>AAQkADdkNThjNzFkLWM0ZmMtNDJhYS04MDVlLTIwNzE4ZDI1Mzg4YgAQAJUcGxNHnknSlxJD44FcQoo=</t>
  </si>
  <si>
    <t>RE: URGENTE*** FORMATO SCTR ANA MARIA TENICELA GARCIA</t>
  </si>
  <si>
    <t>Llegó como hilo: 2 mensaje(s) anterior(es). Lo inició: Wendolly Guevara López &lt;wguevara@gabel.com.pe&gt;</t>
  </si>
  <si>
    <t>AAQkADdkNThjNzFkLWM0ZmMtNDJhYS04MDVlLTIwNzE4ZDI1Mzg4YgAQAM213mqBsohNprYeTx5aJJc=-20261019132853</t>
  </si>
  <si>
    <t>AAQkADdkNThjNzFkLWM0ZmMtNDJhYS04MDVlLTIwNzE4ZDI1Mzg4YgAQAM213mqBsohNprYeTx5aJJc=</t>
  </si>
  <si>
    <t>Vacaciones, Fuera de Oficina RE: SOLICITO ENTREGA DE BOTA WALKER // ASEG: YELSIN ROBIÑO HUIZA MORENO DNI 77016805 // COMPAÑIA MINERA CASMA S.A.C</t>
  </si>
  <si>
    <t>comercial2@hermes.pe</t>
  </si>
  <si>
    <t>AAQkADdkNThjNzFkLWM0ZmMtNDJhYS04MDVlLTIwNzE4ZDI1Mzg4YgAQAO5ZQy5mQcBHuM6l4Nr4VWo=-20261019134259</t>
  </si>
  <si>
    <t>AAQkADdkNThjNzFkLWM0ZmMtNDJhYS04MDVlLTIwNzE4ZDI1Mzg4YgAQAO5ZQy5mQcBHuM6l4Nr4VWo=</t>
  </si>
  <si>
    <t>Solicitud de ambulancia de hogar a clínica y de clínica a hogar</t>
  </si>
  <si>
    <t>AAQkADdkNThjNzFkLWM0ZmMtNDJhYS04MDVlLTIwNzE4ZDI1Mzg4YgAQACTTJn1lGE8eq-9aU7Ok1VA=-20261019141454</t>
  </si>
  <si>
    <t>AAQkADdkNThjNzFkLWM0ZmMtNDJhYS04MDVlLTIwNzE4ZDI1Mzg4YgAQACTTJn1lGE8eq-9aU7Ok1VA=</t>
  </si>
  <si>
    <t>RV: Consulta sobre sustento de no cobertura de tratamiento por SCTR - KP Ingeniería Logística Perú SAC</t>
  </si>
  <si>
    <t>Llegó como hilo: 3 mensaje(s) anterior(es). Lo inició: krojas@kpilogistica.com.pe &lt;krojas@kpilogistica.com.pe&gt;</t>
  </si>
  <si>
    <t>AAQkADdkNThjNzFkLWM0ZmMtNDJhYS04MDVlLTIwNzE4ZDI1Mzg4YgAQADI_oQk8RUFMrLR_JFOTYPQ=-20261019141641</t>
  </si>
  <si>
    <t>AAQkADdkNThjNzFkLWM0ZmMtNDJhYS04MDVlLTIwNzE4ZDI1Mzg4YgAQADI_oQk8RUFMrLR_JFOTYPQ=</t>
  </si>
  <si>
    <t xml:space="preserve">SS ATENCION RMN PACTE FLORES GARCIA, MICHAEL ALEJANDRO - MAPFRE SCTR HOSPITALIZADO CMS SURCO </t>
  </si>
  <si>
    <t>AAQkADdkNThjNzFkLWM0ZmMtNDJhYS04MDVlLTIwNzE4ZDI1Mzg4YgAQAGqvBjYUpP9HsiAU_3yeN3M=-20261019143027</t>
  </si>
  <si>
    <t>AAQkADdkNThjNzFkLWM0ZmMtNDJhYS04MDVlLTIwNzE4ZDI1Mzg4YgAQAGqvBjYUpP9HsiAU_3yeN3M=</t>
  </si>
  <si>
    <t>SCTR / CRUCES BERDEJO LUIS ENRIQUE</t>
  </si>
  <si>
    <t>AAQkADdkNThjNzFkLWM0ZmMtNDJhYS04MDVlLTIwNzE4ZDI1Mzg4YgAQAItrzjx7OSlLiiKpuUYLpwg=-20261019150118</t>
  </si>
  <si>
    <t>AAQkADdkNThjNzFkLWM0ZmMtNDJhYS04MDVlLTIwNzE4ZDI1Mzg4YgAQAItrzjx7OSlLiiKpuUYLpwg=</t>
  </si>
  <si>
    <t>URGENTE // COBERTURA INACTIVA / PX. CRUCES BERDEJO LUIS ENRIQUE</t>
  </si>
  <si>
    <t>AAQkADdkNThjNzFkLWM0ZmMtNDJhYS04MDVlLTIwNzE4ZDI1Mzg4YgAQAI_pJQ3SUi9Cm7rAIyt9UNI=-20261019150948</t>
  </si>
  <si>
    <t>Caso nuevo: esta conversación ya tenía un caso finalizado (AAQkADdkNThjNzFkLWM0ZmMtNDJhYS04MDVlLTIwNzE4ZDI1Mzg4YgAQAI_pJQ3SUi9Cm7rAIyt9UNI=-20261019111724)</t>
  </si>
  <si>
    <t>AAQkADdkNThjNzFkLWM0ZmMtNDJhYS04MDVlLTIwNzE4ZDI1Mzg4YgAQAAusp5vmFkVQtO8cVh281Fo=-20261019151428</t>
  </si>
  <si>
    <t>jcastaneda@accionseguros.net</t>
  </si>
  <si>
    <t>Caso nuevo: esta conversación ya tenía un caso finalizado (AAQkADdkNThjNzFkLWM0ZmMtNDJhYS04MDVlLTIwNzE4ZDI1Mzg4YgAQAAusp5vmFkVQtO8cVh281Fo=-20261019120427)</t>
  </si>
  <si>
    <t>AAQkADdkNThjNzFkLWM0ZmMtNDJhYS04MDVlLTIwNzE4ZDI1Mzg4YgAQABvtNDYGplRJtNvXICKfUHw=-20261019151808</t>
  </si>
  <si>
    <t>AAQkADdkNThjNzFkLWM0ZmMtNDJhYS04MDVlLTIwNzE4ZDI1Mzg4YgAQABvtNDYGplRJtNvXICKfUHw=</t>
  </si>
  <si>
    <t>RE: SINIESTRO SCTR - ALARCON CAMPOS YERELIN NATHALY - INDUSTRIAS BELSA SOCIEDAD ANONIMA CERRADA</t>
  </si>
  <si>
    <t>soporte1@crcorredores.com</t>
  </si>
  <si>
    <t>AAQkADdkNThjNzFkLWM0ZmMtNDJhYS04MDVlLTIwNzE4ZDI1Mzg4YgAQAB8DM7P9VkmxgjqY4DPEApI=-20261019151811</t>
  </si>
  <si>
    <t>AAQkADdkNThjNzFkLWM0ZmMtNDJhYS04MDVlLTIwNzE4ZDI1Mzg4YgAQAB8DM7P9VkmxgjqY4DPEApI=</t>
  </si>
  <si>
    <t>SCTR / CENTRO MÉDICO TERAPIAS / SALERNO INMOBILIARIA  SAC  RUC  20611820691 / TECCO ESPINOZA JHON  DNI 47816759</t>
  </si>
  <si>
    <t>AAQkADdkNThjNzFkLWM0ZmMtNDJhYS04MDVlLTIwNzE4ZDI1Mzg4YgAQAN2c_3bGx-JGoB1nBrzV88I=-20261019153134</t>
  </si>
  <si>
    <t>Caso nuevo: esta conversación ya tenía un caso finalizado (AAQkADdkNThjNzFkLWM0ZmMtNDJhYS04MDVlLTIwNzE4ZDI1Mzg4YgAQAN2c_3bGx-JGoB1nBrzV88I=-20261017084901)</t>
  </si>
  <si>
    <t>AAQkADdkNThjNzFkLWM0ZmMtNDJhYS04MDVlLTIwNzE4ZDI1Mzg4YgAQAJkGSRhRp0IMllsmFyNReq4=-20261019153946</t>
  </si>
  <si>
    <t>AAQkADdkNThjNzFkLWM0ZmMtNDJhYS04MDVlLTIwNzE4ZDI1Mzg4YgAQAJkGSRhRp0IMllsmFyNReq4=</t>
  </si>
  <si>
    <t>RE: APROBACIÓN DE CARTA DE GARANTÍA _ DNI 72696464 _ MANFREED JHONATAN FABIAN PARRA _ ECOSEM HUARAUCACA</t>
  </si>
  <si>
    <t>AAQkADdkNThjNzFkLWM0ZmMtNDJhYS04MDVlLTIwNzE4ZDI1Mzg4YgAQAM0RV4aJsRBAt1HLLbRa41E=-20261019154151</t>
  </si>
  <si>
    <t>AAQkADdkNThjNzFkLWM0ZmMtNDJhYS04MDVlLTIwNzE4ZDI1Mzg4YgAQAM0RV4aJsRBAt1HLLbRa41E=</t>
  </si>
  <si>
    <t>RE: ACTIVACION OIM // PACIENTE PAULLO HERNANDEZ JUAN CAMILO - SCTR</t>
  </si>
  <si>
    <t>AAQkADdkNThjNzFkLWM0ZmMtNDJhYS04MDVlLTIwNzE4ZDI1Mzg4YgAQANdXBRXYe9hIiKRaIbjat30=-20261019154207</t>
  </si>
  <si>
    <t xml:space="preserve">Respuesta automática: PAN AMERICAN SILVER HUARON - MAPFRE SCTR SALUD - ELOY GERONIMO CARBAJAL QUISPE - REEMBOLSO ATENCIÓN ODONTOLOGICA </t>
  </si>
  <si>
    <t>Caso nuevo: esta conversación ya tenía un caso finalizado (AAQkADdkNThjNzFkLWM0ZmMtNDJhYS04MDVlLTIwNzE4ZDI1Mzg4YgAQANdXBRXYe9hIiKRaIbjat30=-20261019095352)</t>
  </si>
  <si>
    <t>AAQkADdkNThjNzFkLWM0ZmMtNDJhYS04MDVlLTIwNzE4ZDI1Mzg4YgAQAIcN7Lo0qkEYlIOxhWRVujw=-20261019154602</t>
  </si>
  <si>
    <t>RE: SOLICITO ENTREGA DE BOTA WALKER // ASEG: YELSIN ROBIÑO HUIZA MORENO DNI 77016805 // COMPAÑIA MINERA CASMA S.A.C</t>
  </si>
  <si>
    <t>Caso nuevo: esta conversación ya tenía un caso finalizado (AAQkADdkNThjNzFkLWM0ZmMtNDJhYS04MDVlLTIwNzE4ZDI1Mzg4YgAQAIcN7Lo0qkEYlIOxhWRVujw=-20261015160056)</t>
  </si>
  <si>
    <t>AAQkADdkNThjNzFkLWM0ZmMtNDJhYS04MDVlLTIwNzE4ZDI1Mzg4YgAQAL_8Ham3XMVOh3nb3mSEIw4=-20261019154921</t>
  </si>
  <si>
    <t>AAQkADdkNThjNzFkLWM0ZmMtNDJhYS04MDVlLTIwNzE4ZDI1Mzg4YgAQAL_8Ham3XMVOh3nb3mSEIw4=</t>
  </si>
  <si>
    <t>RE: MAPFRE - SOLICITUD DE COBERTURA DE MEDICAMENTOS PAC: COLLANTES ESPINOZA LUIS FABRIZIO</t>
  </si>
  <si>
    <t>Llegó como hilo: 2 mensaje(s) anterior(es). Lo inició: MARJHORY MAYNE ASTUHUAMAN LAZO &lt;marjhory.astuhuaman@auna.org&gt;</t>
  </si>
  <si>
    <t>AAQkADdkNThjNzFkLWM0ZmMtNDJhYS04MDVlLTIwNzE4ZDI1Mzg4YgAQAO5ZQy5mQcBHuM6l4Nr4VWo=-20261019154943</t>
  </si>
  <si>
    <t>Re: Solicitud de ambulancia de hogar a clínica y de clínica a hogar</t>
  </si>
  <si>
    <t>Caso nuevo: esta conversación ya tenía un caso finalizado (AAQkADdkNThjNzFkLWM0ZmMtNDJhYS04MDVlLTIwNzE4ZDI1Mzg4YgAQAO5ZQy5mQcBHuM6l4Nr4VWo=-20261019134259)</t>
  </si>
  <si>
    <t>AAQkADdkNThjNzFkLWM0ZmMtNDJhYS04MDVlLTIwNzE4ZDI1Mzg4YgAQAJ-mENjmuYhOnOkIyFWQ6Iw=-20261019155700</t>
  </si>
  <si>
    <t>AAQkADdkNThjNzFkLWM0ZmMtNDJhYS04MDVlLTIwNzE4ZDI1Mzg4YgAQAJ-mENjmuYhOnOkIyFWQ6Iw=</t>
  </si>
  <si>
    <t>RE: URGENTE ACTIVACION PACIENTE SCTR EN WEB OIM // PCTE : PACHECO RAMOS HECTOR GERARDO DEL JESUS // CE. 007968372</t>
  </si>
  <si>
    <t>Llegó como hilo: 1 mensaje(s) anterior(es). Lo inició: Ruby Principe- Admision hospitalaria &lt;aprincipe@sanpablo.com.pe&gt;</t>
  </si>
  <si>
    <t>AAQkADdkNThjNzFkLWM0ZmMtNDJhYS04MDVlLTIwNzE4ZDI1Mzg4YgAQACTTJn1lGE8eq-9aU7Ok1VA=-20261019155841</t>
  </si>
  <si>
    <t>RE: Consulta sobre sustento de no cobertura de tratamiento por SCTR - KP Ingeniería Logística Perú SAC</t>
  </si>
  <si>
    <t>Caso nuevo: esta conversación ya tenía un caso finalizado (AAQkADdkNThjNzFkLWM0ZmMtNDJhYS04MDVlLTIwNzE4ZDI1Mzg4YgAQACTTJn1lGE8eq-9aU7Ok1VA=-20261019141454)</t>
  </si>
  <si>
    <t>AAQkADdkNThjNzFkLWM0ZmMtNDJhYS04MDVlLTIwNzE4ZDI1Mzg4YgAQAO_2WCvozELNrjnxbu_0YXk=-20261019155916</t>
  </si>
  <si>
    <t>AAQkADdkNThjNzFkLWM0ZmMtNDJhYS04MDVlLTIwNzE4ZDI1Mzg4YgAQAO_2WCvozELNrjnxbu_0YXk=</t>
  </si>
  <si>
    <t>SANEAMIENTO SALUBRIDAD Y SERVICIOS S.A.C. Atención SCTR Odontológico: Casana Vilca Erica</t>
  </si>
  <si>
    <t>AAQkADdkNThjNzFkLWM0ZmMtNDJhYS04MDVlLTIwNzE4ZDI1Mzg4YgAQALmQ6f56qEhPmO118lYYtq4=-20261019160241</t>
  </si>
  <si>
    <t>Caso nuevo: esta conversación ya tenía un caso finalizado (AAQkADdkNThjNzFkLWM0ZmMtNDJhYS04MDVlLTIwNzE4ZDI1Mzg4YgAQALmQ6f56qEhPmO118lYYtq4=-20261019121245)</t>
  </si>
  <si>
    <t>AAQkADdkNThjNzFkLWM0ZmMtNDJhYS04MDVlLTIwNzE4ZDI1Mzg4YgAQAN-y4shY6-NAlkO6y9AovGI=-20261019160623</t>
  </si>
  <si>
    <t>AAQkADdkNThjNzFkLWM0ZmMtNDJhYS04MDVlLTIwNzE4ZDI1Mzg4YgAQAN-y4shY6-NAlkO6y9AovGI=</t>
  </si>
  <si>
    <t>RE: REEMBOLSO DE GASTOS GASTOS NO CUBIERTOS | SCTR SALUD | AS. PEREIRA DEGLYS JOSE CE 006712462 | SRES. CONSORCIO GURKAS SAC</t>
  </si>
  <si>
    <t>reyesub@mapfre.com.pe</t>
  </si>
  <si>
    <t>AAQkADdkNThjNzFkLWM0ZmMtNDJhYS04MDVlLTIwNzE4ZDI1Mzg4YgAQAMi6k8hcqGVMveUwsY1zBvc=-20261019160805</t>
  </si>
  <si>
    <t>RE: Procedimiento de Neuroproloterapia</t>
  </si>
  <si>
    <t>Caso nuevo: esta conversación ya tenía un caso finalizado (AAQkADdkNThjNzFkLWM0ZmMtNDJhYS04MDVlLTIwNzE4ZDI1Mzg4YgAQAMi6k8hcqGVMveUwsY1zBvc=-20261015110912)</t>
  </si>
  <si>
    <t>AAQkADdkNThjNzFkLWM0ZmMtNDJhYS04MDVlLTIwNzE4ZDI1Mzg4YgAQABZh2sNmLJZFqAO3rfazLME=-20261019164055</t>
  </si>
  <si>
    <t>AAQkADdkNThjNzFkLWM0ZmMtNDJhYS04MDVlLTIwNzE4ZDI1Mzg4YgAQABZh2sNmLJZFqAO3rfazLME=</t>
  </si>
  <si>
    <t>Re: Solicitud de información sobre situación actual del asegurado – Jean Carlo Arbieto Ramírez</t>
  </si>
  <si>
    <t>Llegó como hilo: 1 mensaje(s) anterior(es). Lo inició: Veronica Alejandra Obando Wong &lt;vocorredoraseguros@gmail.com&gt;</t>
  </si>
  <si>
    <t>AAQkADdkNThjNzFkLWM0ZmMtNDJhYS04MDVlLTIwNzE4ZDI1Mzg4YgAQAM0RV4aJsRBAt1HLLbRa41E=-20261019164825</t>
  </si>
  <si>
    <t>Caso nuevo: esta conversación ya tenía un caso finalizado (AAQkADdkNThjNzFkLWM0ZmMtNDJhYS04MDVlLTIwNzE4ZDI1Mzg4YgAQAM0RV4aJsRBAt1HLLbRa41E=-20261019154151)</t>
  </si>
  <si>
    <t>AAQkADdkNThjNzFkLWM0ZmMtNDJhYS04MDVlLTIwNzE4ZDI1Mzg4YgAQAIcN7Lo0qkEYlIOxhWRVujw=-20261019170706</t>
  </si>
  <si>
    <t>Re: SOLICITO ENTREGA DE BOTA WALKER // ASEG: YELSIN ROBIÑO HUIZA MORENO DNI 77016805 // COMPAÑIA MINERA CASMA S.A.C</t>
  </si>
  <si>
    <t>Caso nuevo: esta conversación ya tenía un caso finalizado (AAQkADdkNThjNzFkLWM0ZmMtNDJhYS04MDVlLTIwNzE4ZDI1Mzg4YgAQAIcN7Lo0qkEYlIOxhWRVujw=-20261019154602)</t>
  </si>
  <si>
    <t>AAQkADdkNThjNzFkLWM0ZmMtNDJhYS04MDVlLTIwNzE4ZDI1Mzg4YgAQAE2XbkOFwXlCqDE9OCwlIDM=-20261019172051</t>
  </si>
  <si>
    <t>AAQkADdkNThjNzFkLWM0ZmMtNDJhYS04MDVlLTIwNzE4ZDI1Mzg4YgAQAE2XbkOFwXlCqDE9OCwlIDM=</t>
  </si>
  <si>
    <t>CG 1162784 | ASEG: SOTO ROJAS LINDER SABINO | SCTR</t>
  </si>
  <si>
    <t>AAQkADdkNThjNzFkLWM0ZmMtNDJhYS04MDVlLTIwNzE4ZDI1Mzg4YgAQANB9tvrbDEwwqjCPLIHNEm4=-20261019172911</t>
  </si>
  <si>
    <t xml:space="preserve">RV: COBERTURA DE SEGURO- RODILLERA ARTICULADO//REYES CANO JUAN EDER </t>
  </si>
  <si>
    <t>Caso nuevo: esta conversación ya tenía un caso finalizado (AAQkADdkNThjNzFkLWM0ZmMtNDJhYS04MDVlLTIwNzE4ZDI1Mzg4YgAQANB9tvrbDEwwqjCPLIHNEm4=-20261019120944)</t>
  </si>
  <si>
    <t>AAQkADdkNThjNzFkLWM0ZmMtNDJhYS04MDVlLTIwNzE4ZDI1Mzg4YgAQACTTJn1lGE8eq-9aU7Ok1VA=-20261019173014</t>
  </si>
  <si>
    <t>Caso nuevo: esta conversación ya tenía un caso finalizado (AAQkADdkNThjNzFkLWM0ZmMtNDJhYS04MDVlLTIwNzE4ZDI1Mzg4YgAQACTTJn1lGE8eq-9aU7Ok1VA=-20261019155841)</t>
  </si>
  <si>
    <t>AAQkADdkNThjNzFkLWM0ZmMtNDJhYS04MDVlLTIwNzE4ZDI1Mzg4YgAQANdXBRXYe9hIiKRaIbjat30=-20261019173952</t>
  </si>
  <si>
    <t xml:space="preserve">No se puede entregar: RE: PAN AMERICAN SILVER HUARON - MAPFRE SCTR SALUD - ELOY GERONIMO CARBAJAL QUISPE - REEMBOLSO ATENCIÓN ODONTOLOGICA </t>
  </si>
  <si>
    <t>Caso nuevo: esta conversación ya tenía un caso finalizado (AAQkADdkNThjNzFkLWM0ZmMtNDJhYS04MDVlLTIwNzE4ZDI1Mzg4YgAQANdXBRXYe9hIiKRaIbjat30=-20261019154207)</t>
  </si>
  <si>
    <t>AAQkADdkNThjNzFkLWM0ZmMtNDJhYS04MDVlLTIwNzE4ZDI1Mzg4YgAQAC8JHwoKIkVlk1M12bTzQ8E=-20261019174718</t>
  </si>
  <si>
    <t>AAQkADdkNThjNzFkLWM0ZmMtNDJhYS04MDVlLTIwNzE4ZDI1Mzg4YgAQAC8JHwoKIkVlk1M12bTzQ8E=</t>
  </si>
  <si>
    <t>EMPRESA DE TRANSPORTES SHON'S S.R.L // LUNA CORI ELMER DANIEL</t>
  </si>
  <si>
    <t>AAQkADdkNThjNzFkLWM0ZmMtNDJhYS04MDVlLTIwNzE4ZDI1Mzg4YgAQALmQ6f56qEhPmO118lYYtq4=-20261019174850</t>
  </si>
  <si>
    <t>gruposgsperu@aon.com</t>
  </si>
  <si>
    <t>Rafael Hormaeche</t>
  </si>
  <si>
    <t>Caso nuevo: esta conversación ya tenía un caso finalizado (AAQkADdkNThjNzFkLWM0ZmMtNDJhYS04MDVlLTIwNzE4ZDI1Mzg4YgAQALmQ6f56qEhPmO118lYYtq4=-20261019160241)</t>
  </si>
  <si>
    <t>AAQkADdkNThjNzFkLWM0ZmMtNDJhYS04MDVlLTIwNzE4ZDI1Mzg4YgAQADuV2wpGpkYlj1rlty2Ylrw=-20261019180519</t>
  </si>
  <si>
    <t>AAQkADdkNThjNzFkLWM0ZmMtNDJhYS04MDVlLTIwNzE4ZDI1Mzg4YgAQADuV2wpGpkYlj1rlty2Ylrw=</t>
  </si>
  <si>
    <t>VARGAS HERRERA GUILLERMO GERMAN // AUTORIZACION PARA FARMACIA</t>
  </si>
  <si>
    <t>AAQkADdkNThjNzFkLWM0ZmMtNDJhYS04MDVlLTIwNzE4ZDI1Mzg4YgAQAGfP9temGGlBrcIMPmU6_0A=-20261019181824</t>
  </si>
  <si>
    <t>AAQkADdkNThjNzFkLWM0ZmMtNDJhYS04MDVlLTIwNzE4ZDI1Mzg4YgAQAGfP9temGGlBrcIMPmU6_0A=</t>
  </si>
  <si>
    <t>Re: REQUIERE, SUSALUD, SCTR, LIMA HUAMANÍ, EDDY RAÚL</t>
  </si>
  <si>
    <t>jmejia@llerenaabogados.com</t>
  </si>
  <si>
    <t>Llegó como hilo: 1 mensaje(s) anterior(es). Lo inició: Joseph Mejia &lt;jmejia@llerenaabogados.com&gt;</t>
  </si>
  <si>
    <t>AAQkADdkNThjNzFkLWM0ZmMtNDJhYS04MDVlLTIwNzE4ZDI1Mzg4YgAQAECRP6Mvx0UikaHu0KdiB3w=-20261019182521</t>
  </si>
  <si>
    <t>AAQkADdkNThjNzFkLWM0ZmMtNDJhYS04MDVlLTIwNzE4ZDI1Mzg4YgAQAECRP6Mvx0UikaHu0KdiB3w=</t>
  </si>
  <si>
    <t>VILLACORTA PEZO GRACIELA // AUTORIZACION PARA FARMACIA</t>
  </si>
  <si>
    <t>AAQkADdkNThjNzFkLWM0ZmMtNDJhYS04MDVlLTIwNzE4ZDI1Mzg4YgAQAN2c_3bGx-JGoB1nBrzV88I=-20261019182702</t>
  </si>
  <si>
    <t>Caso nuevo: esta conversación ya tenía un caso finalizado (AAQkADdkNThjNzFkLWM0ZmMtNDJhYS04MDVlLTIwNzE4ZDI1Mzg4YgAQAN2c_3bGx-JGoB1nBrzV88I=-20261019153134)</t>
  </si>
  <si>
    <t>AAQkADdkNThjNzFkLWM0ZmMtNDJhYS04MDVlLTIwNzE4ZDI1Mzg4YgAQAOeZ0iy_Ykush_lwCAPXKKE=-20261019182712</t>
  </si>
  <si>
    <t xml:space="preserve">RE: ACTIVAR SINIESTO PACT SOTO ROJAS , LINDER SABINO / MAPFRE SCTR </t>
  </si>
  <si>
    <t>Caso nuevo: esta conversación ya tenía un caso finalizado (AAQkADdkNThjNzFkLWM0ZmMtNDJhYS04MDVlLTIwNzE4ZDI1Mzg4YgAQAOeZ0iy_Ykush_lwCAPXKKE=-20261016193850)</t>
  </si>
  <si>
    <t>AAQkADdkNThjNzFkLWM0ZmMtNDJhYS04MDVlLTIwNzE4ZDI1Mzg4YgAQAC8JHwoKIkVlk1M12bTzQ8E=-20261019183106</t>
  </si>
  <si>
    <t>No se puede entregar: RE: EMPRESA DE TRANSPORTES SHON'S S.R.L // LUNA CORI ELMER DANIEL</t>
  </si>
  <si>
    <t>Caso nuevo: esta conversación ya tenía un caso finalizado (AAQkADdkNThjNzFkLWM0ZmMtNDJhYS04MDVlLTIwNzE4ZDI1Mzg4YgAQAC8JHwoKIkVlk1M12bTzQ8E=-20261019174718)</t>
  </si>
  <si>
    <t>AAQkADdkNThjNzFkLWM0ZmMtNDJhYS04MDVlLTIwNzE4ZDI1Mzg4YgAQAO4zR4h7AmhKiC4xG-Z3ExA=-20261019183249</t>
  </si>
  <si>
    <t>AAQkADdkNThjNzFkLWM0ZmMtNDJhYS04MDVlLTIwNzE4ZDI1Mzg4YgAQAO4zR4h7AmhKiC4xG-Z3ExA=</t>
  </si>
  <si>
    <t>MATERIAL ORTOPEDICO MULETAS // PX RAMIREZ ABAD DARWIN// MAPFRE SCTR</t>
  </si>
  <si>
    <t>AAQkADdkNThjNzFkLWM0ZmMtNDJhYS04MDVlLTIwNzE4ZDI1Mzg4YgAQAI_pJQ3SUi9Cm7rAIyt9UNI=-20261019183342</t>
  </si>
  <si>
    <t>No se puede entregar: RE: URGENTE!!!CONTINUIDAD DE COBERTURA SCTR SALUD | AS. IMAN ZEVALLOS ROLANDO INOCENTE  DNI 03483326 | SRES. PROTEKTOR SEGURIDAD INTEGRAL SAC</t>
  </si>
  <si>
    <t>Caso nuevo: esta conversación ya tenía un caso finalizado (AAQkADdkNThjNzFkLWM0ZmMtNDJhYS04MDVlLTIwNzE4ZDI1Mzg4YgAQAI_pJQ3SUi9Cm7rAIyt9UNI=-20261019150948)</t>
  </si>
  <si>
    <t>AAQkADdkNThjNzFkLWM0ZmMtNDJhYS04MDVlLTIwNzE4ZDI1Mzg4YgAQAJFDM7uVdsVNtsnaTvk2RHQ=-20261019184740</t>
  </si>
  <si>
    <t>RE: CONTINUIDAD // SCTR SALUD // ALVA TORRES DENIS JULIO // INVERSIONES NORLIMA S.A RUC:20602020518 // LR102026-00937</t>
  </si>
  <si>
    <t>Caso nuevo: esta conversación ya tenía un caso finalizado (AAQkADdkNThjNzFkLWM0ZmMtNDJhYS04MDVlLTIwNzE4ZDI1Mzg4YgAQAJFDM7uVdsVNtsnaTvk2RHQ=-20261016175326)</t>
  </si>
  <si>
    <t>AAQkADdkNThjNzFkLWM0ZmMtNDJhYS04MDVlLTIwNzE4ZDI1Mzg4YgAQAFSK7vodu5NOgocpDrpgCj4=-20261019193901</t>
  </si>
  <si>
    <t>AAQkADdkNThjNzFkLWM0ZmMtNDJhYS04MDVlLTIwNzE4ZDI1Mzg4YgAQAFSK7vodu5NOgocpDrpgCj4=</t>
  </si>
  <si>
    <t>RE: ESTADO DE CG- GRUPO ROKYS-/ INVERSIONES TOMAS VALLE SAC. / CARTA DE GARANTIA DE RESONANCIA MAGNETICA RECHAZADA -  SULLCA HUAMANI GABINO / SCTR MAPFRE</t>
  </si>
  <si>
    <t>Llegó como hilo: 2 mensaje(s) anterior(es). Lo inició: Cintya Romero &lt;cintya.romero@howdengroup.com&gt;</t>
  </si>
  <si>
    <t>AAQkADdkNThjNzFkLWM0ZmMtNDJhYS04MDVlLTIwNzE4ZDI1Mzg4YgAQAGx31yyXKkg0vowSzvdjBNA=-20261019204442</t>
  </si>
  <si>
    <t>AAQkADdkNThjNzFkLWM0ZmMtNDJhYS04MDVlLTIwNzE4ZDI1Mzg4YgAQAGx31yyXKkg0vowSzvdjBNA=</t>
  </si>
  <si>
    <t>SOLICITO REEMBOLSO TERAPIAS- POLIZA SCTR  7022600028480 - PACIENTE ASEGURADO EDWIN BENDEZU MARTICOREN</t>
  </si>
  <si>
    <t>Llegó como hilo: 2 mensaje(s) anterior(es). Lo inició: Diana Calmiett, siniestros &lt;diana.calmiett@siempreseguroscorredores.com&gt;</t>
  </si>
  <si>
    <t>AAQkADdkNThjNzFkLWM0ZmMtNDJhYS04MDVlLTIwNzE4ZDI1Mzg4YgAQABZh2sNmLJZFqAO3rfazLME=-20261019205237</t>
  </si>
  <si>
    <t>RE: Solicitud de información sobre situación actual del asegurado – Jean Carlo Arbieto Ramírez</t>
  </si>
  <si>
    <t>Caso nuevo: esta conversación ya tenía un caso finalizado (AAQkADdkNThjNzFkLWM0ZmMtNDJhYS04MDVlLTIwNzE4ZDI1Mzg4YgAQABZh2sNmLJZFqAO3rfazLME=-20261019164055)</t>
  </si>
  <si>
    <t>AAQkADdkNThjNzFkLWM0ZmMtNDJhYS04MDVlLTIwNzE4ZDI1Mzg4YgAQAO_2WCvozELNrjnxbu_0YXk=-20261019210913</t>
  </si>
  <si>
    <t>RE: SANEAMIENTO SALUBRIDAD Y SERVICIOS S.A.C. Atención SCTR Odontológico: Casana Vilca Erica</t>
  </si>
  <si>
    <t>Caso nuevo: esta conversación ya tenía un caso finalizado (AAQkADdkNThjNzFkLWM0ZmMtNDJhYS04MDVlLTIwNzE4ZDI1Mzg4YgAQAO_2WCvozELNrjnxbu_0YXk=-20261019155916)</t>
  </si>
  <si>
    <t>AAQkADdkNThjNzFkLWM0ZmMtNDJhYS04MDVlLTIwNzE4ZDI1Mzg4YgAQAErJSwNrc-NJiMW6gjApyUk=-20261019211049</t>
  </si>
  <si>
    <t>AAQkADdkNThjNzFkLWM0ZmMtNDJhYS04MDVlLTIwNzE4ZDI1Mzg4YgAQAErJSwNrc-NJiMW6gjApyUk=</t>
  </si>
  <si>
    <t>RE: ACCIDENTE DE TRABAJO GOMEZ ANGLAS JEFRI IVAN / SOLICITUD DE TERAPIA OCUPACIONAL E INFILTRACIÓN DE PLASMA RICO EN PLAQUETAS / TECNOPRESS S.A.C</t>
  </si>
  <si>
    <t>Llegó como hilo: 3 mensaje(s) anterior(es). Lo inició: Antuoneth Pablo &lt;apablo@cantol.com.pe&gt;</t>
  </si>
  <si>
    <t>AAQkADdkNThjNzFkLWM0ZmMtNDJhYS04MDVlLTIwNzE4ZDI1Mzg4YgAQAAig80s1XnBLv0Z4ANPvIXg=-20261019234109</t>
  </si>
  <si>
    <t>AAQkADdkNThjNzFkLWM0ZmMtNDJhYS04MDVlLTIwNzE4ZDI1Mzg4YgAQAAig80s1XnBLv0Z4ANPvIXg=</t>
  </si>
  <si>
    <t>SINIESTRO SCTR SALUD - SERVICIOS GENERALES TERMOELECTRICOS - POLIZA 7022500047550 - KEVIN NUÑEZ RIVERA</t>
  </si>
  <si>
    <t>Llegó como hilo: 1 mensaje(s) anterior(es). Lo inició: Compras Termoeléctricos &lt;comprastermoelectricos@gmail.com&gt;</t>
  </si>
  <si>
    <t>AAQkADdkNThjNzFkLWM0ZmMtNDJhYS04MDVlLTIwNzE4ZDI1Mzg4YgAQAKUJ0whwim9Pn1ht6tAO7Sg=-20261020060820</t>
  </si>
  <si>
    <t>AAQkADdkNThjNzFkLWM0ZmMtNDJhYS04MDVlLTIwNzE4ZDI1Mzg4YgAQAKUJ0whwim9Pn1ht6tAO7Sg=</t>
  </si>
  <si>
    <t>CONFIRMAR PROVEEDOR RESONANCIA - PIURA // ASEGURADO LEIVA NATIVIDAD MARIO VICTOR // HAUG</t>
  </si>
  <si>
    <t>AAQkADdkNThjNzFkLWM0ZmMtNDJhYS04MDVlLTIwNzE4ZDI1Mzg4YgAQADuw21cdPW3ZOvx8YfL9evo=-20261020071834</t>
  </si>
  <si>
    <t>RE: SOLICITUD DE CARTA DE GARANTIA SERVICIO RMD PAC Helen Aracely Amado Sanchez // SERMEDIAL SAC</t>
  </si>
  <si>
    <t>Caso nuevo: esta conversación ya tenía un caso finalizado (AAQkADdkNThjNzFkLWM0ZmMtNDJhYS04MDVlLTIwNzE4ZDI1Mzg4YgAQADuw21cdPW3ZOvx8YfL9evo=-20261019105523)</t>
  </si>
  <si>
    <t>AAQkADdkNThjNzFkLWM0ZmMtNDJhYS04MDVlLTIwNzE4ZDI1Mzg4YgAQAEpXnF6JX41OtIQgGwSJSo4=-20261020081303</t>
  </si>
  <si>
    <t>AAQkADdkNThjNzFkLWM0ZmMtNDJhYS04MDVlLTIwNzE4ZDI1Mzg4YgAQAEpXnF6JX41OtIQgGwSJSo4=</t>
  </si>
  <si>
    <t>RE: EVALUACION DE GASTOS NO CUBIERTOS // HURTADO CUBAS JOSE HUMBERTO</t>
  </si>
  <si>
    <t>carito.hurtado@sanna.pe</t>
  </si>
  <si>
    <t>AAQkADdkNThjNzFkLWM0ZmMtNDJhYS04MDVlLTIwNzE4ZDI1Mzg4YgAQAJ0lfRGJsyBAg6EndmdHqWo=-20261020081316</t>
  </si>
  <si>
    <t>AAQkADdkNThjNzFkLWM0ZmMtNDJhYS04MDVlLTIwNzE4ZDI1Mzg4YgAQAJ0lfRGJsyBAg6EndmdHqWo=</t>
  </si>
  <si>
    <t>EVALUACION DE GASTOS NO CUBIERTOS // MEGO ZAVALETA JHON FRANK</t>
  </si>
  <si>
    <t>AAQkADdkNThjNzFkLWM0ZmMtNDJhYS04MDVlLTIwNzE4ZDI1Mzg4YgAQAEGAltT00dhPk-Q_ElRYEYY=-20261020083631</t>
  </si>
  <si>
    <t>AAQkADdkNThjNzFkLWM0ZmMtNDJhYS04MDVlLTIwNzE4ZDI1Mzg4YgAQAEGAltT00dhPk-Q_ElRYEYY=</t>
  </si>
  <si>
    <t>Respuesta automática: CARTAS DE GARANTÍA PENDIENTES SOLICITADAS Y AUDITORIA ADMINISTRATIVA / 20-10-2026</t>
  </si>
  <si>
    <t>AAQkADdkNThjNzFkLWM0ZmMtNDJhYS04MDVlLTIwNzE4ZDI1Mzg4YgAQAJkGSRhRp0IMllsmFyNReq4=-20261020085033</t>
  </si>
  <si>
    <t>Respuesta automática: MUY URGENTE //  APROBACIÓN DE CARTA DE GARANTÍA _ DNI 72696464 _ MANFREED JHONATAN FABIAN PARRA _ ECOSEM HUARAUCACA</t>
  </si>
  <si>
    <t>cherrera@mapfre.com.pe</t>
  </si>
  <si>
    <t>Caso nuevo: esta conversación ya tenía un caso finalizado (AAQkADdkNThjNzFkLWM0ZmMtNDJhYS04MDVlLTIwNzE4ZDI1Mzg4YgAQAJkGSRhRp0IMllsmFyNReq4=-20261019153946)</t>
  </si>
  <si>
    <t>AAQkADdkNThjNzFkLWM0ZmMtNDJhYS04MDVlLTIwNzE4ZDI1Mzg4YgAQAEonoVwhPDhNtcoPuUG7iGg=-20261020091432</t>
  </si>
  <si>
    <t>AAQkADdkNThjNzFkLWM0ZmMtNDJhYS04MDVlLTIwNzE4ZDI1Mzg4YgAQAEonoVwhPDhNtcoPuUG7iGg=</t>
  </si>
  <si>
    <t>CARTA RECHAZADA PARA CIRUGIA  TORRES AQUINO JUVENAL HC 1884636 REG 7860//SCTR MOLY-COP ADESUR S.A//MAPFRE EPS</t>
  </si>
  <si>
    <t>gsamame@sanpablo.com.pe</t>
  </si>
  <si>
    <t>AAQkADdkNThjNzFkLWM0ZmMtNDJhYS04MDVlLTIwNzE4ZDI1Mzg4YgAQADN76Qinjh5ElxvW8NYJWAU=-20261020091748</t>
  </si>
  <si>
    <t>AAQkADdkNThjNzFkLWM0ZmMtNDJhYS04MDVlLTIwNzE4ZDI1Mzg4YgAQADN76Qinjh5ElxvW8NYJWAU=</t>
  </si>
  <si>
    <t>CONSULTAS AUDITORIA MAPFRE - SOLICITUD DE COBERTURA DE MEDICAMENTOS PAC. SUAREZ RISCO JEAN PAUL</t>
  </si>
  <si>
    <t>AAQkADdkNThjNzFkLWM0ZmMtNDJhYS04MDVlLTIwNzE4ZDI1Mzg4YgAQAA7GrlH7eOVCgkXetP76GZk=-20261020092335</t>
  </si>
  <si>
    <t>AAQkADdkNThjNzFkLWM0ZmMtNDJhYS04MDVlLTIwNzE4ZDI1Mzg4YgAQAA7GrlH7eOVCgkXetP76GZk=</t>
  </si>
  <si>
    <t>Fw: Solicito  por CUARTA VES muletas para terapias después de operación de ligamentos cruzados y meniscos . Tercer correo que se envía .</t>
  </si>
  <si>
    <t>Llegó como hilo: 1 mensaje(s) anterior(es). Lo inició: Cristhian Gutiérrez Arellano</t>
  </si>
  <si>
    <t>AAQkADdkNThjNzFkLWM0ZmMtNDJhYS04MDVlLTIwNzE4ZDI1Mzg4YgAQAKZZr_GsCmRPtHBOapikbjM=-20261020092513</t>
  </si>
  <si>
    <t>AAQkADdkNThjNzFkLWM0ZmMtNDJhYS04MDVlLTIwNzE4ZDI1Mzg4YgAQAKZZr_GsCmRPtHBOapikbjM=</t>
  </si>
  <si>
    <t>ACTIVACION DE CODIGO DE AFILIADO EN POWER CM - COTRINA ROMERO JOSEPH WILLIAM</t>
  </si>
  <si>
    <t>AAQkADdkNThjNzFkLWM0ZmMtNDJhYS04MDVlLTIwNzE4ZDI1Mzg4YgAQAHoEXscjliVErLfyAkHgWtA=-20261020092716</t>
  </si>
  <si>
    <t>AAQkADdkNThjNzFkLWM0ZmMtNDJhYS04MDVlLTIwNzE4ZDI1Mzg4YgAQAHoEXscjliVErLfyAkHgWtA=</t>
  </si>
  <si>
    <t>SANGAMA LOPEZ VICTOR ELSEVIER</t>
  </si>
  <si>
    <t>AAQkADdkNThjNzFkLWM0ZmMtNDJhYS04MDVlLTIwNzE4ZDI1Mzg4YgAQACTTJn1lGE8eq-9aU7Ok1VA=-20261020093148</t>
  </si>
  <si>
    <t>krojas@kpilogistica.com.pe</t>
  </si>
  <si>
    <t>Caso nuevo: esta conversación ya tenía un caso finalizado (AAQkADdkNThjNzFkLWM0ZmMtNDJhYS04MDVlLTIwNzE4ZDI1Mzg4YgAQACTTJn1lGE8eq-9aU7Ok1VA=-20261019173014)</t>
  </si>
  <si>
    <t>AAQkADdkNThjNzFkLWM0ZmMtNDJhYS04MDVlLTIwNzE4ZDI1Mzg4YgAQAN66_oxTSb9Eutk3u8QkEIw=-20261020093419</t>
  </si>
  <si>
    <t>AAQkADdkNThjNzFkLWM0ZmMtNDJhYS04MDVlLTIwNzE4ZDI1Mzg4YgAQAN66_oxTSb9Eutk3u8QkEIw=</t>
  </si>
  <si>
    <t>CG 1162520 | ASEG: GOMEZ CANTARO EVER | SCRE</t>
  </si>
  <si>
    <t>antone5@mapfre.com.pe</t>
  </si>
  <si>
    <t>Finalizado en Power Apps por Antonella Fernandez el 20/10/2026 10:53</t>
  </si>
  <si>
    <t>AAQkADdkNThjNzFkLWM0ZmMtNDJhYS04MDVlLTIwNzE4ZDI1Mzg4YgAQADFxuYLOjlNV_GQ6d1YSZZw=-20261020093600</t>
  </si>
  <si>
    <t>AAQkADdkNThjNzFkLWM0ZmMtNDJhYS04MDVlLTIwNzE4ZDI1Mzg4YgAQADFxuYLOjlNV_GQ6d1YSZZw=</t>
  </si>
  <si>
    <t>RV: Solicitud de REGULARIZACIÓN DE NOTIFICACION DE ENFERMEDAD OCUPACIONAL ante el MTPE - Noviembre 2025</t>
  </si>
  <si>
    <t>si24@clientes.mapfre.com.pe</t>
  </si>
  <si>
    <t>Llegó como hilo: 2 mensaje(s) anterior(es). Lo inició: Milagros Castillo (Prosoldes) &lt;mcastillo@prosoldes.com&gt;</t>
  </si>
  <si>
    <t>AAQkADdkNThjNzFkLWM0ZmMtNDJhYS04MDVlLTIwNzE4ZDI1Mzg4YgAQAKN89PDLkQhPur7o2NRNgJ4=-20261020094126</t>
  </si>
  <si>
    <t>AAQkADdkNThjNzFkLWM0ZmMtNDJhYS04MDVlLTIwNzE4ZDI1Mzg4YgAQAKN89PDLkQhPur7o2NRNgJ4=</t>
  </si>
  <si>
    <t>RE: SUTRAN - POLIZA SCTR: ASEGURADO YUCRA QUICAÑO JOSE LUIS &gt;&gt; SOLICITUD DE INFORMACION</t>
  </si>
  <si>
    <t>AAQkADdkNThjNzFkLWM0ZmMtNDJhYS04MDVlLTIwNzE4ZDI1Mzg4YgAQALMR2cfLRUvViL3oOWQftqg=-20261020095058</t>
  </si>
  <si>
    <t>AAQkADdkNThjNzFkLWM0ZmMtNDJhYS04MDVlLTIwNzE4ZDI1Mzg4YgAQALMR2cfLRUvViL3oOWQftqg=</t>
  </si>
  <si>
    <t>RE: CHAVIN - CONSULTA// FRETEL ESPINOZA VICTOR</t>
  </si>
  <si>
    <t>Llegó como hilo: 3 mensaje(s) anterior(es). Lo inició: SCTRSalud &lt;sctrsalud@mapfre.com.pe&gt; | Finalizado en Power Apps por Antonella Fernandez el 20/10/2026 11:29</t>
  </si>
  <si>
    <t>AAQkADdkNThjNzFkLWM0ZmMtNDJhYS04MDVlLTIwNzE4ZDI1Mzg4YgAQANZAhb6LZ0ICiGgPUyZbN3g=-20261020095702</t>
  </si>
  <si>
    <t>RE: ATENCION DE TRABAJADORA</t>
  </si>
  <si>
    <t>Caso nuevo: esta conversación ya tenía un caso finalizado (AAQkADdkNThjNzFkLWM0ZmMtNDJhYS04MDVlLTIwNzE4ZDI1Mzg4YgAQANZAhb6LZ0ICiGgPUyZbN3g=-20261016111726) | Finalizado en Power Apps por Antonella Fernandez el 20/10/2026 10:43</t>
  </si>
  <si>
    <t>AAQkADdkNThjNzFkLWM0ZmMtNDJhYS04MDVlLTIwNzE4ZDI1Mzg4YgAQAPAX7QO6WEWao0st14_upfE=-20261020101242</t>
  </si>
  <si>
    <t>AAQkADdkNThjNzFkLWM0ZmMtNDJhYS04MDVlLTIwNzE4ZDI1Mzg4YgAQAPAX7QO6WEWao0st14_upfE=</t>
  </si>
  <si>
    <t>ANULAR CARTA SCTR /PX. VEGA CABRERA JORGE</t>
  </si>
  <si>
    <t>Llegó como hilo: 1 mensaje(s) anterior(es). Lo inició: admisionimageneslm@sanpablo.com.pe &lt;admisionimageneslm@sanpablo.com.pe&gt;</t>
  </si>
  <si>
    <t>AAQkADdkNThjNzFkLWM0ZmMtNDJhYS04MDVlLTIwNzE4ZDI1Mzg4YgAQACsR1v-hScpOuzaeJ1WBXQo=-20261020103702</t>
  </si>
  <si>
    <t>AAQkADdkNThjNzFkLWM0ZmMtNDJhYS04MDVlLTIwNzE4ZDI1Mzg4YgAQACsR1v-hScpOuzaeJ1WBXQo=</t>
  </si>
  <si>
    <t>RV: SINIESTRO SCTR - CHRISTIAM ALEJANDRO SIPAN URIBE</t>
  </si>
  <si>
    <t>AAQkADdkNThjNzFkLWM0ZmMtNDJhYS04MDVlLTIwNzE4ZDI1Mzg4YgAQADI_oQk8RUFMrLR_JFOTYPQ=-20261020103731</t>
  </si>
  <si>
    <t xml:space="preserve">No se puede entregar: RE: SS ATENCION RMN PACTE FLORES GARCIA, MICHAEL ALEJANDRO - MAPFRE SCTR HOSPITALIZADO CMS SURCO </t>
  </si>
  <si>
    <t>referencias@mapfre.com.pe</t>
  </si>
  <si>
    <t>Caso nuevo: esta conversación ya tenía un caso finalizado (AAQkADdkNThjNzFkLWM0ZmMtNDJhYS04MDVlLTIwNzE4ZDI1Mzg4YgAQADI_oQk8RUFMrLR_JFOTYPQ=-20261019141641)</t>
  </si>
  <si>
    <t>AAQkADdkNThjNzFkLWM0ZmMtNDJhYS04MDVlLTIwNzE4ZDI1Mzg4YgAQAECRP6Mvx0UikaHu0KdiB3w=-20261020104448</t>
  </si>
  <si>
    <t>RE: VILLACORTA PEZO GRACIELA // AUTORIZACION PARA FARMACIA</t>
  </si>
  <si>
    <t>Caso nuevo: esta conversación ya tenía un caso finalizado (AAQkADdkNThjNzFkLWM0ZmMtNDJhYS04MDVlLTIwNzE4ZDI1Mzg4YgAQAECRP6Mvx0UikaHu0KdiB3w=-20261019182521)</t>
  </si>
  <si>
    <t>AAQkADdkNThjNzFkLWM0ZmMtNDJhYS04MDVlLTIwNzE4ZDI1Mzg4YgAQADc4vT9SdXlPpHfRNi0ymjg=-20261020105307</t>
  </si>
  <si>
    <t>AAQkADdkNThjNzFkLWM0ZmMtNDJhYS04MDVlLTIwNzE4ZDI1Mzg4YgAQADc4vT9SdXlPpHfRNi0ymjg=</t>
  </si>
  <si>
    <t>Intervencion Quirurgica</t>
  </si>
  <si>
    <t>AAQkADdkNThjNzFkLWM0ZmMtNDJhYS04MDVlLTIwNzE4ZDI1Mzg4YgAQANEUUHj7lRdBjEv1vVM704s=-20261020105416</t>
  </si>
  <si>
    <t>AAQkADdkNThjNzFkLWM0ZmMtNDJhYS04MDVlLTIwNzE4ZDI1Mzg4YgAQANEUUHj7lRdBjEv1vVM704s=</t>
  </si>
  <si>
    <t>CODIGO DE ATENCION 89653532 PAC:EDUARDO MICHELL LOAYZA OSORIO</t>
  </si>
  <si>
    <t>jpenafie@mapfre.com.pe</t>
  </si>
  <si>
    <t>Jorge Peñafiel Villafuerte</t>
  </si>
  <si>
    <t>AAQkADdkNThjNzFkLWM0ZmMtNDJhYS04MDVlLTIwNzE4ZDI1Mzg4YgAQAJG2KgfXtrhCu3oThyPV0hk=-20261020105503</t>
  </si>
  <si>
    <t>AAQkADdkNThjNzFkLWM0ZmMtNDJhYS04MDVlLTIwNzE4ZDI1Mzg4YgAQAJG2KgfXtrhCu3oThyPV0hk=</t>
  </si>
  <si>
    <t>Activación de Código SCTR SALUD por evaluacion de dictamen</t>
  </si>
  <si>
    <t>AAQkADdkNThjNzFkLWM0ZmMtNDJhYS04MDVlLTIwNzE4ZDI1Mzg4YgAQACIEHwUf10qFkmuoMu4lRUY=-20261020105757</t>
  </si>
  <si>
    <t>AAQkADdkNThjNzFkLWM0ZmMtNDJhYS04MDVlLTIwNzE4ZDI1Mzg4YgAQACIEHwUf10qFkmuoMu4lRUY=</t>
  </si>
  <si>
    <t>CONSULTA DE REEMBOLSO GASTOS MEDICOS - SCTR SALUD</t>
  </si>
  <si>
    <t>AAQkADdkNThjNzFkLWM0ZmMtNDJhYS04MDVlLTIwNzE4ZDI1Mzg4YgAQAEKuYtgJ2LpIkptItv8jhmo=-20261020110337</t>
  </si>
  <si>
    <t>AAQkADdkNThjNzFkLWM0ZmMtNDJhYS04MDVlLTIwNzE4ZDI1Mzg4YgAQAEKuYtgJ2LpIkptItv8jhmo=</t>
  </si>
  <si>
    <t xml:space="preserve">RV: </t>
  </si>
  <si>
    <t>Llegó como hilo: 1 mensaje(s) anterior(es). Lo inició: Joan Payer Sarmiento &lt;joanpayer33@gmail.com&gt;</t>
  </si>
  <si>
    <t>AAQkADdkNThjNzFkLWM0ZmMtNDJhYS04MDVlLTIwNzE4ZDI1Mzg4YgAQAMTxNVVMiOpHmQqSZHC_qjQ=-20261020111346</t>
  </si>
  <si>
    <t>RE: URGENTE!!!! ACTIVAR ASEGURADO // SOL CG// PXPEREZ RODRIGUEZ MARCO ANTONIO // MAPFRE SCTR</t>
  </si>
  <si>
    <t>Caso nuevo: esta conversación ya tenía un caso finalizado (AAQkADdkNThjNzFkLWM0ZmMtNDJhYS04MDVlLTIwNzE4ZDI1Mzg4YgAQAMTxNVVMiOpHmQqSZHC_qjQ=-20261019121243)</t>
  </si>
  <si>
    <t>AAQkADdkNThjNzFkLWM0ZmMtNDJhYS04MDVlLTIwNzE4ZDI1Mzg4YgAQAO4kadj1zUhFkMMYht26Bxo=-20261020112515</t>
  </si>
  <si>
    <t>AAQkADdkNThjNzFkLWM0ZmMtNDJhYS04MDVlLTIwNzE4ZDI1Mzg4YgAQAO4kadj1zUhFkMMYht26Bxo=</t>
  </si>
  <si>
    <t>RE: COBERTURA MEDICAMENTOS - RIOS ALFARO JORGE ROBERTO - CLINICA SAN PABLO TRUJILLO</t>
  </si>
  <si>
    <t>AAQkADdkNThjNzFkLWM0ZmMtNDJhYS04MDVlLTIwNzE4ZDI1Mzg4YgAQANdXBRXYe9hIiKRaIbjat30=-20261020113336</t>
  </si>
  <si>
    <t>Caso nuevo: esta conversación ya tenía un caso finalizado (AAQkADdkNThjNzFkLWM0ZmMtNDJhYS04MDVlLTIwNzE4ZDI1Mzg4YgAQANdXBRXYe9hIiKRaIbjat30=-20261019173952)</t>
  </si>
  <si>
    <t>AAQkADdkNThjNzFkLWM0ZmMtNDJhYS04MDVlLTIwNzE4ZDI1Mzg4YgAQAAgxKoiZzg9NqE0aR55WHq4=-20261020114259</t>
  </si>
  <si>
    <t xml:space="preserve">RE: SAN FERNANDO - Póliza SCTR Salud Nro. S0206746 - Siniestro del 03.12.24 - Asegurado:  Victor Carpio Ramirez </t>
  </si>
  <si>
    <t>poviedo@mercandisa.com</t>
  </si>
  <si>
    <t>Caso nuevo: esta conversación ya tenía un caso finalizado (AAQkADdkNThjNzFkLWM0ZmMtNDJhYS04MDVlLTIwNzE4ZDI1Mzg4YgAQAAgxKoiZzg9NqE0aR55WHq4=-20261016161917)</t>
  </si>
  <si>
    <t>AAQkADdkNThjNzFkLWM0ZmMtNDJhYS04MDVlLTIwNzE4ZDI1Mzg4YgAQALrUWiXBoTVOsIcn24het1Q=-20261020120241</t>
  </si>
  <si>
    <t>AAQkADdkNThjNzFkLWM0ZmMtNDJhYS04MDVlLTIwNzE4ZDI1Mzg4YgAQALrUWiXBoTVOsIcn24het1Q=</t>
  </si>
  <si>
    <t>2 of your flow(s) have failed</t>
  </si>
  <si>
    <t>powerautomatenoreply@microsoft.com</t>
  </si>
  <si>
    <t>AAQkADdkNThjNzFkLWM0ZmMtNDJhYS04MDVlLTIwNzE4ZDI1Mzg4YgAQALIJ6ZFzVeNPp2RJeyrjnGM=-20261020121059</t>
  </si>
  <si>
    <t>AAQkADdkNThjNzFkLWM0ZmMtNDJhYS04MDVlLTIwNzE4ZDI1Mzg4YgAQALIJ6ZFzVeNPp2RJeyrjnGM=</t>
  </si>
  <si>
    <t>Fwd: URGENTE SOPORTE - SOLICITUD DE CARTA DE GARANTIA - PACIENTE LEON MAMANI JONATHAN FRANK - CLINICA CERRO COLORADO - SAN PABLO AREQUIPA</t>
  </si>
  <si>
    <t>Llegó como hilo: 3 mensaje(s) anterior(es). Lo inició: Erika Corrales Hidalgo &lt;ecorrales@sanpablo.com.pe&gt;</t>
  </si>
  <si>
    <t>AAQkADdkNThjNzFkLWM0ZmMtNDJhYS04MDVlLTIwNzE4ZDI1Mzg4YgAQAJxapqZDCW1Pj7xY01Bz7ZQ=-20261020121624</t>
  </si>
  <si>
    <t>RE: Re:</t>
  </si>
  <si>
    <t>Caso nuevo: esta conversación ya tenía un caso finalizado (AAQkADdkNThjNzFkLWM0ZmMtNDJhYS04MDVlLTIwNzE4ZDI1Mzg4YgAQAJxapqZDCW1Pj7xY01Bz7ZQ=-20261019093202)</t>
  </si>
  <si>
    <t>AAQkADdkNThjNzFkLWM0ZmMtNDJhYS04MDVlLTIwNzE4ZDI1Mzg4YgAQAMde8bPZK8pApXUcYTRu1k0=-20261020121800</t>
  </si>
  <si>
    <t>AAQkADdkNThjNzFkLWM0ZmMtNDJhYS04MDVlLTIwNzE4ZDI1Mzg4YgAQAMde8bPZK8pApXUcYTRu1k0=</t>
  </si>
  <si>
    <t>URGENTE - ATENCION EN CLINICA PROVIDENCIA - POLIZA 7022600044519</t>
  </si>
  <si>
    <t>kmrojas@mapfre.com.pe</t>
  </si>
  <si>
    <t>Red Plaza</t>
  </si>
  <si>
    <t>AAQkADdkNThjNzFkLWM0ZmMtNDJhYS04MDVlLTIwNzE4ZDI1Mzg4YgAQAG1BQRdhRtxIh8RaeH4YqDE=-20261020121845</t>
  </si>
  <si>
    <t>AAQkADdkNThjNzFkLWM0ZmMtNDJhYS04MDVlLTIwNzE4ZDI1Mzg4YgAQAG1BQRdhRtxIh8RaeH4YqDE=</t>
  </si>
  <si>
    <t>Reembolso SCTR - Silver Rene Chicalla Salcedo</t>
  </si>
  <si>
    <t>agcarba@mapfre.com.pe</t>
  </si>
  <si>
    <t>Angie Carbajal Basilio</t>
  </si>
  <si>
    <t>AAQkADdkNThjNzFkLWM0ZmMtNDJhYS04MDVlLTIwNzE4ZDI1Mzg4YgAQADc4vT9SdXlPpHfRNi0ymjg=-20261020121902</t>
  </si>
  <si>
    <t>RE: Intervencion Quirurgica</t>
  </si>
  <si>
    <t>Caso nuevo: esta conversación ya tenía un caso finalizado (AAQkADdkNThjNzFkLWM0ZmMtNDJhYS04MDVlLTIwNzE4ZDI1Mzg4YgAQADc4vT9SdXlPpHfRNi0ymjg=-20261020105307)</t>
  </si>
  <si>
    <t>AAQkADdkNThjNzFkLWM0ZmMtNDJhYS04MDVlLTIwNzE4ZDI1Mzg4YgAQAHiJaz3e3kSIq67R1rfco2s=-20261020122018</t>
  </si>
  <si>
    <t>AAQkADdkNThjNzFkLWM0ZmMtNDJhYS04MDVlLTIwNzE4ZDI1Mzg4YgAQAHiJaz3e3kSIq67R1rfco2s=</t>
  </si>
  <si>
    <t>RE: VH2026-1120 | PB FACILITY SERVICES S.A.C. | SCTR SALUD | OTRAS GESTIONES | DELGADO COLAN MARCELO | MAPFRE | 25/08/2026</t>
  </si>
  <si>
    <t>victor_hernandez@ajg.com</t>
  </si>
  <si>
    <t>Víctor Hernández Cama</t>
  </si>
  <si>
    <t>Llegó como hilo: 2 mensaje(s) anterior(es). Lo inició: Victor Hernandez &lt;Victor_Hernandez@ajg.com&gt;</t>
  </si>
  <si>
    <t>AAQkADdkNThjNzFkLWM0ZmMtNDJhYS04MDVlLTIwNzE4ZDI1Mzg4YgAQAH5seYeVBHhKoFTQEuDpo-w=-20261020122046</t>
  </si>
  <si>
    <t>AAQkADdkNThjNzFkLWM0ZmMtNDJhYS04MDVlLTIwNzE4ZDI1Mzg4YgAQAH5seYeVBHhKoFTQEuDpo-w=</t>
  </si>
  <si>
    <t>Re: Solicitud de reembolso</t>
  </si>
  <si>
    <t>sgonzalesgarces@gmail.com</t>
  </si>
  <si>
    <t>Solange Gonzales</t>
  </si>
  <si>
    <t>AAQkADdkNThjNzFkLWM0ZmMtNDJhYS04MDVlLTIwNzE4ZDI1Mzg4YgAQAGbuGwT1wUQNt2Ah7g1Z5dg=-20261020122222</t>
  </si>
  <si>
    <t>AAQkADdkNThjNzFkLWM0ZmMtNDJhYS04MDVlLTIwNzE4ZDI1Mzg4YgAQAGbuGwT1wUQNt2Ah7g1Z5dg=</t>
  </si>
  <si>
    <t xml:space="preserve">Solicitud de Carta de Garantia - Figueroa Oros Manuel Armando - Stella Maris </t>
  </si>
  <si>
    <t>AAQkADdkNThjNzFkLWM0ZmMtNDJhYS04MDVlLTIwNzE4ZDI1Mzg4YgAQAFIGN37bhFZJkF7ZiUANU3I=-20261020122717</t>
  </si>
  <si>
    <t>AAQkADdkNThjNzFkLWM0ZmMtNDJhYS04MDVlLTIwNzE4ZDI1Mzg4YgAQAFIGN37bhFZJkF7ZiUANU3I=</t>
  </si>
  <si>
    <t>milermendozapanihuara@gmail.com</t>
  </si>
  <si>
    <t>AAQkADdkNThjNzFkLWM0ZmMtNDJhYS04MDVlLTIwNzE4ZDI1Mzg4YgAQAICKmqwMNkK2gJUDPIiVu4M=-20261020122759</t>
  </si>
  <si>
    <t>AAQkADdkNThjNzFkLWM0ZmMtNDJhYS04MDVlLTIwNzE4ZDI1Mzg4YgAQAICKmqwMNkK2gJUDPIiVu4M=</t>
  </si>
  <si>
    <t>URGENTE ATENCION DE SINIESTRO SCTR // TOMAS CAÑARI ALEX BENITO.</t>
  </si>
  <si>
    <t>AAQkADdkNThjNzFkLWM0ZmMtNDJhYS04MDVlLTIwNzE4ZDI1Mzg4YgAQAPHLx4poPPRPmOp4c00exJc=-20261020123319</t>
  </si>
  <si>
    <t>RE: URGENTE ACTIVACION PACIENTE SCTR EN WEB  OIM // PCTE : FIGUEROA AZOCAR FRANCISCO JOSE // DNI: 002499962</t>
  </si>
  <si>
    <t>Caso nuevo: esta conversación ya tenía un caso finalizado (AAQkADdkNThjNzFkLWM0ZmMtNDJhYS04MDVlLTIwNzE4ZDI1Mzg4YgAQAPHLx4poPPRPmOp4c00exJc=-20261019125200)</t>
  </si>
  <si>
    <t>AAQkADdkNThjNzFkLWM0ZmMtNDJhYS04MDVlLTIwNzE4ZDI1Mzg4YgAQAE-mM5ljOvhFuAkMxLZfCCo=-20261020124231</t>
  </si>
  <si>
    <t>AAQkADdkNThjNzFkLWM0ZmMtNDJhYS04MDVlLTIwNzE4ZDI1Mzg4YgAQAE-mM5ljOvhFuAkMxLZfCCo=</t>
  </si>
  <si>
    <t>Resumen diario de reacciones: martes, 20 de octubre de 2026</t>
  </si>
  <si>
    <t>AAQkADdkNThjNzFkLWM0ZmMtNDJhYS04MDVlLTIwNzE4ZDI1Mzg4YgAQAG_TBR4nFVpOtRpqOiVpG2A=-20261020124243</t>
  </si>
  <si>
    <t>AAQkADdkNThjNzFkLWM0ZmMtNDJhYS04MDVlLTIwNzE4ZDI1Mzg4YgAQAG_TBR4nFVpOtRpqOiVpG2A=</t>
  </si>
  <si>
    <t>RV: PACIENTE:  RAMOS HUATUCO , JUAN JOSE  SRES. EMPRESA MUNICIPAL SANTIAGO DE SURCO SA</t>
  </si>
  <si>
    <t>AAQkADdkNThjNzFkLWM0ZmMtNDJhYS04MDVlLTIwNzE4ZDI1Mzg4YgAQAI9-v909hk7xu8rzUvJ2sF0=-20261020124724</t>
  </si>
  <si>
    <t>AAQkADdkNThjNzFkLWM0ZmMtNDJhYS04MDVlLTIwNzE4ZDI1Mzg4YgAQAI9-v909hk7xu8rzUvJ2sF0=</t>
  </si>
  <si>
    <t>RV: CASO BRANDON RODRIGUEZ -  CAMBIO DE SEDE DE ATENCION</t>
  </si>
  <si>
    <t>pryssila.avalos@lockton.com</t>
  </si>
  <si>
    <t>Pryssila Avalos</t>
  </si>
  <si>
    <t>Llegó como hilo: 1 mensaje(s) anterior(es). Lo inició: Medico Ocupacional &lt;medicoocupacional@tailoy.com.pe&gt;</t>
  </si>
  <si>
    <t>AAQkADdkNThjNzFkLWM0ZmMtNDJhYS04MDVlLTIwNzE4ZDI1Mzg4YgAQAKUJ0whwim9Pn1ht6tAO7Sg=-20261020125353</t>
  </si>
  <si>
    <t>RE: CONFIRMAR PROVEEDOR RESONANCIA - PIURA // ASEGURADO LEIVA NATIVIDAD MARIO VICTOR // HAUG</t>
  </si>
  <si>
    <t>Caso nuevo: esta conversación ya tenía un caso finalizado (AAQkADdkNThjNzFkLWM0ZmMtNDJhYS04MDVlLTIwNzE4ZDI1Mzg4YgAQAKUJ0whwim9Pn1ht6tAO7Sg=-20261020060820)</t>
  </si>
  <si>
    <t>AAQkADdkNThjNzFkLWM0ZmMtNDJhYS04MDVlLTIwNzE4ZDI1Mzg4YgAQAA7GrlH7eOVCgkXetP76GZk=-20261020131809</t>
  </si>
  <si>
    <t>RE: Solicito  por CUARTA VES muletas para terapias después de operación de ligamentos cruzados y meniscos . Tercer correo que se envía .</t>
  </si>
  <si>
    <t>Caso nuevo: esta conversación ya tenía un caso finalizado (AAQkADdkNThjNzFkLWM0ZmMtNDJhYS04MDVlLTIwNzE4ZDI1Mzg4YgAQAA7GrlH7eOVCgkXetP76GZk=-20261020092335)</t>
  </si>
  <si>
    <t>AAQkADdkNThjNzFkLWM0ZmMtNDJhYS04MDVlLTIwNzE4ZDI1Mzg4YgAQAHnEWz0WRPtEryuxHLUU4tA=-20261020132817</t>
  </si>
  <si>
    <t>AAQkADdkNThjNzFkLWM0ZmMtNDJhYS04MDVlLTIwNzE4ZDI1Mzg4YgAQAHnEWz0WRPtEryuxHLUU4tA=</t>
  </si>
  <si>
    <t>ACCIDENTE SCTR CLIDER CHOTA VILLACORTA 05407579 - TRANSPORTE LOS ARRIEROS</t>
  </si>
  <si>
    <t>Llegó como hilo: 1 mensaje(s) anterior(es). Lo inició: GESTION HUMANA &lt;asist.rrhh.arrieros@gmail.com&gt;</t>
  </si>
  <si>
    <t>AAQkADdkNThjNzFkLWM0ZmMtNDJhYS04MDVlLTIwNzE4ZDI1Mzg4YgAQABZh2sNmLJZFqAO3rfazLME=-20261020133017</t>
  </si>
  <si>
    <t>Caso nuevo: esta conversación ya tenía un caso finalizado (AAQkADdkNThjNzFkLWM0ZmMtNDJhYS04MDVlLTIwNzE4ZDI1Mzg4YgAQABZh2sNmLJZFqAO3rfazLME=-20261019205237)</t>
  </si>
  <si>
    <t>AAQkADdkNThjNzFkLWM0ZmMtNDJhYS04MDVlLTIwNzE4ZDI1Mzg4YgAQAPyDgJ8gi2dFvKIz-jzwHFM=-20261020133132</t>
  </si>
  <si>
    <t>Caso nuevo: esta conversación ya tenía un caso finalizado (AAQkADdkNThjNzFkLWM0ZmMtNDJhYS04MDVlLTIwNzE4ZDI1Mzg4YgAQAPyDgJ8gi2dFvKIz-jzwHFM=-20261019110709)</t>
  </si>
  <si>
    <t>AAQkADdkNThjNzFkLWM0ZmMtNDJhYS04MDVlLTIwNzE4ZDI1Mzg4YgAQAAAdUuyxzBVAjVjOoRBXfmY=-20261020140304</t>
  </si>
  <si>
    <t>AAQkADdkNThjNzFkLWM0ZmMtNDJhYS04MDVlLTIwNzE4ZDI1Mzg4YgAQAAAdUuyxzBVAjVjOoRBXfmY=</t>
  </si>
  <si>
    <t>AAQkADdkNThjNzFkLWM0ZmMtNDJhYS04MDVlLTIwNzE4ZDI1Mzg4YgAQAOKiohVeRDZJuUKIkvUvlhM=-20261020140911</t>
  </si>
  <si>
    <t>AAQkADdkNThjNzFkLWM0ZmMtNDJhYS04MDVlLTIwNzE4ZDI1Mzg4YgAQAOKiohVeRDZJuUKIkvUvlhM=</t>
  </si>
  <si>
    <t>ASENCIO OLIVAS: CG SOLICITUD MULETAS</t>
  </si>
  <si>
    <t>AAQkADdkNThjNzFkLWM0ZmMtNDJhYS04MDVlLTIwNzE4ZDI1Mzg4YgAQADF_jIfLkEN2r_ORGisL3Xw=-20261020142100</t>
  </si>
  <si>
    <t>AAQkADdkNThjNzFkLWM0ZmMtNDJhYS04MDVlLTIwNzE4ZDI1Mzg4YgAQADF_jIfLkEN2r_ORGisL3Xw=</t>
  </si>
  <si>
    <t>RE: Gastos por intervención quirúrgica - Acevedo Balabarca Arnold Steve</t>
  </si>
  <si>
    <t>jhon.padilla@marsh.com</t>
  </si>
  <si>
    <t>Jhon Padilla Saavedra</t>
  </si>
  <si>
    <t>Llegó como hilo: 2 mensaje(s) anterior(es). Lo inició: Lavanda Espinoza, Jessica Sandra Patricia &lt;JSPLAV1@mapfre.com.pe&gt;</t>
  </si>
  <si>
    <t>AAQkADdkNThjNzFkLWM0ZmMtNDJhYS04MDVlLTIwNzE4ZDI1Mzg4YgAQAKH5c1sdEJBIiCn09jOA85c=-20261020143726</t>
  </si>
  <si>
    <t>AAQkADdkNThjNzFkLWM0ZmMtNDJhYS04MDVlLTIwNzE4ZDI1Mzg4YgAQAKH5c1sdEJBIiCn09jOA85c=</t>
  </si>
  <si>
    <t>SOLICITO EVALUACION Y APROBACION DE CG-PCTE. CORDOVA HUAMAN ANGEL GUSTAVO</t>
  </si>
  <si>
    <t>AAQkADdkNThjNzFkLWM0ZmMtNDJhYS04MDVlLTIwNzE4ZDI1Mzg4YgAQADYvSs0mOWpGm8PW_iytTT8=-20261020143934</t>
  </si>
  <si>
    <t>AAQkADdkNThjNzFkLWM0ZmMtNDJhYS04MDVlLTIwNzE4ZDI1Mzg4YgAQADYvSs0mOWpGm8PW_iytTT8=</t>
  </si>
  <si>
    <t>RECETA // ENRIQUEZ CUMPA REYNA - SCTR</t>
  </si>
  <si>
    <t>AAQkADdkNThjNzFkLWM0ZmMtNDJhYS04MDVlLTIwNzE4ZDI1Mzg4YgAQACdpIaqrci1DlKggJ0C9a50=-20261020143948</t>
  </si>
  <si>
    <t>AAQkADdkNThjNzFkLWM0ZmMtNDJhYS04MDVlLTIwNzE4ZDI1Mzg4YgAQACdpIaqrci1DlKggJ0C9a50=</t>
  </si>
  <si>
    <t>cobertura completo de mi tratamiento médico por el accidente laboral</t>
  </si>
  <si>
    <t>AAQkADdkNThjNzFkLWM0ZmMtNDJhYS04MDVlLTIwNzE4ZDI1Mzg4YgAQADblZNhCBEywq5PjGOTjC4A=-20261020145815</t>
  </si>
  <si>
    <t>AAQkADdkNThjNzFkLWM0ZmMtNDJhYS04MDVlLTIwNzE4ZDI1Mzg4YgAQADblZNhCBEywq5PjGOTjC4A=</t>
  </si>
  <si>
    <t>No se puede entregar: RE: CARTA DE GARANTIA ASEG. PERICHE CALDERON JOSE - CIA. INDUSTRIAL NUEVO MUNDO</t>
  </si>
  <si>
    <t>AAQkADdkNThjNzFkLWM0ZmMtNDJhYS04MDVlLTIwNzE4ZDI1Mzg4YgAQAPyDgJ8gi2dFvKIz-jzwHFM=-20261020151243</t>
  </si>
  <si>
    <t>Caso nuevo: esta conversación ya tenía un caso finalizado (AAQkADdkNThjNzFkLWM0ZmMtNDJhYS04MDVlLTIwNzE4ZDI1Mzg4YgAQAPyDgJ8gi2dFvKIz-jzwHFM=-20261020133132)</t>
  </si>
  <si>
    <t>AAQkADdkNThjNzFkLWM0ZmMtNDJhYS04MDVlLTIwNzE4ZDI1Mzg4YgAQAFS1XRT_uT1MvCv38De1AZU=-20261020151935</t>
  </si>
  <si>
    <t>AAQkADdkNThjNzFkLWM0ZmMtNDJhYS04MDVlLTIwNzE4ZDI1Mzg4YgAQAFS1XRT_uT1MvCv38De1AZU=</t>
  </si>
  <si>
    <t xml:space="preserve">RV: GRUPO ENJOY PERU SAC-RUC 20608928538  GESTIONAR CITA EN SEDE </t>
  </si>
  <si>
    <t>amendoza@sentinel.com.pe</t>
  </si>
  <si>
    <t>Ana María Mendoza</t>
  </si>
  <si>
    <t>Llegó como hilo: 2 mensaje(s) anterior(es). Lo inició: administracion.general@goenjoyperu.com &lt;administracion.general@goenjoyperu.com&gt;</t>
  </si>
  <si>
    <t>AAQkADdkNThjNzFkLWM0ZmMtNDJhYS04MDVlLTIwNzE4ZDI1Mzg4YgAQABH2NMJJPChKi8uErB1cRL8=-20261020152116</t>
  </si>
  <si>
    <t>AAQkADdkNThjNzFkLWM0ZmMtNDJhYS04MDVlLTIwNzE4ZDI1Mzg4YgAQABH2NMJJPChKi8uErB1cRL8=</t>
  </si>
  <si>
    <t>SCTR - Resonancia Magnética - COSTA DEL SOL</t>
  </si>
  <si>
    <t>jcanales@asisteseguros.pe</t>
  </si>
  <si>
    <t>Llegó como hilo: 4 mensaje(s) anterior(es). Lo inició: Elisa Navarro &lt;enavarro@costadelsolperu.com&gt;</t>
  </si>
  <si>
    <t>AAQkADdkNThjNzFkLWM0ZmMtNDJhYS04MDVlLTIwNzE4ZDI1Mzg4YgAQACdpIaqrci1DlKggJ0C9a50=-20261020152450</t>
  </si>
  <si>
    <t>RE: cobertura completo de mi tratamiento médico por el accidente laboral</t>
  </si>
  <si>
    <t>Caso nuevo: esta conversación ya tenía un caso finalizado (AAQkADdkNThjNzFkLWM0ZmMtNDJhYS04MDVlLTIwNzE4ZDI1Mzg4YgAQACdpIaqrci1DlKggJ0C9a50=-20261020143948)</t>
  </si>
  <si>
    <t>AAQkADdkNThjNzFkLWM0ZmMtNDJhYS04MDVlLTIwNzE4ZDI1Mzg4YgAQAOKiohVeRDZJuUKIkvUvlhM=-20261020152744</t>
  </si>
  <si>
    <t>Respuesta automática: ASENCIO OLIVAS: CG SOLICITUD MULETAS</t>
  </si>
  <si>
    <t>zsgrant@mapfre.com.pe</t>
  </si>
  <si>
    <t>antone</t>
  </si>
  <si>
    <t>Caso nuevo: esta conversación ya tenía un caso finalizado (AAQkADdkNThjNzFkLWM0ZmMtNDJhYS04MDVlLTIwNzE4ZDI1Mzg4YgAQAOKiohVeRDZJuUKIkvUvlhM=-20261020140911) | Finalizado en Power Apps por antone el 20/10/2026 16:12</t>
  </si>
  <si>
    <t>AAQkADdkNThjNzFkLWM0ZmMtNDJhYS04MDVlLTIwNzE4ZDI1Mzg4YgAQAOKiohVeRDZJuUKIkvUvlhM=-20261020153159</t>
  </si>
  <si>
    <t>RE: ASENCIO OLIVAS: CG SOLICITUD MULETAS</t>
  </si>
  <si>
    <t>Asencio Olivas Juan</t>
  </si>
  <si>
    <t>Caso nuevo: esta conversación ya tenía un caso finalizado (AAQkADdkNThjNzFkLWM0ZmMtNDJhYS04MDVlLTIwNzE4ZDI1Mzg4YgAQAOKiohVeRDZJuUKIkvUvlhM=-20261020152744)</t>
  </si>
  <si>
    <t>AAQkADdkNThjNzFkLWM0ZmMtNDJhYS04MDVlLTIwNzE4ZDI1Mzg4YgAQAJDVcTS3tZNGoYLCs2amzVY=-20261020153350</t>
  </si>
  <si>
    <t>AAQkADdkNThjNzFkLWM0ZmMtNDJhYS04MDVlLTIwNzE4ZDI1Mzg4YgAQAJDVcTS3tZNGoYLCs2amzVY=</t>
  </si>
  <si>
    <t>Re: RESPUESTA AL RECLAMO - Nº 001-1001-2026-09439</t>
  </si>
  <si>
    <t>AAQkADdkNThjNzFkLWM0ZmMtNDJhYS04MDVlLTIwNzE4ZDI1Mzg4YgAQADp3mfm73DdNn2YkeYwQj7s=-20261020153736</t>
  </si>
  <si>
    <t>AAQkADdkNThjNzFkLWM0ZmMtNDJhYS04MDVlLTIwNzE4ZDI1Mzg4YgAQADp3mfm73DdNn2YkeYwQj7s=</t>
  </si>
  <si>
    <t>MAPFRE SCTR SALUD - TAMAYO MOLLINEDO, NEIBETH - MARKETING ALTERNO PERU S.A.C</t>
  </si>
  <si>
    <t>Feriados</t>
  </si>
  <si>
    <t>Agrega filas a la tabla DIAS_NOLAB cuando haya feriados nuevos.</t>
  </si>
  <si>
    <t>(vacío = PENDIENTE)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</si>
</sst>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/mm/yyyy\ hh:mm"/>
    <numFmt numFmtId="165" formatCode="mmmm\ yyyy"/>
    <numFmt numFmtId="166" formatCode="0.0"/>
  </numFmts>
  <fonts count="3">
    <font>
      <sz val="11"/>
      <color theme="1"/>
      <name val="Calibri"/>
      <family val="2"/>
      <scheme val="minor"/>
    </font>
    <font>
      <b/>
      <sz val="11"/>
      <name val="Calibri"/>
    </font>
    <font>
      <i/>
      <sz val="11"/>
      <color rgb="FF80808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64" fontId="0" fillId="0" borderId="0" xfId="0" applyNumberFormat="1"/>
    <xf numFmtId="166" fontId="0" fillId="0" borderId="0" xfId="0" applyNumberFormat="1"/>
    <xf numFmtId="165" fontId="0" fillId="0" borderId="0" xfId="0" applyNumberFormat="1"/>
    <xf numFmtId="0" fontId="1" fillId="0" borderId="0" xfId="0" applyFont="1"/>
    <xf numFmtId="0" fontId="2" fillId="0" borderId="0" xfId="0" applyFont="1"/>
    <xf numFmtId="14" fontId="0" fillId="0" borderId="0" xfId="0" applyNumberFormat="1"/>
    <xf numFmtId="0" fontId="0" fillId="0" borderId="0" xfId="0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7">
    <dxf>
      <numFmt numFmtId="165" formatCode="mmmm\ yyyy"/>
    </dxf>
    <dxf>
      <numFmt numFmtId="166" formatCode="0.0"/>
    </dxf>
    <dxf>
      <numFmt numFmtId="0" formatCode="General"/>
    </dxf>
    <dxf>
      <numFmt numFmtId="164" formatCode="dd/mm/yyyy\ hh:mm"/>
    </dxf>
    <dxf>
      <numFmt numFmtId="164" formatCode="dd/mm/yyyy\ hh:mm"/>
    </dxf>
    <dxf>
      <numFmt numFmtId="164" formatCode="dd/mm/yyyy\ hh:mm"/>
    </dxf>
    <dxf>
      <numFmt numFmtId="164" formatCode="dd/mm/yyyy\ hh:mm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4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andeja_SCTR" displayName="Bandeja_SCTR" ref="A1:P446">
  <autoFilter ref="A1:P446" xr:uid="{00000000-0009-0000-0100-000001000000}">
    <filterColumn colId="6">
      <filters blank="1"/>
    </filterColumn>
  </autoFilter>
  <tableColumns count="16">
    <tableColumn id="1" xr3:uid="{00000000-0010-0000-0000-000001000000}" name="CasoId"/>
    <tableColumn id="2" xr3:uid="{00000000-0010-0000-0000-000002000000}" name="ConversationId"/>
    <tableColumn id="3" xr3:uid="{00000000-0010-0000-0000-000003000000}" name="Asunto"/>
    <tableColumn id="7" xr3:uid="{00000000-0010-0000-0000-000007000000}" name="FechaRecepcion" dataDxfId="6"/>
    <tableColumn id="9" xr3:uid="{00000000-0010-0000-0000-000009000000}" name="FechaUltimoCorreo" dataDxfId="5"/>
    <tableColumn id="4" xr3:uid="{00000000-0010-0000-0000-000004000000}" name="PersonaUltimaRespuesta" dataDxfId="4"/>
    <tableColumn id="10" xr3:uid="{00000000-0010-0000-0000-00000A000000}" name="Estado"/>
    <tableColumn id="11" xr3:uid="{00000000-0010-0000-0000-00000B000000}" name="FechaCierre" dataDxfId="3"/>
    <tableColumn id="12" xr3:uid="{00000000-0010-0000-0000-00000C000000}" name="Persona_Respuesta"/>
    <tableColumn id="15" xr3:uid="{00000000-0010-0000-0000-00000F000000}" name="Observaciones"/>
    <tableColumn id="6" xr3:uid="{00000000-0010-0000-0000-000006000000}" name="Días_Transcurridos" dataDxfId="2">
      <calculatedColumnFormula>IF(OR(Bandeja_SCTR[[#This Row],[CasoId]]="",Bandeja_SCTR[[#This Row],[Estado]]="FINALIZADO",Bandeja_SCTR[[#This Row],[FechaUltimoCorreo]]=""),"",NETWORKDAYS(INT(Bandeja_SCTR[[#This Row],[FechaUltimoCorreo]]),TODAY(),DIAS_NOLAB[Feriados]))</calculatedColumnFormula>
    </tableColumn>
    <tableColumn id="16" xr3:uid="{00000000-0010-0000-0000-000010000000}" name="Días_Hab">
      <calculatedColumnFormula>IF(Bandeja_SCTR[[#This Row],[FechaRecepcion]]="","",NETWORKDAYS(INT(Bandeja_SCTR[[#This Row],[FechaRecepcion]]),IF(Bandeja_SCTR[[#This Row],[FechaCierre]]="",TODAY(),INT(Bandeja_SCTR[[#This Row],[FechaCierre]])),DIAS_NOLAB[Feriados]))</calculatedColumnFormula>
    </tableColumn>
    <tableColumn id="17" xr3:uid="{00000000-0010-0000-0000-000011000000}" name="Horas_Respuesta" dataDxfId="1">
      <calculatedColumnFormula>IF(OR(Bandeja_SCTR[[#This Row],[FechaRecepcion]]="",Bandeja_SCTR[[#This Row],[FechaCierre]]=""),"",ROUND((Bandeja_SCTR[[#This Row],[FechaCierre]]-Bandeja_SCTR[[#This Row],[FechaRecepcion]])*24,1))</calculatedColumnFormula>
    </tableColumn>
    <tableColumn id="18" xr3:uid="{00000000-0010-0000-0000-000012000000}" name="Mes" dataDxfId="0">
      <calculatedColumnFormula>IF(Bandeja_SCTR[[#This Row],[FechaRecepcion]]="","",DATE(YEAR(Bandeja_SCTR[[#This Row],[FechaRecepcion]]),MONTH(Bandeja_SCTR[[#This Row],[FechaRecepcion]]),1))</calculatedColumnFormula>
    </tableColumn>
    <tableColumn id="19" xr3:uid="{00000000-0010-0000-0000-000013000000}" name="EsFinalizado">
      <calculatedColumnFormula>IF(Bandeja_SCTR[[#This Row],[Estado]]="FINALIZADO",1,0)</calculatedColumnFormula>
    </tableColumn>
    <tableColumn id="20" xr3:uid="{00000000-0010-0000-0000-000014000000}" name="EsPendiente">
      <calculatedColumnFormula>IF(Bandeja_SCTR[[#This Row],[CasoId]]="",0,IF(Bandeja_SCTR[[#This Row],[Estado]]="FINALIZADO",0,1))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DIAS_NOLAB" displayName="DIAS_NOLAB" ref="D2:D22">
  <autoFilter ref="D2:D22" xr:uid="{00000000-0009-0000-0100-000002000000}"/>
  <tableColumns count="1">
    <tableColumn id="1" xr3:uid="{00000000-0010-0000-0100-000001000000}" name="Feriados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446"/>
  <sheetViews>
    <sheetView tabSelected="1" zoomScale="90" zoomScaleNormal="90" workbookViewId="0">
      <pane ySplit="1" topLeftCell="C431" activePane="bottomLeft" state="frozen"/>
      <selection pane="bottomLeft" activeCell="G441" sqref="G441"/>
    </sheetView>
  </sheetViews>
  <sheetFormatPr defaultColWidth="8.85546875" defaultRowHeight="14.45"/>
  <cols>
    <col min="1" max="1" width="9.140625" customWidth="1"/>
    <col min="2" max="2" width="14" customWidth="1"/>
    <col min="3" max="3" width="24.7109375" customWidth="1"/>
    <col min="4" max="5" width="18" customWidth="1"/>
    <col min="6" max="6" width="32" customWidth="1"/>
    <col min="7" max="7" width="14" customWidth="1"/>
    <col min="8" max="8" width="18" customWidth="1"/>
    <col min="9" max="9" width="28" customWidth="1"/>
    <col min="10" max="11" width="50" customWidth="1"/>
    <col min="12" max="12" width="10" customWidth="1"/>
    <col min="13" max="13" width="16" customWidth="1"/>
    <col min="14" max="14" width="15" customWidth="1"/>
    <col min="15" max="16" width="12" customWidth="1"/>
  </cols>
  <sheetData>
    <row r="1" spans="1:1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>
      <c r="A2" t="s">
        <v>16</v>
      </c>
      <c r="B2" t="s">
        <v>17</v>
      </c>
      <c r="C2" t="s">
        <v>18</v>
      </c>
      <c r="D2" s="1">
        <v>46309.404988425929</v>
      </c>
      <c r="E2" s="1">
        <v>46309.404988425929</v>
      </c>
      <c r="F2" t="s">
        <v>19</v>
      </c>
      <c r="H2" s="1"/>
      <c r="J2" t="s">
        <v>20</v>
      </c>
      <c r="K2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5</v>
      </c>
      <c r="L2">
        <f ca="1">IF(Bandeja_SCTR[[#This Row],[FechaRecepcion]]="","",NETWORKDAYS(INT(Bandeja_SCTR[[#This Row],[FechaRecepcion]]),IF(Bandeja_SCTR[[#This Row],[FechaCierre]]="",TODAY(),INT(Bandeja_SCTR[[#This Row],[FechaCierre]])),DIAS_NOLAB[Feriados]))</f>
        <v>5</v>
      </c>
      <c r="M2" s="2" t="str">
        <f>IF(OR(Bandeja_SCTR[[#This Row],[FechaRecepcion]]="",Bandeja_SCTR[[#This Row],[FechaCierre]]=""),"",ROUND((Bandeja_SCTR[[#This Row],[FechaCierre]]-Bandeja_SCTR[[#This Row],[FechaRecepcion]])*24,1))</f>
        <v/>
      </c>
      <c r="N2" s="3">
        <f>IF(Bandeja_SCTR[[#This Row],[FechaRecepcion]]="","",DATE(YEAR(Bandeja_SCTR[[#This Row],[FechaRecepcion]]),MONTH(Bandeja_SCTR[[#This Row],[FechaRecepcion]]),1))</f>
        <v>46296</v>
      </c>
      <c r="O2">
        <f>IF(Bandeja_SCTR[[#This Row],[Estado]]="FINALIZADO",1,0)</f>
        <v>0</v>
      </c>
      <c r="P2">
        <f>IF(Bandeja_SCTR[[#This Row],[CasoId]]="",0,IF(Bandeja_SCTR[[#This Row],[Estado]]="FINALIZADO",0,1))</f>
        <v>1</v>
      </c>
    </row>
    <row r="3" spans="1:16">
      <c r="A3" t="s">
        <v>21</v>
      </c>
      <c r="B3" t="s">
        <v>22</v>
      </c>
      <c r="C3" t="s">
        <v>23</v>
      </c>
      <c r="D3" s="1">
        <v>46309.405821759261</v>
      </c>
      <c r="E3" s="1">
        <v>46312.438067129631</v>
      </c>
      <c r="F3" s="1" t="s">
        <v>24</v>
      </c>
      <c r="H3" s="1"/>
      <c r="I3" t="s">
        <v>24</v>
      </c>
      <c r="J3" t="s">
        <v>25</v>
      </c>
      <c r="K3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2</v>
      </c>
      <c r="L3">
        <f ca="1">IF(Bandeja_SCTR[[#This Row],[FechaRecepcion]]="","",NETWORKDAYS(INT(Bandeja_SCTR[[#This Row],[FechaRecepcion]]),IF(Bandeja_SCTR[[#This Row],[FechaCierre]]="",TODAY(),INT(Bandeja_SCTR[[#This Row],[FechaCierre]])),DIAS_NOLAB[Feriados]))</f>
        <v>5</v>
      </c>
      <c r="M3" s="2" t="str">
        <f>IF(OR(Bandeja_SCTR[[#This Row],[FechaRecepcion]]="",Bandeja_SCTR[[#This Row],[FechaCierre]]=""),"",ROUND((Bandeja_SCTR[[#This Row],[FechaCierre]]-Bandeja_SCTR[[#This Row],[FechaRecepcion]])*24,1))</f>
        <v/>
      </c>
      <c r="N3" s="3">
        <f>IF(Bandeja_SCTR[[#This Row],[FechaRecepcion]]="","",DATE(YEAR(Bandeja_SCTR[[#This Row],[FechaRecepcion]]),MONTH(Bandeja_SCTR[[#This Row],[FechaRecepcion]]),1))</f>
        <v>46296</v>
      </c>
      <c r="O3">
        <f>IF(Bandeja_SCTR[[#This Row],[Estado]]="FINALIZADO",1,0)</f>
        <v>0</v>
      </c>
      <c r="P3">
        <f>IF(Bandeja_SCTR[[#This Row],[CasoId]]="",0,IF(Bandeja_SCTR[[#This Row],[Estado]]="FINALIZADO",0,1))</f>
        <v>1</v>
      </c>
    </row>
    <row r="4" spans="1:16" hidden="1">
      <c r="A4" t="s">
        <v>26</v>
      </c>
      <c r="B4" t="s">
        <v>27</v>
      </c>
      <c r="C4" t="s">
        <v>28</v>
      </c>
      <c r="D4" s="1">
        <v>46309.410208333335</v>
      </c>
      <c r="E4" s="1">
        <v>46309.410208333335</v>
      </c>
      <c r="F4" s="1" t="s">
        <v>29</v>
      </c>
      <c r="G4" t="s">
        <v>30</v>
      </c>
      <c r="H4" s="1">
        <v>46309.410208333335</v>
      </c>
      <c r="I4" t="s">
        <v>29</v>
      </c>
      <c r="J4" t="s">
        <v>31</v>
      </c>
      <c r="K4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4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4" s="2">
        <f>IF(OR(Bandeja_SCTR[[#This Row],[FechaRecepcion]]="",Bandeja_SCTR[[#This Row],[FechaCierre]]=""),"",ROUND((Bandeja_SCTR[[#This Row],[FechaCierre]]-Bandeja_SCTR[[#This Row],[FechaRecepcion]])*24,1))</f>
        <v>0</v>
      </c>
      <c r="N4" s="3">
        <f>IF(Bandeja_SCTR[[#This Row],[FechaRecepcion]]="","",DATE(YEAR(Bandeja_SCTR[[#This Row],[FechaRecepcion]]),MONTH(Bandeja_SCTR[[#This Row],[FechaRecepcion]]),1))</f>
        <v>46296</v>
      </c>
      <c r="O4">
        <f>IF(Bandeja_SCTR[[#This Row],[Estado]]="FINALIZADO",1,0)</f>
        <v>1</v>
      </c>
      <c r="P4">
        <f>IF(Bandeja_SCTR[[#This Row],[CasoId]]="",0,IF(Bandeja_SCTR[[#This Row],[Estado]]="FINALIZADO",0,1))</f>
        <v>0</v>
      </c>
    </row>
    <row r="5" spans="1:16" hidden="1">
      <c r="A5" t="s">
        <v>32</v>
      </c>
      <c r="B5" t="s">
        <v>33</v>
      </c>
      <c r="C5" t="s">
        <v>34</v>
      </c>
      <c r="D5" s="1">
        <v>46309.411643518513</v>
      </c>
      <c r="E5" s="1">
        <v>46309.531944444447</v>
      </c>
      <c r="F5" s="1" t="s">
        <v>35</v>
      </c>
      <c r="G5" t="s">
        <v>30</v>
      </c>
      <c r="H5" s="1">
        <v>46309.531944444447</v>
      </c>
      <c r="I5" t="s">
        <v>36</v>
      </c>
      <c r="J5" t="s">
        <v>37</v>
      </c>
      <c r="K5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5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5" s="2">
        <f>IF(OR(Bandeja_SCTR[[#This Row],[FechaRecepcion]]="",Bandeja_SCTR[[#This Row],[FechaCierre]]=""),"",ROUND((Bandeja_SCTR[[#This Row],[FechaCierre]]-Bandeja_SCTR[[#This Row],[FechaRecepcion]])*24,1))</f>
        <v>2.9</v>
      </c>
      <c r="N5" s="3">
        <f>IF(Bandeja_SCTR[[#This Row],[FechaRecepcion]]="","",DATE(YEAR(Bandeja_SCTR[[#This Row],[FechaRecepcion]]),MONTH(Bandeja_SCTR[[#This Row],[FechaRecepcion]]),1))</f>
        <v>46296</v>
      </c>
      <c r="O5">
        <f>IF(Bandeja_SCTR[[#This Row],[Estado]]="FINALIZADO",1,0)</f>
        <v>1</v>
      </c>
      <c r="P5">
        <f>IF(Bandeja_SCTR[[#This Row],[CasoId]]="",0,IF(Bandeja_SCTR[[#This Row],[Estado]]="FINALIZADO",0,1))</f>
        <v>0</v>
      </c>
    </row>
    <row r="6" spans="1:16" hidden="1">
      <c r="A6" t="s">
        <v>38</v>
      </c>
      <c r="B6" t="s">
        <v>39</v>
      </c>
      <c r="C6" t="s">
        <v>40</v>
      </c>
      <c r="D6" s="1">
        <v>46309.412048611106</v>
      </c>
      <c r="E6" s="1">
        <v>46309.412048611106</v>
      </c>
      <c r="F6" s="1" t="s">
        <v>24</v>
      </c>
      <c r="G6" t="s">
        <v>30</v>
      </c>
      <c r="H6" s="1">
        <v>46309.412048611106</v>
      </c>
      <c r="I6" t="s">
        <v>24</v>
      </c>
      <c r="J6" t="s">
        <v>41</v>
      </c>
      <c r="K6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6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6" s="2">
        <f>IF(OR(Bandeja_SCTR[[#This Row],[FechaRecepcion]]="",Bandeja_SCTR[[#This Row],[FechaCierre]]=""),"",ROUND((Bandeja_SCTR[[#This Row],[FechaCierre]]-Bandeja_SCTR[[#This Row],[FechaRecepcion]])*24,1))</f>
        <v>0</v>
      </c>
      <c r="N6" s="3">
        <f>IF(Bandeja_SCTR[[#This Row],[FechaRecepcion]]="","",DATE(YEAR(Bandeja_SCTR[[#This Row],[FechaRecepcion]]),MONTH(Bandeja_SCTR[[#This Row],[FechaRecepcion]]),1))</f>
        <v>46296</v>
      </c>
      <c r="O6">
        <f>IF(Bandeja_SCTR[[#This Row],[Estado]]="FINALIZADO",1,0)</f>
        <v>1</v>
      </c>
      <c r="P6">
        <f>IF(Bandeja_SCTR[[#This Row],[CasoId]]="",0,IF(Bandeja_SCTR[[#This Row],[Estado]]="FINALIZADO",0,1))</f>
        <v>0</v>
      </c>
    </row>
    <row r="7" spans="1:16" hidden="1">
      <c r="A7" t="s">
        <v>42</v>
      </c>
      <c r="B7" t="s">
        <v>43</v>
      </c>
      <c r="C7" t="s">
        <v>44</v>
      </c>
      <c r="D7" s="1">
        <v>46309.413518518515</v>
      </c>
      <c r="E7" s="1">
        <v>46309.413518518515</v>
      </c>
      <c r="F7" s="1" t="s">
        <v>45</v>
      </c>
      <c r="G7" t="s">
        <v>30</v>
      </c>
      <c r="H7" s="1">
        <v>46309.413518518515</v>
      </c>
      <c r="I7" t="s">
        <v>46</v>
      </c>
      <c r="J7" t="s">
        <v>47</v>
      </c>
      <c r="K7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7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7" s="2">
        <f>IF(OR(Bandeja_SCTR[[#This Row],[FechaRecepcion]]="",Bandeja_SCTR[[#This Row],[FechaCierre]]=""),"",ROUND((Bandeja_SCTR[[#This Row],[FechaCierre]]-Bandeja_SCTR[[#This Row],[FechaRecepcion]])*24,1))</f>
        <v>0</v>
      </c>
      <c r="N7" s="3">
        <f>IF(Bandeja_SCTR[[#This Row],[FechaRecepcion]]="","",DATE(YEAR(Bandeja_SCTR[[#This Row],[FechaRecepcion]]),MONTH(Bandeja_SCTR[[#This Row],[FechaRecepcion]]),1))</f>
        <v>46296</v>
      </c>
      <c r="O7">
        <f>IF(Bandeja_SCTR[[#This Row],[Estado]]="FINALIZADO",1,0)</f>
        <v>1</v>
      </c>
      <c r="P7">
        <f>IF(Bandeja_SCTR[[#This Row],[CasoId]]="",0,IF(Bandeja_SCTR[[#This Row],[Estado]]="FINALIZADO",0,1))</f>
        <v>0</v>
      </c>
    </row>
    <row r="8" spans="1:16" hidden="1">
      <c r="A8" t="s">
        <v>48</v>
      </c>
      <c r="B8" t="s">
        <v>49</v>
      </c>
      <c r="C8" t="s">
        <v>50</v>
      </c>
      <c r="D8" s="1">
        <v>46309.413599537038</v>
      </c>
      <c r="E8" s="1">
        <v>46309.463634259257</v>
      </c>
      <c r="F8" s="1" t="s">
        <v>51</v>
      </c>
      <c r="G8" t="s">
        <v>30</v>
      </c>
      <c r="H8" s="1">
        <v>46309.463634259257</v>
      </c>
      <c r="I8" t="s">
        <v>52</v>
      </c>
      <c r="J8" t="s">
        <v>53</v>
      </c>
      <c r="K8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8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8" s="2">
        <f>IF(OR(Bandeja_SCTR[[#This Row],[FechaRecepcion]]="",Bandeja_SCTR[[#This Row],[FechaCierre]]=""),"",ROUND((Bandeja_SCTR[[#This Row],[FechaCierre]]-Bandeja_SCTR[[#This Row],[FechaRecepcion]])*24,1))</f>
        <v>1.2</v>
      </c>
      <c r="N8" s="3">
        <f>IF(Bandeja_SCTR[[#This Row],[FechaRecepcion]]="","",DATE(YEAR(Bandeja_SCTR[[#This Row],[FechaRecepcion]]),MONTH(Bandeja_SCTR[[#This Row],[FechaRecepcion]]),1))</f>
        <v>46296</v>
      </c>
      <c r="O8">
        <f>IF(Bandeja_SCTR[[#This Row],[Estado]]="FINALIZADO",1,0)</f>
        <v>1</v>
      </c>
      <c r="P8">
        <f>IF(Bandeja_SCTR[[#This Row],[CasoId]]="",0,IF(Bandeja_SCTR[[#This Row],[Estado]]="FINALIZADO",0,1))</f>
        <v>0</v>
      </c>
    </row>
    <row r="9" spans="1:16" hidden="1">
      <c r="A9" t="s">
        <v>54</v>
      </c>
      <c r="B9" t="s">
        <v>55</v>
      </c>
      <c r="C9" t="s">
        <v>56</v>
      </c>
      <c r="D9" s="1">
        <v>46309.413622685184</v>
      </c>
      <c r="E9" s="1">
        <v>46309.413622685184</v>
      </c>
      <c r="F9" s="1" t="s">
        <v>57</v>
      </c>
      <c r="G9" t="s">
        <v>30</v>
      </c>
      <c r="H9" s="1">
        <v>46309.413622685184</v>
      </c>
      <c r="I9" t="s">
        <v>57</v>
      </c>
      <c r="J9" t="s">
        <v>58</v>
      </c>
      <c r="K9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9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9" s="2">
        <f>IF(OR(Bandeja_SCTR[[#This Row],[FechaRecepcion]]="",Bandeja_SCTR[[#This Row],[FechaCierre]]=""),"",ROUND((Bandeja_SCTR[[#This Row],[FechaCierre]]-Bandeja_SCTR[[#This Row],[FechaRecepcion]])*24,1))</f>
        <v>0</v>
      </c>
      <c r="N9" s="3">
        <f>IF(Bandeja_SCTR[[#This Row],[FechaRecepcion]]="","",DATE(YEAR(Bandeja_SCTR[[#This Row],[FechaRecepcion]]),MONTH(Bandeja_SCTR[[#This Row],[FechaRecepcion]]),1))</f>
        <v>46296</v>
      </c>
      <c r="O9">
        <f>IF(Bandeja_SCTR[[#This Row],[Estado]]="FINALIZADO",1,0)</f>
        <v>1</v>
      </c>
      <c r="P9">
        <f>IF(Bandeja_SCTR[[#This Row],[CasoId]]="",0,IF(Bandeja_SCTR[[#This Row],[Estado]]="FINALIZADO",0,1))</f>
        <v>0</v>
      </c>
    </row>
    <row r="10" spans="1:16">
      <c r="A10" t="s">
        <v>59</v>
      </c>
      <c r="B10" t="s">
        <v>60</v>
      </c>
      <c r="C10" t="s">
        <v>61</v>
      </c>
      <c r="D10" s="1">
        <v>46309.417025462964</v>
      </c>
      <c r="E10" s="1">
        <v>46314.243645833332</v>
      </c>
      <c r="F10" s="1" t="s">
        <v>62</v>
      </c>
      <c r="H10" s="1"/>
      <c r="I10" t="s">
        <v>62</v>
      </c>
      <c r="J10" t="s">
        <v>63</v>
      </c>
      <c r="K10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2</v>
      </c>
      <c r="L10">
        <f ca="1">IF(Bandeja_SCTR[[#This Row],[FechaRecepcion]]="","",NETWORKDAYS(INT(Bandeja_SCTR[[#This Row],[FechaRecepcion]]),IF(Bandeja_SCTR[[#This Row],[FechaCierre]]="",TODAY(),INT(Bandeja_SCTR[[#This Row],[FechaCierre]])),DIAS_NOLAB[Feriados]))</f>
        <v>5</v>
      </c>
      <c r="M10" s="2" t="str">
        <f>IF(OR(Bandeja_SCTR[[#This Row],[FechaRecepcion]]="",Bandeja_SCTR[[#This Row],[FechaCierre]]=""),"",ROUND((Bandeja_SCTR[[#This Row],[FechaCierre]]-Bandeja_SCTR[[#This Row],[FechaRecepcion]])*24,1))</f>
        <v/>
      </c>
      <c r="N10" s="3">
        <f>IF(Bandeja_SCTR[[#This Row],[FechaRecepcion]]="","",DATE(YEAR(Bandeja_SCTR[[#This Row],[FechaRecepcion]]),MONTH(Bandeja_SCTR[[#This Row],[FechaRecepcion]]),1))</f>
        <v>46296</v>
      </c>
      <c r="O10">
        <f>IF(Bandeja_SCTR[[#This Row],[Estado]]="FINALIZADO",1,0)</f>
        <v>0</v>
      </c>
      <c r="P10">
        <f>IF(Bandeja_SCTR[[#This Row],[CasoId]]="",0,IF(Bandeja_SCTR[[#This Row],[Estado]]="FINALIZADO",0,1))</f>
        <v>1</v>
      </c>
    </row>
    <row r="11" spans="1:16" hidden="1">
      <c r="A11" t="s">
        <v>64</v>
      </c>
      <c r="B11" t="s">
        <v>65</v>
      </c>
      <c r="C11" t="s">
        <v>66</v>
      </c>
      <c r="D11" s="1">
        <v>46309.418541666666</v>
      </c>
      <c r="E11" s="1">
        <v>46309.418541666666</v>
      </c>
      <c r="F11" s="1" t="s">
        <v>67</v>
      </c>
      <c r="G11" t="s">
        <v>30</v>
      </c>
      <c r="H11" s="1">
        <v>46309.418541666666</v>
      </c>
      <c r="I11" t="s">
        <v>68</v>
      </c>
      <c r="J11" t="s">
        <v>69</v>
      </c>
      <c r="K11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11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11" s="2">
        <f>IF(OR(Bandeja_SCTR[[#This Row],[FechaRecepcion]]="",Bandeja_SCTR[[#This Row],[FechaCierre]]=""),"",ROUND((Bandeja_SCTR[[#This Row],[FechaCierre]]-Bandeja_SCTR[[#This Row],[FechaRecepcion]])*24,1))</f>
        <v>0</v>
      </c>
      <c r="N11" s="3">
        <f>IF(Bandeja_SCTR[[#This Row],[FechaRecepcion]]="","",DATE(YEAR(Bandeja_SCTR[[#This Row],[FechaRecepcion]]),MONTH(Bandeja_SCTR[[#This Row],[FechaRecepcion]]),1))</f>
        <v>46296</v>
      </c>
      <c r="O11">
        <f>IF(Bandeja_SCTR[[#This Row],[Estado]]="FINALIZADO",1,0)</f>
        <v>1</v>
      </c>
      <c r="P11">
        <f>IF(Bandeja_SCTR[[#This Row],[CasoId]]="",0,IF(Bandeja_SCTR[[#This Row],[Estado]]="FINALIZADO",0,1))</f>
        <v>0</v>
      </c>
    </row>
    <row r="12" spans="1:16" hidden="1">
      <c r="A12" t="s">
        <v>70</v>
      </c>
      <c r="B12" t="s">
        <v>39</v>
      </c>
      <c r="C12" t="s">
        <v>40</v>
      </c>
      <c r="D12" s="1">
        <v>46309.418124999997</v>
      </c>
      <c r="E12" s="1">
        <v>46309.495023148149</v>
      </c>
      <c r="F12" s="1" t="s">
        <v>24</v>
      </c>
      <c r="G12" t="s">
        <v>30</v>
      </c>
      <c r="H12" s="1">
        <v>46309.495023148149</v>
      </c>
      <c r="I12" t="s">
        <v>24</v>
      </c>
      <c r="J12" t="s">
        <v>71</v>
      </c>
      <c r="K12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12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12" s="2">
        <f>IF(OR(Bandeja_SCTR[[#This Row],[FechaRecepcion]]="",Bandeja_SCTR[[#This Row],[FechaCierre]]=""),"",ROUND((Bandeja_SCTR[[#This Row],[FechaCierre]]-Bandeja_SCTR[[#This Row],[FechaRecepcion]])*24,1))</f>
        <v>1.8</v>
      </c>
      <c r="N12" s="3">
        <f>IF(Bandeja_SCTR[[#This Row],[FechaRecepcion]]="","",DATE(YEAR(Bandeja_SCTR[[#This Row],[FechaRecepcion]]),MONTH(Bandeja_SCTR[[#This Row],[FechaRecepcion]]),1))</f>
        <v>46296</v>
      </c>
      <c r="O12">
        <f>IF(Bandeja_SCTR[[#This Row],[Estado]]="FINALIZADO",1,0)</f>
        <v>1</v>
      </c>
      <c r="P12">
        <f>IF(Bandeja_SCTR[[#This Row],[CasoId]]="",0,IF(Bandeja_SCTR[[#This Row],[Estado]]="FINALIZADO",0,1))</f>
        <v>0</v>
      </c>
    </row>
    <row r="13" spans="1:16">
      <c r="A13" t="s">
        <v>72</v>
      </c>
      <c r="B13" t="s">
        <v>73</v>
      </c>
      <c r="C13" t="s">
        <v>74</v>
      </c>
      <c r="D13" s="1">
        <v>46309.419560185182</v>
      </c>
      <c r="E13" s="1">
        <v>46309.419560185182</v>
      </c>
      <c r="F13" s="1" t="s">
        <v>75</v>
      </c>
      <c r="H13" s="1"/>
      <c r="J13" t="s">
        <v>76</v>
      </c>
      <c r="K13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5</v>
      </c>
      <c r="L13">
        <f ca="1">IF(Bandeja_SCTR[[#This Row],[FechaRecepcion]]="","",NETWORKDAYS(INT(Bandeja_SCTR[[#This Row],[FechaRecepcion]]),IF(Bandeja_SCTR[[#This Row],[FechaCierre]]="",TODAY(),INT(Bandeja_SCTR[[#This Row],[FechaCierre]])),DIAS_NOLAB[Feriados]))</f>
        <v>5</v>
      </c>
      <c r="M13" s="2" t="str">
        <f>IF(OR(Bandeja_SCTR[[#This Row],[FechaRecepcion]]="",Bandeja_SCTR[[#This Row],[FechaCierre]]=""),"",ROUND((Bandeja_SCTR[[#This Row],[FechaCierre]]-Bandeja_SCTR[[#This Row],[FechaRecepcion]])*24,1))</f>
        <v/>
      </c>
      <c r="N13" s="3">
        <f>IF(Bandeja_SCTR[[#This Row],[FechaRecepcion]]="","",DATE(YEAR(Bandeja_SCTR[[#This Row],[FechaRecepcion]]),MONTH(Bandeja_SCTR[[#This Row],[FechaRecepcion]]),1))</f>
        <v>46296</v>
      </c>
      <c r="O13">
        <f>IF(Bandeja_SCTR[[#This Row],[Estado]]="FINALIZADO",1,0)</f>
        <v>0</v>
      </c>
      <c r="P13">
        <f>IF(Bandeja_SCTR[[#This Row],[CasoId]]="",0,IF(Bandeja_SCTR[[#This Row],[Estado]]="FINALIZADO",0,1))</f>
        <v>1</v>
      </c>
    </row>
    <row r="14" spans="1:16">
      <c r="A14" t="s">
        <v>77</v>
      </c>
      <c r="B14" t="s">
        <v>78</v>
      </c>
      <c r="C14" t="s">
        <v>79</v>
      </c>
      <c r="D14" s="1">
        <v>46309.423310185186</v>
      </c>
      <c r="E14" s="1">
        <v>46314.767106481479</v>
      </c>
      <c r="F14" s="1" t="s">
        <v>80</v>
      </c>
      <c r="H14" s="1"/>
      <c r="I14" t="s">
        <v>80</v>
      </c>
      <c r="J14" t="s">
        <v>81</v>
      </c>
      <c r="K14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2</v>
      </c>
      <c r="L14">
        <f ca="1">IF(Bandeja_SCTR[[#This Row],[FechaRecepcion]]="","",NETWORKDAYS(INT(Bandeja_SCTR[[#This Row],[FechaRecepcion]]),IF(Bandeja_SCTR[[#This Row],[FechaCierre]]="",TODAY(),INT(Bandeja_SCTR[[#This Row],[FechaCierre]])),DIAS_NOLAB[Feriados]))</f>
        <v>5</v>
      </c>
      <c r="M14" s="2" t="str">
        <f>IF(OR(Bandeja_SCTR[[#This Row],[FechaRecepcion]]="",Bandeja_SCTR[[#This Row],[FechaCierre]]=""),"",ROUND((Bandeja_SCTR[[#This Row],[FechaCierre]]-Bandeja_SCTR[[#This Row],[FechaRecepcion]])*24,1))</f>
        <v/>
      </c>
      <c r="N14" s="3">
        <f>IF(Bandeja_SCTR[[#This Row],[FechaRecepcion]]="","",DATE(YEAR(Bandeja_SCTR[[#This Row],[FechaRecepcion]]),MONTH(Bandeja_SCTR[[#This Row],[FechaRecepcion]]),1))</f>
        <v>46296</v>
      </c>
      <c r="O14">
        <f>IF(Bandeja_SCTR[[#This Row],[Estado]]="FINALIZADO",1,0)</f>
        <v>0</v>
      </c>
      <c r="P14">
        <f>IF(Bandeja_SCTR[[#This Row],[CasoId]]="",0,IF(Bandeja_SCTR[[#This Row],[Estado]]="FINALIZADO",0,1))</f>
        <v>1</v>
      </c>
    </row>
    <row r="15" spans="1:16">
      <c r="A15" t="s">
        <v>82</v>
      </c>
      <c r="B15" t="s">
        <v>83</v>
      </c>
      <c r="C15" t="s">
        <v>84</v>
      </c>
      <c r="D15" s="1">
        <v>46309.42387731481</v>
      </c>
      <c r="E15" s="1">
        <v>46314.486307870371</v>
      </c>
      <c r="F15" s="1" t="s">
        <v>85</v>
      </c>
      <c r="H15" s="1"/>
      <c r="I15" t="s">
        <v>86</v>
      </c>
      <c r="J15" t="s">
        <v>87</v>
      </c>
      <c r="K15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2</v>
      </c>
      <c r="L15">
        <f ca="1">IF(Bandeja_SCTR[[#This Row],[FechaRecepcion]]="","",NETWORKDAYS(INT(Bandeja_SCTR[[#This Row],[FechaRecepcion]]),IF(Bandeja_SCTR[[#This Row],[FechaCierre]]="",TODAY(),INT(Bandeja_SCTR[[#This Row],[FechaCierre]])),DIAS_NOLAB[Feriados]))</f>
        <v>5</v>
      </c>
      <c r="M15" s="2" t="str">
        <f>IF(OR(Bandeja_SCTR[[#This Row],[FechaRecepcion]]="",Bandeja_SCTR[[#This Row],[FechaCierre]]=""),"",ROUND((Bandeja_SCTR[[#This Row],[FechaCierre]]-Bandeja_SCTR[[#This Row],[FechaRecepcion]])*24,1))</f>
        <v/>
      </c>
      <c r="N15" s="3">
        <f>IF(Bandeja_SCTR[[#This Row],[FechaRecepcion]]="","",DATE(YEAR(Bandeja_SCTR[[#This Row],[FechaRecepcion]]),MONTH(Bandeja_SCTR[[#This Row],[FechaRecepcion]]),1))</f>
        <v>46296</v>
      </c>
      <c r="O15">
        <f>IF(Bandeja_SCTR[[#This Row],[Estado]]="FINALIZADO",1,0)</f>
        <v>0</v>
      </c>
      <c r="P15">
        <f>IF(Bandeja_SCTR[[#This Row],[CasoId]]="",0,IF(Bandeja_SCTR[[#This Row],[Estado]]="FINALIZADO",0,1))</f>
        <v>1</v>
      </c>
    </row>
    <row r="16" spans="1:16" hidden="1">
      <c r="A16" t="s">
        <v>88</v>
      </c>
      <c r="B16" t="s">
        <v>89</v>
      </c>
      <c r="C16" t="s">
        <v>90</v>
      </c>
      <c r="D16" s="1">
        <v>46309.426921296297</v>
      </c>
      <c r="E16" s="1">
        <v>46309.426921296297</v>
      </c>
      <c r="F16" s="1" t="s">
        <v>91</v>
      </c>
      <c r="G16" t="s">
        <v>30</v>
      </c>
      <c r="H16" s="1">
        <v>46309.426921296297</v>
      </c>
      <c r="I16" t="s">
        <v>91</v>
      </c>
      <c r="J16" t="s">
        <v>92</v>
      </c>
      <c r="K16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16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16" s="2">
        <f>IF(OR(Bandeja_SCTR[[#This Row],[FechaRecepcion]]="",Bandeja_SCTR[[#This Row],[FechaCierre]]=""),"",ROUND((Bandeja_SCTR[[#This Row],[FechaCierre]]-Bandeja_SCTR[[#This Row],[FechaRecepcion]])*24,1))</f>
        <v>0</v>
      </c>
      <c r="N16" s="3">
        <f>IF(Bandeja_SCTR[[#This Row],[FechaRecepcion]]="","",DATE(YEAR(Bandeja_SCTR[[#This Row],[FechaRecepcion]]),MONTH(Bandeja_SCTR[[#This Row],[FechaRecepcion]]),1))</f>
        <v>46296</v>
      </c>
      <c r="O16">
        <f>IF(Bandeja_SCTR[[#This Row],[Estado]]="FINALIZADO",1,0)</f>
        <v>1</v>
      </c>
      <c r="P16">
        <f>IF(Bandeja_SCTR[[#This Row],[CasoId]]="",0,IF(Bandeja_SCTR[[#This Row],[Estado]]="FINALIZADO",0,1))</f>
        <v>0</v>
      </c>
    </row>
    <row r="17" spans="1:16" hidden="1">
      <c r="A17" t="s">
        <v>93</v>
      </c>
      <c r="B17" t="s">
        <v>94</v>
      </c>
      <c r="C17" t="s">
        <v>95</v>
      </c>
      <c r="D17" s="1">
        <v>46309.427199074074</v>
      </c>
      <c r="E17" s="1">
        <v>46315.603912037041</v>
      </c>
      <c r="F17" s="1" t="s">
        <v>96</v>
      </c>
      <c r="G17" t="s">
        <v>30</v>
      </c>
      <c r="H17" s="1">
        <v>46315.603912037041</v>
      </c>
      <c r="I17" t="s">
        <v>97</v>
      </c>
      <c r="J17" t="s">
        <v>98</v>
      </c>
      <c r="K17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17">
        <f ca="1">IF(Bandeja_SCTR[[#This Row],[FechaRecepcion]]="","",NETWORKDAYS(INT(Bandeja_SCTR[[#This Row],[FechaRecepcion]]),IF(Bandeja_SCTR[[#This Row],[FechaCierre]]="",TODAY(),INT(Bandeja_SCTR[[#This Row],[FechaCierre]])),DIAS_NOLAB[Feriados]))</f>
        <v>5</v>
      </c>
      <c r="M17" s="2">
        <f>IF(OR(Bandeja_SCTR[[#This Row],[FechaRecepcion]]="",Bandeja_SCTR[[#This Row],[FechaCierre]]=""),"",ROUND((Bandeja_SCTR[[#This Row],[FechaCierre]]-Bandeja_SCTR[[#This Row],[FechaRecepcion]])*24,1))</f>
        <v>148.19999999999999</v>
      </c>
      <c r="N17" s="3">
        <f>IF(Bandeja_SCTR[[#This Row],[FechaRecepcion]]="","",DATE(YEAR(Bandeja_SCTR[[#This Row],[FechaRecepcion]]),MONTH(Bandeja_SCTR[[#This Row],[FechaRecepcion]]),1))</f>
        <v>46296</v>
      </c>
      <c r="O17">
        <f>IF(Bandeja_SCTR[[#This Row],[Estado]]="FINALIZADO",1,0)</f>
        <v>1</v>
      </c>
      <c r="P17">
        <f>IF(Bandeja_SCTR[[#This Row],[CasoId]]="",0,IF(Bandeja_SCTR[[#This Row],[Estado]]="FINALIZADO",0,1))</f>
        <v>0</v>
      </c>
    </row>
    <row r="18" spans="1:16" hidden="1">
      <c r="A18" t="s">
        <v>99</v>
      </c>
      <c r="B18" t="s">
        <v>100</v>
      </c>
      <c r="C18" t="s">
        <v>101</v>
      </c>
      <c r="D18" s="1">
        <v>46309.427407407406</v>
      </c>
      <c r="E18" s="1">
        <v>46309.427407407406</v>
      </c>
      <c r="F18" s="1" t="s">
        <v>91</v>
      </c>
      <c r="G18" t="s">
        <v>30</v>
      </c>
      <c r="H18" s="1">
        <v>46309.427407407406</v>
      </c>
      <c r="I18" t="s">
        <v>91</v>
      </c>
      <c r="J18" t="s">
        <v>92</v>
      </c>
      <c r="K18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18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18" s="2">
        <f>IF(OR(Bandeja_SCTR[[#This Row],[FechaRecepcion]]="",Bandeja_SCTR[[#This Row],[FechaCierre]]=""),"",ROUND((Bandeja_SCTR[[#This Row],[FechaCierre]]-Bandeja_SCTR[[#This Row],[FechaRecepcion]])*24,1))</f>
        <v>0</v>
      </c>
      <c r="N18" s="3">
        <f>IF(Bandeja_SCTR[[#This Row],[FechaRecepcion]]="","",DATE(YEAR(Bandeja_SCTR[[#This Row],[FechaRecepcion]]),MONTH(Bandeja_SCTR[[#This Row],[FechaRecepcion]]),1))</f>
        <v>46296</v>
      </c>
      <c r="O18">
        <f>IF(Bandeja_SCTR[[#This Row],[Estado]]="FINALIZADO",1,0)</f>
        <v>1</v>
      </c>
      <c r="P18">
        <f>IF(Bandeja_SCTR[[#This Row],[CasoId]]="",0,IF(Bandeja_SCTR[[#This Row],[Estado]]="FINALIZADO",0,1))</f>
        <v>0</v>
      </c>
    </row>
    <row r="19" spans="1:16" hidden="1">
      <c r="A19" t="s">
        <v>102</v>
      </c>
      <c r="B19" t="s">
        <v>103</v>
      </c>
      <c r="C19" t="s">
        <v>104</v>
      </c>
      <c r="D19" s="1">
        <v>46309.428379629629</v>
      </c>
      <c r="E19" s="1">
        <v>46310.476956018523</v>
      </c>
      <c r="F19" s="1" t="s">
        <v>96</v>
      </c>
      <c r="G19" t="s">
        <v>30</v>
      </c>
      <c r="H19" s="1">
        <v>46310.476956018523</v>
      </c>
      <c r="I19" t="s">
        <v>97</v>
      </c>
      <c r="J19" t="s">
        <v>105</v>
      </c>
      <c r="K19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19">
        <f ca="1">IF(Bandeja_SCTR[[#This Row],[FechaRecepcion]]="","",NETWORKDAYS(INT(Bandeja_SCTR[[#This Row],[FechaRecepcion]]),IF(Bandeja_SCTR[[#This Row],[FechaCierre]]="",TODAY(),INT(Bandeja_SCTR[[#This Row],[FechaCierre]])),DIAS_NOLAB[Feriados]))</f>
        <v>2</v>
      </c>
      <c r="M19" s="2">
        <f>IF(OR(Bandeja_SCTR[[#This Row],[FechaRecepcion]]="",Bandeja_SCTR[[#This Row],[FechaCierre]]=""),"",ROUND((Bandeja_SCTR[[#This Row],[FechaCierre]]-Bandeja_SCTR[[#This Row],[FechaRecepcion]])*24,1))</f>
        <v>25.2</v>
      </c>
      <c r="N19" s="3">
        <f>IF(Bandeja_SCTR[[#This Row],[FechaRecepcion]]="","",DATE(YEAR(Bandeja_SCTR[[#This Row],[FechaRecepcion]]),MONTH(Bandeja_SCTR[[#This Row],[FechaRecepcion]]),1))</f>
        <v>46296</v>
      </c>
      <c r="O19">
        <f>IF(Bandeja_SCTR[[#This Row],[Estado]]="FINALIZADO",1,0)</f>
        <v>1</v>
      </c>
      <c r="P19">
        <f>IF(Bandeja_SCTR[[#This Row],[CasoId]]="",0,IF(Bandeja_SCTR[[#This Row],[Estado]]="FINALIZADO",0,1))</f>
        <v>0</v>
      </c>
    </row>
    <row r="20" spans="1:16" hidden="1">
      <c r="A20" t="s">
        <v>106</v>
      </c>
      <c r="B20" t="s">
        <v>107</v>
      </c>
      <c r="C20" t="s">
        <v>108</v>
      </c>
      <c r="D20" s="1">
        <v>46309.435023148151</v>
      </c>
      <c r="E20" s="1">
        <v>46309.653946759259</v>
      </c>
      <c r="F20" s="1" t="s">
        <v>24</v>
      </c>
      <c r="G20" t="s">
        <v>30</v>
      </c>
      <c r="H20" s="1">
        <v>46309.650763888887</v>
      </c>
      <c r="I20" t="s">
        <v>24</v>
      </c>
      <c r="J20" t="s">
        <v>109</v>
      </c>
      <c r="K20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20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20" s="2">
        <f>IF(OR(Bandeja_SCTR[[#This Row],[FechaRecepcion]]="",Bandeja_SCTR[[#This Row],[FechaCierre]]=""),"",ROUND((Bandeja_SCTR[[#This Row],[FechaCierre]]-Bandeja_SCTR[[#This Row],[FechaRecepcion]])*24,1))</f>
        <v>5.2</v>
      </c>
      <c r="N20" s="3">
        <f>IF(Bandeja_SCTR[[#This Row],[FechaRecepcion]]="","",DATE(YEAR(Bandeja_SCTR[[#This Row],[FechaRecepcion]]),MONTH(Bandeja_SCTR[[#This Row],[FechaRecepcion]]),1))</f>
        <v>46296</v>
      </c>
      <c r="O20">
        <f>IF(Bandeja_SCTR[[#This Row],[Estado]]="FINALIZADO",1,0)</f>
        <v>1</v>
      </c>
      <c r="P20">
        <f>IF(Bandeja_SCTR[[#This Row],[CasoId]]="",0,IF(Bandeja_SCTR[[#This Row],[Estado]]="FINALIZADO",0,1))</f>
        <v>0</v>
      </c>
    </row>
    <row r="21" spans="1:16">
      <c r="A21" t="s">
        <v>110</v>
      </c>
      <c r="B21" t="s">
        <v>111</v>
      </c>
      <c r="C21" t="s">
        <v>112</v>
      </c>
      <c r="D21" s="1">
        <v>46309.435648148152</v>
      </c>
      <c r="E21" s="1">
        <v>46309.435648148152</v>
      </c>
      <c r="F21" s="1" t="s">
        <v>113</v>
      </c>
      <c r="H21" s="1"/>
      <c r="J21" t="s">
        <v>114</v>
      </c>
      <c r="K21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5</v>
      </c>
      <c r="L21">
        <f ca="1">IF(Bandeja_SCTR[[#This Row],[FechaRecepcion]]="","",NETWORKDAYS(INT(Bandeja_SCTR[[#This Row],[FechaRecepcion]]),IF(Bandeja_SCTR[[#This Row],[FechaCierre]]="",TODAY(),INT(Bandeja_SCTR[[#This Row],[FechaCierre]])),DIAS_NOLAB[Feriados]))</f>
        <v>5</v>
      </c>
      <c r="M21" s="2" t="str">
        <f>IF(OR(Bandeja_SCTR[[#This Row],[FechaRecepcion]]="",Bandeja_SCTR[[#This Row],[FechaCierre]]=""),"",ROUND((Bandeja_SCTR[[#This Row],[FechaCierre]]-Bandeja_SCTR[[#This Row],[FechaRecepcion]])*24,1))</f>
        <v/>
      </c>
      <c r="N21" s="3">
        <f>IF(Bandeja_SCTR[[#This Row],[FechaRecepcion]]="","",DATE(YEAR(Bandeja_SCTR[[#This Row],[FechaRecepcion]]),MONTH(Bandeja_SCTR[[#This Row],[FechaRecepcion]]),1))</f>
        <v>46296</v>
      </c>
      <c r="O21">
        <f>IF(Bandeja_SCTR[[#This Row],[Estado]]="FINALIZADO",1,0)</f>
        <v>0</v>
      </c>
      <c r="P21">
        <f>IF(Bandeja_SCTR[[#This Row],[CasoId]]="",0,IF(Bandeja_SCTR[[#This Row],[Estado]]="FINALIZADO",0,1))</f>
        <v>1</v>
      </c>
    </row>
    <row r="22" spans="1:16">
      <c r="A22" t="s">
        <v>115</v>
      </c>
      <c r="B22" t="s">
        <v>116</v>
      </c>
      <c r="C22" t="s">
        <v>117</v>
      </c>
      <c r="D22" s="1">
        <v>46309.435798611114</v>
      </c>
      <c r="E22" s="1">
        <v>46309.435798611114</v>
      </c>
      <c r="F22" s="1" t="s">
        <v>118</v>
      </c>
      <c r="H22" s="1"/>
      <c r="J22" t="s">
        <v>119</v>
      </c>
      <c r="K22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5</v>
      </c>
      <c r="L22">
        <f ca="1">IF(Bandeja_SCTR[[#This Row],[FechaRecepcion]]="","",NETWORKDAYS(INT(Bandeja_SCTR[[#This Row],[FechaRecepcion]]),IF(Bandeja_SCTR[[#This Row],[FechaCierre]]="",TODAY(),INT(Bandeja_SCTR[[#This Row],[FechaCierre]])),DIAS_NOLAB[Feriados]))</f>
        <v>5</v>
      </c>
      <c r="M22" s="2" t="str">
        <f>IF(OR(Bandeja_SCTR[[#This Row],[FechaRecepcion]]="",Bandeja_SCTR[[#This Row],[FechaCierre]]=""),"",ROUND((Bandeja_SCTR[[#This Row],[FechaCierre]]-Bandeja_SCTR[[#This Row],[FechaRecepcion]])*24,1))</f>
        <v/>
      </c>
      <c r="N22" s="3">
        <f>IF(Bandeja_SCTR[[#This Row],[FechaRecepcion]]="","",DATE(YEAR(Bandeja_SCTR[[#This Row],[FechaRecepcion]]),MONTH(Bandeja_SCTR[[#This Row],[FechaRecepcion]]),1))</f>
        <v>46296</v>
      </c>
      <c r="O22">
        <f>IF(Bandeja_SCTR[[#This Row],[Estado]]="FINALIZADO",1,0)</f>
        <v>0</v>
      </c>
      <c r="P22">
        <f>IF(Bandeja_SCTR[[#This Row],[CasoId]]="",0,IF(Bandeja_SCTR[[#This Row],[Estado]]="FINALIZADO",0,1))</f>
        <v>1</v>
      </c>
    </row>
    <row r="23" spans="1:16">
      <c r="A23" t="s">
        <v>120</v>
      </c>
      <c r="B23" t="s">
        <v>121</v>
      </c>
      <c r="C23" t="s">
        <v>122</v>
      </c>
      <c r="D23" s="1">
        <v>46309.438726851848</v>
      </c>
      <c r="E23" s="1">
        <v>46309.438726851848</v>
      </c>
      <c r="F23" s="1" t="s">
        <v>123</v>
      </c>
      <c r="H23" s="1"/>
      <c r="J23" t="s">
        <v>124</v>
      </c>
      <c r="K23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5</v>
      </c>
      <c r="L23">
        <f ca="1">IF(Bandeja_SCTR[[#This Row],[FechaRecepcion]]="","",NETWORKDAYS(INT(Bandeja_SCTR[[#This Row],[FechaRecepcion]]),IF(Bandeja_SCTR[[#This Row],[FechaCierre]]="",TODAY(),INT(Bandeja_SCTR[[#This Row],[FechaCierre]])),DIAS_NOLAB[Feriados]))</f>
        <v>5</v>
      </c>
      <c r="M23" s="2" t="str">
        <f>IF(OR(Bandeja_SCTR[[#This Row],[FechaRecepcion]]="",Bandeja_SCTR[[#This Row],[FechaCierre]]=""),"",ROUND((Bandeja_SCTR[[#This Row],[FechaCierre]]-Bandeja_SCTR[[#This Row],[FechaRecepcion]])*24,1))</f>
        <v/>
      </c>
      <c r="N23" s="3">
        <f>IF(Bandeja_SCTR[[#This Row],[FechaRecepcion]]="","",DATE(YEAR(Bandeja_SCTR[[#This Row],[FechaRecepcion]]),MONTH(Bandeja_SCTR[[#This Row],[FechaRecepcion]]),1))</f>
        <v>46296</v>
      </c>
      <c r="O23">
        <f>IF(Bandeja_SCTR[[#This Row],[Estado]]="FINALIZADO",1,0)</f>
        <v>0</v>
      </c>
      <c r="P23">
        <f>IF(Bandeja_SCTR[[#This Row],[CasoId]]="",0,IF(Bandeja_SCTR[[#This Row],[Estado]]="FINALIZADO",0,1))</f>
        <v>1</v>
      </c>
    </row>
    <row r="24" spans="1:16">
      <c r="A24" t="s">
        <v>125</v>
      </c>
      <c r="B24" t="s">
        <v>126</v>
      </c>
      <c r="C24" t="s">
        <v>127</v>
      </c>
      <c r="D24" s="1">
        <v>46309.441712962958</v>
      </c>
      <c r="E24" s="1">
        <v>46309.441712962958</v>
      </c>
      <c r="F24" s="1" t="s">
        <v>128</v>
      </c>
      <c r="H24" s="1"/>
      <c r="J24" t="s">
        <v>129</v>
      </c>
      <c r="K24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5</v>
      </c>
      <c r="L24">
        <f ca="1">IF(Bandeja_SCTR[[#This Row],[FechaRecepcion]]="","",NETWORKDAYS(INT(Bandeja_SCTR[[#This Row],[FechaRecepcion]]),IF(Bandeja_SCTR[[#This Row],[FechaCierre]]="",TODAY(),INT(Bandeja_SCTR[[#This Row],[FechaCierre]])),DIAS_NOLAB[Feriados]))</f>
        <v>5</v>
      </c>
      <c r="M24" s="2" t="str">
        <f>IF(OR(Bandeja_SCTR[[#This Row],[FechaRecepcion]]="",Bandeja_SCTR[[#This Row],[FechaCierre]]=""),"",ROUND((Bandeja_SCTR[[#This Row],[FechaCierre]]-Bandeja_SCTR[[#This Row],[FechaRecepcion]])*24,1))</f>
        <v/>
      </c>
      <c r="N24" s="3">
        <f>IF(Bandeja_SCTR[[#This Row],[FechaRecepcion]]="","",DATE(YEAR(Bandeja_SCTR[[#This Row],[FechaRecepcion]]),MONTH(Bandeja_SCTR[[#This Row],[FechaRecepcion]]),1))</f>
        <v>46296</v>
      </c>
      <c r="O24">
        <f>IF(Bandeja_SCTR[[#This Row],[Estado]]="FINALIZADO",1,0)</f>
        <v>0</v>
      </c>
      <c r="P24">
        <f>IF(Bandeja_SCTR[[#This Row],[CasoId]]="",0,IF(Bandeja_SCTR[[#This Row],[Estado]]="FINALIZADO",0,1))</f>
        <v>1</v>
      </c>
    </row>
    <row r="25" spans="1:16">
      <c r="A25" t="s">
        <v>130</v>
      </c>
      <c r="B25" t="s">
        <v>131</v>
      </c>
      <c r="C25" t="s">
        <v>132</v>
      </c>
      <c r="D25" s="1">
        <v>46309.444421296299</v>
      </c>
      <c r="E25" s="1">
        <v>46311.985185185185</v>
      </c>
      <c r="F25" s="1" t="s">
        <v>133</v>
      </c>
      <c r="H25" s="1"/>
      <c r="I25" t="s">
        <v>133</v>
      </c>
      <c r="J25" t="s">
        <v>134</v>
      </c>
      <c r="K25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3</v>
      </c>
      <c r="L25">
        <f ca="1">IF(Bandeja_SCTR[[#This Row],[FechaRecepcion]]="","",NETWORKDAYS(INT(Bandeja_SCTR[[#This Row],[FechaRecepcion]]),IF(Bandeja_SCTR[[#This Row],[FechaCierre]]="",TODAY(),INT(Bandeja_SCTR[[#This Row],[FechaCierre]])),DIAS_NOLAB[Feriados]))</f>
        <v>5</v>
      </c>
      <c r="M25" s="2" t="str">
        <f>IF(OR(Bandeja_SCTR[[#This Row],[FechaRecepcion]]="",Bandeja_SCTR[[#This Row],[FechaCierre]]=""),"",ROUND((Bandeja_SCTR[[#This Row],[FechaCierre]]-Bandeja_SCTR[[#This Row],[FechaRecepcion]])*24,1))</f>
        <v/>
      </c>
      <c r="N25" s="3">
        <f>IF(Bandeja_SCTR[[#This Row],[FechaRecepcion]]="","",DATE(YEAR(Bandeja_SCTR[[#This Row],[FechaRecepcion]]),MONTH(Bandeja_SCTR[[#This Row],[FechaRecepcion]]),1))</f>
        <v>46296</v>
      </c>
      <c r="O25">
        <f>IF(Bandeja_SCTR[[#This Row],[Estado]]="FINALIZADO",1,0)</f>
        <v>0</v>
      </c>
      <c r="P25">
        <f>IF(Bandeja_SCTR[[#This Row],[CasoId]]="",0,IF(Bandeja_SCTR[[#This Row],[Estado]]="FINALIZADO",0,1))</f>
        <v>1</v>
      </c>
    </row>
    <row r="26" spans="1:16">
      <c r="A26" t="s">
        <v>135</v>
      </c>
      <c r="B26" t="s">
        <v>136</v>
      </c>
      <c r="C26" t="s">
        <v>137</v>
      </c>
      <c r="D26" s="1">
        <v>46309.444074074076</v>
      </c>
      <c r="E26" s="1">
        <v>46311.507280092592</v>
      </c>
      <c r="F26" s="1" t="s">
        <v>138</v>
      </c>
      <c r="H26" s="1"/>
      <c r="I26" t="s">
        <v>139</v>
      </c>
      <c r="J26" t="s">
        <v>140</v>
      </c>
      <c r="K26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3</v>
      </c>
      <c r="L26">
        <f ca="1">IF(Bandeja_SCTR[[#This Row],[FechaRecepcion]]="","",NETWORKDAYS(INT(Bandeja_SCTR[[#This Row],[FechaRecepcion]]),IF(Bandeja_SCTR[[#This Row],[FechaCierre]]="",TODAY(),INT(Bandeja_SCTR[[#This Row],[FechaCierre]])),DIAS_NOLAB[Feriados]))</f>
        <v>5</v>
      </c>
      <c r="M26" s="2" t="str">
        <f>IF(OR(Bandeja_SCTR[[#This Row],[FechaRecepcion]]="",Bandeja_SCTR[[#This Row],[FechaCierre]]=""),"",ROUND((Bandeja_SCTR[[#This Row],[FechaCierre]]-Bandeja_SCTR[[#This Row],[FechaRecepcion]])*24,1))</f>
        <v/>
      </c>
      <c r="N26" s="3">
        <f>IF(Bandeja_SCTR[[#This Row],[FechaRecepcion]]="","",DATE(YEAR(Bandeja_SCTR[[#This Row],[FechaRecepcion]]),MONTH(Bandeja_SCTR[[#This Row],[FechaRecepcion]]),1))</f>
        <v>46296</v>
      </c>
      <c r="O26">
        <f>IF(Bandeja_SCTR[[#This Row],[Estado]]="FINALIZADO",1,0)</f>
        <v>0</v>
      </c>
      <c r="P26">
        <f>IF(Bandeja_SCTR[[#This Row],[CasoId]]="",0,IF(Bandeja_SCTR[[#This Row],[Estado]]="FINALIZADO",0,1))</f>
        <v>1</v>
      </c>
    </row>
    <row r="27" spans="1:16" hidden="1">
      <c r="A27" t="s">
        <v>141</v>
      </c>
      <c r="B27" t="s">
        <v>142</v>
      </c>
      <c r="C27" t="s">
        <v>143</v>
      </c>
      <c r="D27" s="1">
        <v>46309.444120370375</v>
      </c>
      <c r="E27" s="1">
        <v>46309.468900462962</v>
      </c>
      <c r="F27" s="1" t="s">
        <v>144</v>
      </c>
      <c r="G27" t="s">
        <v>30</v>
      </c>
      <c r="H27" s="1">
        <v>46309.454155092593</v>
      </c>
      <c r="I27" t="s">
        <v>145</v>
      </c>
      <c r="J27" t="s">
        <v>146</v>
      </c>
      <c r="K27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27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27" s="2">
        <f>IF(OR(Bandeja_SCTR[[#This Row],[FechaRecepcion]]="",Bandeja_SCTR[[#This Row],[FechaCierre]]=""),"",ROUND((Bandeja_SCTR[[#This Row],[FechaCierre]]-Bandeja_SCTR[[#This Row],[FechaRecepcion]])*24,1))</f>
        <v>0.2</v>
      </c>
      <c r="N27" s="3">
        <f>IF(Bandeja_SCTR[[#This Row],[FechaRecepcion]]="","",DATE(YEAR(Bandeja_SCTR[[#This Row],[FechaRecepcion]]),MONTH(Bandeja_SCTR[[#This Row],[FechaRecepcion]]),1))</f>
        <v>46296</v>
      </c>
      <c r="O27">
        <f>IF(Bandeja_SCTR[[#This Row],[Estado]]="FINALIZADO",1,0)</f>
        <v>1</v>
      </c>
      <c r="P27">
        <f>IF(Bandeja_SCTR[[#This Row],[CasoId]]="",0,IF(Bandeja_SCTR[[#This Row],[Estado]]="FINALIZADO",0,1))</f>
        <v>0</v>
      </c>
    </row>
    <row r="28" spans="1:16" hidden="1">
      <c r="A28" t="s">
        <v>147</v>
      </c>
      <c r="B28" t="s">
        <v>148</v>
      </c>
      <c r="C28" t="s">
        <v>149</v>
      </c>
      <c r="D28" s="1">
        <v>46309.444236111114</v>
      </c>
      <c r="E28" s="1">
        <v>46309.490023148144</v>
      </c>
      <c r="F28" s="1" t="s">
        <v>150</v>
      </c>
      <c r="G28" t="s">
        <v>30</v>
      </c>
      <c r="H28" s="1">
        <v>46309.490023148144</v>
      </c>
      <c r="I28" t="s">
        <v>150</v>
      </c>
      <c r="J28" t="s">
        <v>151</v>
      </c>
      <c r="K28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28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28" s="2">
        <f>IF(OR(Bandeja_SCTR[[#This Row],[FechaRecepcion]]="",Bandeja_SCTR[[#This Row],[FechaCierre]]=""),"",ROUND((Bandeja_SCTR[[#This Row],[FechaCierre]]-Bandeja_SCTR[[#This Row],[FechaRecepcion]])*24,1))</f>
        <v>1.1000000000000001</v>
      </c>
      <c r="N28" s="3">
        <f>IF(Bandeja_SCTR[[#This Row],[FechaRecepcion]]="","",DATE(YEAR(Bandeja_SCTR[[#This Row],[FechaRecepcion]]),MONTH(Bandeja_SCTR[[#This Row],[FechaRecepcion]]),1))</f>
        <v>46296</v>
      </c>
      <c r="O28">
        <f>IF(Bandeja_SCTR[[#This Row],[Estado]]="FINALIZADO",1,0)</f>
        <v>1</v>
      </c>
      <c r="P28">
        <f>IF(Bandeja_SCTR[[#This Row],[CasoId]]="",0,IF(Bandeja_SCTR[[#This Row],[Estado]]="FINALIZADO",0,1))</f>
        <v>0</v>
      </c>
    </row>
    <row r="29" spans="1:16">
      <c r="A29" t="s">
        <v>152</v>
      </c>
      <c r="B29" t="s">
        <v>153</v>
      </c>
      <c r="C29" t="s">
        <v>154</v>
      </c>
      <c r="D29" s="1">
        <v>46309.444907407407</v>
      </c>
      <c r="E29" s="1">
        <v>46311.989131944443</v>
      </c>
      <c r="F29" s="1" t="s">
        <v>133</v>
      </c>
      <c r="H29" s="1"/>
      <c r="I29" t="s">
        <v>133</v>
      </c>
      <c r="J29" t="s">
        <v>155</v>
      </c>
      <c r="K29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3</v>
      </c>
      <c r="L29">
        <f ca="1">IF(Bandeja_SCTR[[#This Row],[FechaRecepcion]]="","",NETWORKDAYS(INT(Bandeja_SCTR[[#This Row],[FechaRecepcion]]),IF(Bandeja_SCTR[[#This Row],[FechaCierre]]="",TODAY(),INT(Bandeja_SCTR[[#This Row],[FechaCierre]])),DIAS_NOLAB[Feriados]))</f>
        <v>5</v>
      </c>
      <c r="M29" s="2" t="str">
        <f>IF(OR(Bandeja_SCTR[[#This Row],[FechaRecepcion]]="",Bandeja_SCTR[[#This Row],[FechaCierre]]=""),"",ROUND((Bandeja_SCTR[[#This Row],[FechaCierre]]-Bandeja_SCTR[[#This Row],[FechaRecepcion]])*24,1))</f>
        <v/>
      </c>
      <c r="N29" s="3">
        <f>IF(Bandeja_SCTR[[#This Row],[FechaRecepcion]]="","",DATE(YEAR(Bandeja_SCTR[[#This Row],[FechaRecepcion]]),MONTH(Bandeja_SCTR[[#This Row],[FechaRecepcion]]),1))</f>
        <v>46296</v>
      </c>
      <c r="O29">
        <f>IF(Bandeja_SCTR[[#This Row],[Estado]]="FINALIZADO",1,0)</f>
        <v>0</v>
      </c>
      <c r="P29">
        <f>IF(Bandeja_SCTR[[#This Row],[CasoId]]="",0,IF(Bandeja_SCTR[[#This Row],[Estado]]="FINALIZADO",0,1))</f>
        <v>1</v>
      </c>
    </row>
    <row r="30" spans="1:16">
      <c r="A30" t="s">
        <v>156</v>
      </c>
      <c r="B30" t="s">
        <v>157</v>
      </c>
      <c r="C30" t="s">
        <v>158</v>
      </c>
      <c r="D30" s="1">
        <v>46309.446296296301</v>
      </c>
      <c r="E30" s="1">
        <v>46309.446296296301</v>
      </c>
      <c r="F30" s="1" t="s">
        <v>159</v>
      </c>
      <c r="H30" s="1"/>
      <c r="J30" t="s">
        <v>160</v>
      </c>
      <c r="K30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5</v>
      </c>
      <c r="L30">
        <f ca="1">IF(Bandeja_SCTR[[#This Row],[FechaRecepcion]]="","",NETWORKDAYS(INT(Bandeja_SCTR[[#This Row],[FechaRecepcion]]),IF(Bandeja_SCTR[[#This Row],[FechaCierre]]="",TODAY(),INT(Bandeja_SCTR[[#This Row],[FechaCierre]])),DIAS_NOLAB[Feriados]))</f>
        <v>5</v>
      </c>
      <c r="M30" s="2" t="str">
        <f>IF(OR(Bandeja_SCTR[[#This Row],[FechaRecepcion]]="",Bandeja_SCTR[[#This Row],[FechaCierre]]=""),"",ROUND((Bandeja_SCTR[[#This Row],[FechaCierre]]-Bandeja_SCTR[[#This Row],[FechaRecepcion]])*24,1))</f>
        <v/>
      </c>
      <c r="N30" s="3">
        <f>IF(Bandeja_SCTR[[#This Row],[FechaRecepcion]]="","",DATE(YEAR(Bandeja_SCTR[[#This Row],[FechaRecepcion]]),MONTH(Bandeja_SCTR[[#This Row],[FechaRecepcion]]),1))</f>
        <v>46296</v>
      </c>
      <c r="O30">
        <f>IF(Bandeja_SCTR[[#This Row],[Estado]]="FINALIZADO",1,0)</f>
        <v>0</v>
      </c>
      <c r="P30">
        <f>IF(Bandeja_SCTR[[#This Row],[CasoId]]="",0,IF(Bandeja_SCTR[[#This Row],[Estado]]="FINALIZADO",0,1))</f>
        <v>1</v>
      </c>
    </row>
    <row r="31" spans="1:16">
      <c r="A31" t="s">
        <v>161</v>
      </c>
      <c r="B31" t="s">
        <v>162</v>
      </c>
      <c r="C31" t="s">
        <v>163</v>
      </c>
      <c r="D31" s="1">
        <v>46309.450532407413</v>
      </c>
      <c r="E31" s="1">
        <v>46309.450532407413</v>
      </c>
      <c r="F31" s="1" t="s">
        <v>164</v>
      </c>
      <c r="H31" s="1"/>
      <c r="J31" t="s">
        <v>165</v>
      </c>
      <c r="K31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5</v>
      </c>
      <c r="L31">
        <f ca="1">IF(Bandeja_SCTR[[#This Row],[FechaRecepcion]]="","",NETWORKDAYS(INT(Bandeja_SCTR[[#This Row],[FechaRecepcion]]),IF(Bandeja_SCTR[[#This Row],[FechaCierre]]="",TODAY(),INT(Bandeja_SCTR[[#This Row],[FechaCierre]])),DIAS_NOLAB[Feriados]))</f>
        <v>5</v>
      </c>
      <c r="M31" s="2" t="str">
        <f>IF(OR(Bandeja_SCTR[[#This Row],[FechaRecepcion]]="",Bandeja_SCTR[[#This Row],[FechaCierre]]=""),"",ROUND((Bandeja_SCTR[[#This Row],[FechaCierre]]-Bandeja_SCTR[[#This Row],[FechaRecepcion]])*24,1))</f>
        <v/>
      </c>
      <c r="N31" s="3">
        <f>IF(Bandeja_SCTR[[#This Row],[FechaRecepcion]]="","",DATE(YEAR(Bandeja_SCTR[[#This Row],[FechaRecepcion]]),MONTH(Bandeja_SCTR[[#This Row],[FechaRecepcion]]),1))</f>
        <v>46296</v>
      </c>
      <c r="O31">
        <f>IF(Bandeja_SCTR[[#This Row],[Estado]]="FINALIZADO",1,0)</f>
        <v>0</v>
      </c>
      <c r="P31">
        <f>IF(Bandeja_SCTR[[#This Row],[CasoId]]="",0,IF(Bandeja_SCTR[[#This Row],[Estado]]="FINALIZADO",0,1))</f>
        <v>1</v>
      </c>
    </row>
    <row r="32" spans="1:16" hidden="1">
      <c r="A32" t="s">
        <v>166</v>
      </c>
      <c r="B32" t="s">
        <v>167</v>
      </c>
      <c r="C32" t="s">
        <v>168</v>
      </c>
      <c r="D32" s="1">
        <v>46309.450335648144</v>
      </c>
      <c r="E32" s="1">
        <v>46309.523379629631</v>
      </c>
      <c r="F32" s="1" t="s">
        <v>45</v>
      </c>
      <c r="G32" t="s">
        <v>30</v>
      </c>
      <c r="H32" s="1">
        <v>46309.523379629631</v>
      </c>
      <c r="I32" t="s">
        <v>46</v>
      </c>
      <c r="J32" t="s">
        <v>169</v>
      </c>
      <c r="K32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32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32" s="2">
        <f>IF(OR(Bandeja_SCTR[[#This Row],[FechaRecepcion]]="",Bandeja_SCTR[[#This Row],[FechaCierre]]=""),"",ROUND((Bandeja_SCTR[[#This Row],[FechaCierre]]-Bandeja_SCTR[[#This Row],[FechaRecepcion]])*24,1))</f>
        <v>1.8</v>
      </c>
      <c r="N32" s="3">
        <f>IF(Bandeja_SCTR[[#This Row],[FechaRecepcion]]="","",DATE(YEAR(Bandeja_SCTR[[#This Row],[FechaRecepcion]]),MONTH(Bandeja_SCTR[[#This Row],[FechaRecepcion]]),1))</f>
        <v>46296</v>
      </c>
      <c r="O32">
        <f>IF(Bandeja_SCTR[[#This Row],[Estado]]="FINALIZADO",1,0)</f>
        <v>1</v>
      </c>
      <c r="P32">
        <f>IF(Bandeja_SCTR[[#This Row],[CasoId]]="",0,IF(Bandeja_SCTR[[#This Row],[Estado]]="FINALIZADO",0,1))</f>
        <v>0</v>
      </c>
    </row>
    <row r="33" spans="1:16">
      <c r="A33" t="s">
        <v>170</v>
      </c>
      <c r="B33" t="s">
        <v>171</v>
      </c>
      <c r="C33" t="s">
        <v>172</v>
      </c>
      <c r="D33" s="1">
        <v>46309.456284722226</v>
      </c>
      <c r="E33" s="1">
        <v>46309.456284722226</v>
      </c>
      <c r="F33" s="1" t="s">
        <v>173</v>
      </c>
      <c r="H33" s="1"/>
      <c r="J33" t="s">
        <v>174</v>
      </c>
      <c r="K33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5</v>
      </c>
      <c r="L33">
        <f ca="1">IF(Bandeja_SCTR[[#This Row],[FechaRecepcion]]="","",NETWORKDAYS(INT(Bandeja_SCTR[[#This Row],[FechaRecepcion]]),IF(Bandeja_SCTR[[#This Row],[FechaCierre]]="",TODAY(),INT(Bandeja_SCTR[[#This Row],[FechaCierre]])),DIAS_NOLAB[Feriados]))</f>
        <v>5</v>
      </c>
      <c r="M33" s="2" t="str">
        <f>IF(OR(Bandeja_SCTR[[#This Row],[FechaRecepcion]]="",Bandeja_SCTR[[#This Row],[FechaCierre]]=""),"",ROUND((Bandeja_SCTR[[#This Row],[FechaCierre]]-Bandeja_SCTR[[#This Row],[FechaRecepcion]])*24,1))</f>
        <v/>
      </c>
      <c r="N33" s="3">
        <f>IF(Bandeja_SCTR[[#This Row],[FechaRecepcion]]="","",DATE(YEAR(Bandeja_SCTR[[#This Row],[FechaRecepcion]]),MONTH(Bandeja_SCTR[[#This Row],[FechaRecepcion]]),1))</f>
        <v>46296</v>
      </c>
      <c r="O33">
        <f>IF(Bandeja_SCTR[[#This Row],[Estado]]="FINALIZADO",1,0)</f>
        <v>0</v>
      </c>
      <c r="P33">
        <f>IF(Bandeja_SCTR[[#This Row],[CasoId]]="",0,IF(Bandeja_SCTR[[#This Row],[Estado]]="FINALIZADO",0,1))</f>
        <v>1</v>
      </c>
    </row>
    <row r="34" spans="1:16" hidden="1">
      <c r="A34" t="s">
        <v>175</v>
      </c>
      <c r="B34" t="s">
        <v>176</v>
      </c>
      <c r="C34" t="s">
        <v>177</v>
      </c>
      <c r="D34" s="1">
        <v>46309.457083333335</v>
      </c>
      <c r="E34" s="1">
        <v>46309.457083333335</v>
      </c>
      <c r="F34" s="1" t="s">
        <v>150</v>
      </c>
      <c r="G34" t="s">
        <v>30</v>
      </c>
      <c r="H34" s="1">
        <v>46309.457083333335</v>
      </c>
      <c r="I34" t="s">
        <v>150</v>
      </c>
      <c r="J34" t="s">
        <v>178</v>
      </c>
      <c r="K34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34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34" s="2">
        <f>IF(OR(Bandeja_SCTR[[#This Row],[FechaRecepcion]]="",Bandeja_SCTR[[#This Row],[FechaCierre]]=""),"",ROUND((Bandeja_SCTR[[#This Row],[FechaCierre]]-Bandeja_SCTR[[#This Row],[FechaRecepcion]])*24,1))</f>
        <v>0</v>
      </c>
      <c r="N34" s="3">
        <f>IF(Bandeja_SCTR[[#This Row],[FechaRecepcion]]="","",DATE(YEAR(Bandeja_SCTR[[#This Row],[FechaRecepcion]]),MONTH(Bandeja_SCTR[[#This Row],[FechaRecepcion]]),1))</f>
        <v>46296</v>
      </c>
      <c r="O34">
        <f>IF(Bandeja_SCTR[[#This Row],[Estado]]="FINALIZADO",1,0)</f>
        <v>1</v>
      </c>
      <c r="P34">
        <f>IF(Bandeja_SCTR[[#This Row],[CasoId]]="",0,IF(Bandeja_SCTR[[#This Row],[Estado]]="FINALIZADO",0,1))</f>
        <v>0</v>
      </c>
    </row>
    <row r="35" spans="1:16" hidden="1">
      <c r="A35" t="s">
        <v>179</v>
      </c>
      <c r="B35" t="s">
        <v>180</v>
      </c>
      <c r="C35" t="s">
        <v>181</v>
      </c>
      <c r="D35" s="1">
        <v>46309.457534722227</v>
      </c>
      <c r="E35" s="1">
        <v>46309.57603009259</v>
      </c>
      <c r="F35" s="1" t="s">
        <v>182</v>
      </c>
      <c r="G35" t="s">
        <v>30</v>
      </c>
      <c r="H35" s="1">
        <v>46309.57603009259</v>
      </c>
      <c r="I35" t="s">
        <v>183</v>
      </c>
      <c r="J35" t="s">
        <v>184</v>
      </c>
      <c r="K35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35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35" s="2">
        <f>IF(OR(Bandeja_SCTR[[#This Row],[FechaRecepcion]]="",Bandeja_SCTR[[#This Row],[FechaCierre]]=""),"",ROUND((Bandeja_SCTR[[#This Row],[FechaCierre]]-Bandeja_SCTR[[#This Row],[FechaRecepcion]])*24,1))</f>
        <v>2.8</v>
      </c>
      <c r="N35" s="3">
        <f>IF(Bandeja_SCTR[[#This Row],[FechaRecepcion]]="","",DATE(YEAR(Bandeja_SCTR[[#This Row],[FechaRecepcion]]),MONTH(Bandeja_SCTR[[#This Row],[FechaRecepcion]]),1))</f>
        <v>46296</v>
      </c>
      <c r="O35">
        <f>IF(Bandeja_SCTR[[#This Row],[Estado]]="FINALIZADO",1,0)</f>
        <v>1</v>
      </c>
      <c r="P35">
        <f>IF(Bandeja_SCTR[[#This Row],[CasoId]]="",0,IF(Bandeja_SCTR[[#This Row],[Estado]]="FINALIZADO",0,1))</f>
        <v>0</v>
      </c>
    </row>
    <row r="36" spans="1:16" hidden="1">
      <c r="A36" t="s">
        <v>185</v>
      </c>
      <c r="B36" t="s">
        <v>186</v>
      </c>
      <c r="C36" t="s">
        <v>187</v>
      </c>
      <c r="D36" s="1">
        <v>46309.458854166667</v>
      </c>
      <c r="E36" s="1">
        <v>46309.458854166667</v>
      </c>
      <c r="F36" s="1" t="s">
        <v>150</v>
      </c>
      <c r="G36" t="s">
        <v>30</v>
      </c>
      <c r="H36" s="1">
        <v>46309.458854166667</v>
      </c>
      <c r="I36" t="s">
        <v>150</v>
      </c>
      <c r="J36" t="s">
        <v>188</v>
      </c>
      <c r="K36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36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36" s="2">
        <f>IF(OR(Bandeja_SCTR[[#This Row],[FechaRecepcion]]="",Bandeja_SCTR[[#This Row],[FechaCierre]]=""),"",ROUND((Bandeja_SCTR[[#This Row],[FechaCierre]]-Bandeja_SCTR[[#This Row],[FechaRecepcion]])*24,1))</f>
        <v>0</v>
      </c>
      <c r="N36" s="3">
        <f>IF(Bandeja_SCTR[[#This Row],[FechaRecepcion]]="","",DATE(YEAR(Bandeja_SCTR[[#This Row],[FechaRecepcion]]),MONTH(Bandeja_SCTR[[#This Row],[FechaRecepcion]]),1))</f>
        <v>46296</v>
      </c>
      <c r="O36">
        <f>IF(Bandeja_SCTR[[#This Row],[Estado]]="FINALIZADO",1,0)</f>
        <v>1</v>
      </c>
      <c r="P36">
        <f>IF(Bandeja_SCTR[[#This Row],[CasoId]]="",0,IF(Bandeja_SCTR[[#This Row],[Estado]]="FINALIZADO",0,1))</f>
        <v>0</v>
      </c>
    </row>
    <row r="37" spans="1:16">
      <c r="A37" t="s">
        <v>189</v>
      </c>
      <c r="B37" t="s">
        <v>190</v>
      </c>
      <c r="C37" t="s">
        <v>191</v>
      </c>
      <c r="D37" s="1">
        <v>46309.464618055557</v>
      </c>
      <c r="E37" s="1">
        <v>46309.464618055557</v>
      </c>
      <c r="F37" s="1" t="s">
        <v>192</v>
      </c>
      <c r="H37" s="1"/>
      <c r="J37" t="s">
        <v>193</v>
      </c>
      <c r="K37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5</v>
      </c>
      <c r="L37">
        <f ca="1">IF(Bandeja_SCTR[[#This Row],[FechaRecepcion]]="","",NETWORKDAYS(INT(Bandeja_SCTR[[#This Row],[FechaRecepcion]]),IF(Bandeja_SCTR[[#This Row],[FechaCierre]]="",TODAY(),INT(Bandeja_SCTR[[#This Row],[FechaCierre]])),DIAS_NOLAB[Feriados]))</f>
        <v>5</v>
      </c>
      <c r="M37" s="2" t="str">
        <f>IF(OR(Bandeja_SCTR[[#This Row],[FechaRecepcion]]="",Bandeja_SCTR[[#This Row],[FechaCierre]]=""),"",ROUND((Bandeja_SCTR[[#This Row],[FechaCierre]]-Bandeja_SCTR[[#This Row],[FechaRecepcion]])*24,1))</f>
        <v/>
      </c>
      <c r="N37" s="3">
        <f>IF(Bandeja_SCTR[[#This Row],[FechaRecepcion]]="","",DATE(YEAR(Bandeja_SCTR[[#This Row],[FechaRecepcion]]),MONTH(Bandeja_SCTR[[#This Row],[FechaRecepcion]]),1))</f>
        <v>46296</v>
      </c>
      <c r="O37">
        <f>IF(Bandeja_SCTR[[#This Row],[Estado]]="FINALIZADO",1,0)</f>
        <v>0</v>
      </c>
      <c r="P37">
        <f>IF(Bandeja_SCTR[[#This Row],[CasoId]]="",0,IF(Bandeja_SCTR[[#This Row],[Estado]]="FINALIZADO",0,1))</f>
        <v>1</v>
      </c>
    </row>
    <row r="38" spans="1:16" hidden="1">
      <c r="A38" t="s">
        <v>194</v>
      </c>
      <c r="B38" t="s">
        <v>195</v>
      </c>
      <c r="C38" t="s">
        <v>196</v>
      </c>
      <c r="D38" s="1">
        <v>46309.465208333335</v>
      </c>
      <c r="E38" s="1">
        <v>46309.50708333333</v>
      </c>
      <c r="F38" s="1" t="s">
        <v>197</v>
      </c>
      <c r="G38" t="s">
        <v>30</v>
      </c>
      <c r="H38" s="1">
        <v>46309.50708333333</v>
      </c>
      <c r="I38" t="s">
        <v>198</v>
      </c>
      <c r="J38" t="s">
        <v>199</v>
      </c>
      <c r="K38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38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38" s="2">
        <f>IF(OR(Bandeja_SCTR[[#This Row],[FechaRecepcion]]="",Bandeja_SCTR[[#This Row],[FechaCierre]]=""),"",ROUND((Bandeja_SCTR[[#This Row],[FechaCierre]]-Bandeja_SCTR[[#This Row],[FechaRecepcion]])*24,1))</f>
        <v>1</v>
      </c>
      <c r="N38" s="3">
        <f>IF(Bandeja_SCTR[[#This Row],[FechaRecepcion]]="","",DATE(YEAR(Bandeja_SCTR[[#This Row],[FechaRecepcion]]),MONTH(Bandeja_SCTR[[#This Row],[FechaRecepcion]]),1))</f>
        <v>46296</v>
      </c>
      <c r="O38">
        <f>IF(Bandeja_SCTR[[#This Row],[Estado]]="FINALIZADO",1,0)</f>
        <v>1</v>
      </c>
      <c r="P38">
        <f>IF(Bandeja_SCTR[[#This Row],[CasoId]]="",0,IF(Bandeja_SCTR[[#This Row],[Estado]]="FINALIZADO",0,1))</f>
        <v>0</v>
      </c>
    </row>
    <row r="39" spans="1:16">
      <c r="A39" t="s">
        <v>200</v>
      </c>
      <c r="B39" t="s">
        <v>176</v>
      </c>
      <c r="C39" t="s">
        <v>177</v>
      </c>
      <c r="D39" s="1">
        <v>46309.47011574074</v>
      </c>
      <c r="E39" s="1">
        <v>46309.47011574074</v>
      </c>
      <c r="F39" s="1" t="s">
        <v>201</v>
      </c>
      <c r="H39" s="1"/>
      <c r="J39" t="s">
        <v>202</v>
      </c>
      <c r="K39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5</v>
      </c>
      <c r="L39">
        <f ca="1">IF(Bandeja_SCTR[[#This Row],[FechaRecepcion]]="","",NETWORKDAYS(INT(Bandeja_SCTR[[#This Row],[FechaRecepcion]]),IF(Bandeja_SCTR[[#This Row],[FechaCierre]]="",TODAY(),INT(Bandeja_SCTR[[#This Row],[FechaCierre]])),DIAS_NOLAB[Feriados]))</f>
        <v>5</v>
      </c>
      <c r="M39" s="2" t="str">
        <f>IF(OR(Bandeja_SCTR[[#This Row],[FechaRecepcion]]="",Bandeja_SCTR[[#This Row],[FechaCierre]]=""),"",ROUND((Bandeja_SCTR[[#This Row],[FechaCierre]]-Bandeja_SCTR[[#This Row],[FechaRecepcion]])*24,1))</f>
        <v/>
      </c>
      <c r="N39" s="3">
        <f>IF(Bandeja_SCTR[[#This Row],[FechaRecepcion]]="","",DATE(YEAR(Bandeja_SCTR[[#This Row],[FechaRecepcion]]),MONTH(Bandeja_SCTR[[#This Row],[FechaRecepcion]]),1))</f>
        <v>46296</v>
      </c>
      <c r="O39">
        <f>IF(Bandeja_SCTR[[#This Row],[Estado]]="FINALIZADO",1,0)</f>
        <v>0</v>
      </c>
      <c r="P39">
        <f>IF(Bandeja_SCTR[[#This Row],[CasoId]]="",0,IF(Bandeja_SCTR[[#This Row],[Estado]]="FINALIZADO",0,1))</f>
        <v>1</v>
      </c>
    </row>
    <row r="40" spans="1:16" hidden="1">
      <c r="A40" t="s">
        <v>203</v>
      </c>
      <c r="B40" t="s">
        <v>204</v>
      </c>
      <c r="C40" t="s">
        <v>205</v>
      </c>
      <c r="D40" s="1">
        <v>46309.471342592587</v>
      </c>
      <c r="E40" s="1">
        <v>46315.404062500005</v>
      </c>
      <c r="F40" s="1" t="s">
        <v>96</v>
      </c>
      <c r="G40" t="s">
        <v>30</v>
      </c>
      <c r="H40" s="1">
        <v>46315.404062500005</v>
      </c>
      <c r="I40" t="s">
        <v>97</v>
      </c>
      <c r="J40" t="s">
        <v>206</v>
      </c>
      <c r="K40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40">
        <f ca="1">IF(Bandeja_SCTR[[#This Row],[FechaRecepcion]]="","",NETWORKDAYS(INT(Bandeja_SCTR[[#This Row],[FechaRecepcion]]),IF(Bandeja_SCTR[[#This Row],[FechaCierre]]="",TODAY(),INT(Bandeja_SCTR[[#This Row],[FechaCierre]])),DIAS_NOLAB[Feriados]))</f>
        <v>5</v>
      </c>
      <c r="M40" s="2">
        <f>IF(OR(Bandeja_SCTR[[#This Row],[FechaRecepcion]]="",Bandeja_SCTR[[#This Row],[FechaCierre]]=""),"",ROUND((Bandeja_SCTR[[#This Row],[FechaCierre]]-Bandeja_SCTR[[#This Row],[FechaRecepcion]])*24,1))</f>
        <v>142.4</v>
      </c>
      <c r="N40" s="3">
        <f>IF(Bandeja_SCTR[[#This Row],[FechaRecepcion]]="","",DATE(YEAR(Bandeja_SCTR[[#This Row],[FechaRecepcion]]),MONTH(Bandeja_SCTR[[#This Row],[FechaRecepcion]]),1))</f>
        <v>46296</v>
      </c>
      <c r="O40">
        <f>IF(Bandeja_SCTR[[#This Row],[Estado]]="FINALIZADO",1,0)</f>
        <v>1</v>
      </c>
      <c r="P40">
        <f>IF(Bandeja_SCTR[[#This Row],[CasoId]]="",0,IF(Bandeja_SCTR[[#This Row],[Estado]]="FINALIZADO",0,1))</f>
        <v>0</v>
      </c>
    </row>
    <row r="41" spans="1:16" hidden="1">
      <c r="A41" t="s">
        <v>207</v>
      </c>
      <c r="B41" t="s">
        <v>208</v>
      </c>
      <c r="C41" t="s">
        <v>209</v>
      </c>
      <c r="D41" s="1">
        <v>46309.477500000001</v>
      </c>
      <c r="E41" s="1">
        <v>46309.490081018521</v>
      </c>
      <c r="F41" s="1" t="s">
        <v>144</v>
      </c>
      <c r="G41" t="s">
        <v>30</v>
      </c>
      <c r="H41" s="1">
        <v>46309.490081018521</v>
      </c>
      <c r="I41" t="s">
        <v>210</v>
      </c>
      <c r="J41" t="s">
        <v>211</v>
      </c>
      <c r="K41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41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41" s="2">
        <f>IF(OR(Bandeja_SCTR[[#This Row],[FechaRecepcion]]="",Bandeja_SCTR[[#This Row],[FechaCierre]]=""),"",ROUND((Bandeja_SCTR[[#This Row],[FechaCierre]]-Bandeja_SCTR[[#This Row],[FechaRecepcion]])*24,1))</f>
        <v>0.3</v>
      </c>
      <c r="N41" s="3">
        <f>IF(Bandeja_SCTR[[#This Row],[FechaRecepcion]]="","",DATE(YEAR(Bandeja_SCTR[[#This Row],[FechaRecepcion]]),MONTH(Bandeja_SCTR[[#This Row],[FechaRecepcion]]),1))</f>
        <v>46296</v>
      </c>
      <c r="O41">
        <f>IF(Bandeja_SCTR[[#This Row],[Estado]]="FINALIZADO",1,0)</f>
        <v>1</v>
      </c>
      <c r="P41">
        <f>IF(Bandeja_SCTR[[#This Row],[CasoId]]="",0,IF(Bandeja_SCTR[[#This Row],[Estado]]="FINALIZADO",0,1))</f>
        <v>0</v>
      </c>
    </row>
    <row r="42" spans="1:16" hidden="1">
      <c r="A42" t="s">
        <v>212</v>
      </c>
      <c r="B42" t="s">
        <v>213</v>
      </c>
      <c r="C42" t="s">
        <v>214</v>
      </c>
      <c r="D42" s="1">
        <v>46309.478761574079</v>
      </c>
      <c r="E42" s="1">
        <v>46309.609490740739</v>
      </c>
      <c r="F42" s="1" t="s">
        <v>215</v>
      </c>
      <c r="G42" t="s">
        <v>30</v>
      </c>
      <c r="H42" s="1">
        <v>46309.609490740739</v>
      </c>
      <c r="I42" t="s">
        <v>216</v>
      </c>
      <c r="J42" t="s">
        <v>217</v>
      </c>
      <c r="K42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42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42" s="2">
        <f>IF(OR(Bandeja_SCTR[[#This Row],[FechaRecepcion]]="",Bandeja_SCTR[[#This Row],[FechaCierre]]=""),"",ROUND((Bandeja_SCTR[[#This Row],[FechaCierre]]-Bandeja_SCTR[[#This Row],[FechaRecepcion]])*24,1))</f>
        <v>3.1</v>
      </c>
      <c r="N42" s="3">
        <f>IF(Bandeja_SCTR[[#This Row],[FechaRecepcion]]="","",DATE(YEAR(Bandeja_SCTR[[#This Row],[FechaRecepcion]]),MONTH(Bandeja_SCTR[[#This Row],[FechaRecepcion]]),1))</f>
        <v>46296</v>
      </c>
      <c r="O42">
        <f>IF(Bandeja_SCTR[[#This Row],[Estado]]="FINALIZADO",1,0)</f>
        <v>1</v>
      </c>
      <c r="P42">
        <f>IF(Bandeja_SCTR[[#This Row],[CasoId]]="",0,IF(Bandeja_SCTR[[#This Row],[Estado]]="FINALIZADO",0,1))</f>
        <v>0</v>
      </c>
    </row>
    <row r="43" spans="1:16">
      <c r="A43" t="s">
        <v>218</v>
      </c>
      <c r="B43" t="s">
        <v>219</v>
      </c>
      <c r="C43" t="s">
        <v>220</v>
      </c>
      <c r="D43" s="1">
        <v>46309.484907407408</v>
      </c>
      <c r="E43" s="1">
        <v>46309.576678240745</v>
      </c>
      <c r="F43" s="1" t="s">
        <v>221</v>
      </c>
      <c r="H43" s="1"/>
      <c r="J43" t="s">
        <v>222</v>
      </c>
      <c r="K43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5</v>
      </c>
      <c r="L43">
        <f ca="1">IF(Bandeja_SCTR[[#This Row],[FechaRecepcion]]="","",NETWORKDAYS(INT(Bandeja_SCTR[[#This Row],[FechaRecepcion]]),IF(Bandeja_SCTR[[#This Row],[FechaCierre]]="",TODAY(),INT(Bandeja_SCTR[[#This Row],[FechaCierre]])),DIAS_NOLAB[Feriados]))</f>
        <v>5</v>
      </c>
      <c r="M43" s="2" t="str">
        <f>IF(OR(Bandeja_SCTR[[#This Row],[FechaRecepcion]]="",Bandeja_SCTR[[#This Row],[FechaCierre]]=""),"",ROUND((Bandeja_SCTR[[#This Row],[FechaCierre]]-Bandeja_SCTR[[#This Row],[FechaRecepcion]])*24,1))</f>
        <v/>
      </c>
      <c r="N43" s="3">
        <f>IF(Bandeja_SCTR[[#This Row],[FechaRecepcion]]="","",DATE(YEAR(Bandeja_SCTR[[#This Row],[FechaRecepcion]]),MONTH(Bandeja_SCTR[[#This Row],[FechaRecepcion]]),1))</f>
        <v>46296</v>
      </c>
      <c r="O43">
        <f>IF(Bandeja_SCTR[[#This Row],[Estado]]="FINALIZADO",1,0)</f>
        <v>0</v>
      </c>
      <c r="P43">
        <f>IF(Bandeja_SCTR[[#This Row],[CasoId]]="",0,IF(Bandeja_SCTR[[#This Row],[Estado]]="FINALIZADO",0,1))</f>
        <v>1</v>
      </c>
    </row>
    <row r="44" spans="1:16" hidden="1">
      <c r="A44" t="s">
        <v>223</v>
      </c>
      <c r="B44" t="s">
        <v>224</v>
      </c>
      <c r="C44" t="s">
        <v>225</v>
      </c>
      <c r="D44" s="1">
        <v>46309.488217592589</v>
      </c>
      <c r="E44" s="1">
        <v>46315.382002314815</v>
      </c>
      <c r="F44" s="1" t="s">
        <v>96</v>
      </c>
      <c r="G44" t="s">
        <v>30</v>
      </c>
      <c r="H44" s="1">
        <v>46315.382002314815</v>
      </c>
      <c r="I44" t="s">
        <v>97</v>
      </c>
      <c r="J44" t="s">
        <v>226</v>
      </c>
      <c r="K44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44">
        <f ca="1">IF(Bandeja_SCTR[[#This Row],[FechaRecepcion]]="","",NETWORKDAYS(INT(Bandeja_SCTR[[#This Row],[FechaRecepcion]]),IF(Bandeja_SCTR[[#This Row],[FechaCierre]]="",TODAY(),INT(Bandeja_SCTR[[#This Row],[FechaCierre]])),DIAS_NOLAB[Feriados]))</f>
        <v>5</v>
      </c>
      <c r="M44" s="2">
        <f>IF(OR(Bandeja_SCTR[[#This Row],[FechaRecepcion]]="",Bandeja_SCTR[[#This Row],[FechaCierre]]=""),"",ROUND((Bandeja_SCTR[[#This Row],[FechaCierre]]-Bandeja_SCTR[[#This Row],[FechaRecepcion]])*24,1))</f>
        <v>141.5</v>
      </c>
      <c r="N44" s="3">
        <f>IF(Bandeja_SCTR[[#This Row],[FechaRecepcion]]="","",DATE(YEAR(Bandeja_SCTR[[#This Row],[FechaRecepcion]]),MONTH(Bandeja_SCTR[[#This Row],[FechaRecepcion]]),1))</f>
        <v>46296</v>
      </c>
      <c r="O44">
        <f>IF(Bandeja_SCTR[[#This Row],[Estado]]="FINALIZADO",1,0)</f>
        <v>1</v>
      </c>
      <c r="P44">
        <f>IF(Bandeja_SCTR[[#This Row],[CasoId]]="",0,IF(Bandeja_SCTR[[#This Row],[Estado]]="FINALIZADO",0,1))</f>
        <v>0</v>
      </c>
    </row>
    <row r="45" spans="1:16">
      <c r="A45" t="s">
        <v>227</v>
      </c>
      <c r="B45" t="s">
        <v>228</v>
      </c>
      <c r="C45" t="s">
        <v>229</v>
      </c>
      <c r="D45" s="1">
        <v>46309.48810185185</v>
      </c>
      <c r="E45" s="1">
        <v>46309.48810185185</v>
      </c>
      <c r="F45" s="1" t="s">
        <v>230</v>
      </c>
      <c r="H45" s="1"/>
      <c r="J45" t="s">
        <v>231</v>
      </c>
      <c r="K45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5</v>
      </c>
      <c r="L45">
        <f ca="1">IF(Bandeja_SCTR[[#This Row],[FechaRecepcion]]="","",NETWORKDAYS(INT(Bandeja_SCTR[[#This Row],[FechaRecepcion]]),IF(Bandeja_SCTR[[#This Row],[FechaCierre]]="",TODAY(),INT(Bandeja_SCTR[[#This Row],[FechaCierre]])),DIAS_NOLAB[Feriados]))</f>
        <v>5</v>
      </c>
      <c r="M45" s="2" t="str">
        <f>IF(OR(Bandeja_SCTR[[#This Row],[FechaRecepcion]]="",Bandeja_SCTR[[#This Row],[FechaCierre]]=""),"",ROUND((Bandeja_SCTR[[#This Row],[FechaCierre]]-Bandeja_SCTR[[#This Row],[FechaRecepcion]])*24,1))</f>
        <v/>
      </c>
      <c r="N45" s="3">
        <f>IF(Bandeja_SCTR[[#This Row],[FechaRecepcion]]="","",DATE(YEAR(Bandeja_SCTR[[#This Row],[FechaRecepcion]]),MONTH(Bandeja_SCTR[[#This Row],[FechaRecepcion]]),1))</f>
        <v>46296</v>
      </c>
      <c r="O45">
        <f>IF(Bandeja_SCTR[[#This Row],[Estado]]="FINALIZADO",1,0)</f>
        <v>0</v>
      </c>
      <c r="P45">
        <f>IF(Bandeja_SCTR[[#This Row],[CasoId]]="",0,IF(Bandeja_SCTR[[#This Row],[Estado]]="FINALIZADO",0,1))</f>
        <v>1</v>
      </c>
    </row>
    <row r="46" spans="1:16" hidden="1">
      <c r="A46" t="s">
        <v>232</v>
      </c>
      <c r="B46" t="s">
        <v>233</v>
      </c>
      <c r="C46" t="s">
        <v>234</v>
      </c>
      <c r="D46" s="1">
        <v>46309.488923611112</v>
      </c>
      <c r="E46" s="1">
        <v>46309.62090277778</v>
      </c>
      <c r="F46" s="1" t="s">
        <v>144</v>
      </c>
      <c r="G46" t="s">
        <v>30</v>
      </c>
      <c r="H46" s="1">
        <v>46309.62090277778</v>
      </c>
      <c r="I46" t="s">
        <v>210</v>
      </c>
      <c r="J46" t="s">
        <v>235</v>
      </c>
      <c r="K46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46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46" s="2">
        <f>IF(OR(Bandeja_SCTR[[#This Row],[FechaRecepcion]]="",Bandeja_SCTR[[#This Row],[FechaCierre]]=""),"",ROUND((Bandeja_SCTR[[#This Row],[FechaCierre]]-Bandeja_SCTR[[#This Row],[FechaRecepcion]])*24,1))</f>
        <v>3.2</v>
      </c>
      <c r="N46" s="3">
        <f>IF(Bandeja_SCTR[[#This Row],[FechaRecepcion]]="","",DATE(YEAR(Bandeja_SCTR[[#This Row],[FechaRecepcion]]),MONTH(Bandeja_SCTR[[#This Row],[FechaRecepcion]]),1))</f>
        <v>46296</v>
      </c>
      <c r="O46">
        <f>IF(Bandeja_SCTR[[#This Row],[Estado]]="FINALIZADO",1,0)</f>
        <v>1</v>
      </c>
      <c r="P46">
        <f>IF(Bandeja_SCTR[[#This Row],[CasoId]]="",0,IF(Bandeja_SCTR[[#This Row],[Estado]]="FINALIZADO",0,1))</f>
        <v>0</v>
      </c>
    </row>
    <row r="47" spans="1:16" hidden="1">
      <c r="A47" t="s">
        <v>236</v>
      </c>
      <c r="B47" t="s">
        <v>237</v>
      </c>
      <c r="C47" t="s">
        <v>238</v>
      </c>
      <c r="D47" s="1">
        <v>46309.491273148145</v>
      </c>
      <c r="E47" s="1">
        <v>46309.491273148145</v>
      </c>
      <c r="F47" s="1" t="s">
        <v>144</v>
      </c>
      <c r="G47" t="s">
        <v>30</v>
      </c>
      <c r="H47" s="1">
        <v>46309.491273148145</v>
      </c>
      <c r="I47" t="s">
        <v>210</v>
      </c>
      <c r="J47" t="s">
        <v>239</v>
      </c>
      <c r="K47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47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47" s="2">
        <f>IF(OR(Bandeja_SCTR[[#This Row],[FechaRecepcion]]="",Bandeja_SCTR[[#This Row],[FechaCierre]]=""),"",ROUND((Bandeja_SCTR[[#This Row],[FechaCierre]]-Bandeja_SCTR[[#This Row],[FechaRecepcion]])*24,1))</f>
        <v>0</v>
      </c>
      <c r="N47" s="3">
        <f>IF(Bandeja_SCTR[[#This Row],[FechaRecepcion]]="","",DATE(YEAR(Bandeja_SCTR[[#This Row],[FechaRecepcion]]),MONTH(Bandeja_SCTR[[#This Row],[FechaRecepcion]]),1))</f>
        <v>46296</v>
      </c>
      <c r="O47">
        <f>IF(Bandeja_SCTR[[#This Row],[Estado]]="FINALIZADO",1,0)</f>
        <v>1</v>
      </c>
      <c r="P47">
        <f>IF(Bandeja_SCTR[[#This Row],[CasoId]]="",0,IF(Bandeja_SCTR[[#This Row],[Estado]]="FINALIZADO",0,1))</f>
        <v>0</v>
      </c>
    </row>
    <row r="48" spans="1:16" hidden="1">
      <c r="A48" t="s">
        <v>240</v>
      </c>
      <c r="B48" t="s">
        <v>241</v>
      </c>
      <c r="C48" t="s">
        <v>242</v>
      </c>
      <c r="D48" s="1">
        <v>46309.49282407407</v>
      </c>
      <c r="E48" s="1">
        <v>46309.49282407407</v>
      </c>
      <c r="F48" s="1" t="s">
        <v>243</v>
      </c>
      <c r="G48" t="s">
        <v>30</v>
      </c>
      <c r="H48" s="1">
        <v>46309.49282407407</v>
      </c>
      <c r="I48" t="s">
        <v>244</v>
      </c>
      <c r="J48" t="s">
        <v>245</v>
      </c>
      <c r="K48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48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48" s="2">
        <f>IF(OR(Bandeja_SCTR[[#This Row],[FechaRecepcion]]="",Bandeja_SCTR[[#This Row],[FechaCierre]]=""),"",ROUND((Bandeja_SCTR[[#This Row],[FechaCierre]]-Bandeja_SCTR[[#This Row],[FechaRecepcion]])*24,1))</f>
        <v>0</v>
      </c>
      <c r="N48" s="3">
        <f>IF(Bandeja_SCTR[[#This Row],[FechaRecepcion]]="","",DATE(YEAR(Bandeja_SCTR[[#This Row],[FechaRecepcion]]),MONTH(Bandeja_SCTR[[#This Row],[FechaRecepcion]]),1))</f>
        <v>46296</v>
      </c>
      <c r="O48">
        <f>IF(Bandeja_SCTR[[#This Row],[Estado]]="FINALIZADO",1,0)</f>
        <v>1</v>
      </c>
      <c r="P48">
        <f>IF(Bandeja_SCTR[[#This Row],[CasoId]]="",0,IF(Bandeja_SCTR[[#This Row],[Estado]]="FINALIZADO",0,1))</f>
        <v>0</v>
      </c>
    </row>
    <row r="49" spans="1:16">
      <c r="A49" t="s">
        <v>246</v>
      </c>
      <c r="B49" t="s">
        <v>241</v>
      </c>
      <c r="C49" t="s">
        <v>242</v>
      </c>
      <c r="D49" s="1">
        <v>46309.493344907409</v>
      </c>
      <c r="E49" s="1">
        <v>46309.493344907409</v>
      </c>
      <c r="F49" s="1" t="s">
        <v>243</v>
      </c>
      <c r="H49" s="1"/>
      <c r="J49" t="s">
        <v>247</v>
      </c>
      <c r="K49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5</v>
      </c>
      <c r="L49">
        <f ca="1">IF(Bandeja_SCTR[[#This Row],[FechaRecepcion]]="","",NETWORKDAYS(INT(Bandeja_SCTR[[#This Row],[FechaRecepcion]]),IF(Bandeja_SCTR[[#This Row],[FechaCierre]]="",TODAY(),INT(Bandeja_SCTR[[#This Row],[FechaCierre]])),DIAS_NOLAB[Feriados]))</f>
        <v>5</v>
      </c>
      <c r="M49" s="2" t="str">
        <f>IF(OR(Bandeja_SCTR[[#This Row],[FechaRecepcion]]="",Bandeja_SCTR[[#This Row],[FechaCierre]]=""),"",ROUND((Bandeja_SCTR[[#This Row],[FechaCierre]]-Bandeja_SCTR[[#This Row],[FechaRecepcion]])*24,1))</f>
        <v/>
      </c>
      <c r="N49" s="3">
        <f>IF(Bandeja_SCTR[[#This Row],[FechaRecepcion]]="","",DATE(YEAR(Bandeja_SCTR[[#This Row],[FechaRecepcion]]),MONTH(Bandeja_SCTR[[#This Row],[FechaRecepcion]]),1))</f>
        <v>46296</v>
      </c>
      <c r="O49">
        <f>IF(Bandeja_SCTR[[#This Row],[Estado]]="FINALIZADO",1,0)</f>
        <v>0</v>
      </c>
      <c r="P49">
        <f>IF(Bandeja_SCTR[[#This Row],[CasoId]]="",0,IF(Bandeja_SCTR[[#This Row],[Estado]]="FINALIZADO",0,1))</f>
        <v>1</v>
      </c>
    </row>
    <row r="50" spans="1:16">
      <c r="A50" t="s">
        <v>248</v>
      </c>
      <c r="B50" t="s">
        <v>249</v>
      </c>
      <c r="C50" t="s">
        <v>250</v>
      </c>
      <c r="D50" s="1">
        <v>46309.497037037036</v>
      </c>
      <c r="E50" s="1">
        <v>46309.497037037036</v>
      </c>
      <c r="F50" s="1" t="s">
        <v>251</v>
      </c>
      <c r="H50" s="1"/>
      <c r="J50" t="s">
        <v>252</v>
      </c>
      <c r="K50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5</v>
      </c>
      <c r="L50">
        <f ca="1">IF(Bandeja_SCTR[[#This Row],[FechaRecepcion]]="","",NETWORKDAYS(INT(Bandeja_SCTR[[#This Row],[FechaRecepcion]]),IF(Bandeja_SCTR[[#This Row],[FechaCierre]]="",TODAY(),INT(Bandeja_SCTR[[#This Row],[FechaCierre]])),DIAS_NOLAB[Feriados]))</f>
        <v>5</v>
      </c>
      <c r="M50" s="2" t="str">
        <f>IF(OR(Bandeja_SCTR[[#This Row],[FechaRecepcion]]="",Bandeja_SCTR[[#This Row],[FechaCierre]]=""),"",ROUND((Bandeja_SCTR[[#This Row],[FechaCierre]]-Bandeja_SCTR[[#This Row],[FechaRecepcion]])*24,1))</f>
        <v/>
      </c>
      <c r="N50" s="3">
        <f>IF(Bandeja_SCTR[[#This Row],[FechaRecepcion]]="","",DATE(YEAR(Bandeja_SCTR[[#This Row],[FechaRecepcion]]),MONTH(Bandeja_SCTR[[#This Row],[FechaRecepcion]]),1))</f>
        <v>46296</v>
      </c>
      <c r="O50">
        <f>IF(Bandeja_SCTR[[#This Row],[Estado]]="FINALIZADO",1,0)</f>
        <v>0</v>
      </c>
      <c r="P50">
        <f>IF(Bandeja_SCTR[[#This Row],[CasoId]]="",0,IF(Bandeja_SCTR[[#This Row],[Estado]]="FINALIZADO",0,1))</f>
        <v>1</v>
      </c>
    </row>
    <row r="51" spans="1:16">
      <c r="A51" t="s">
        <v>253</v>
      </c>
      <c r="B51" t="s">
        <v>39</v>
      </c>
      <c r="C51" t="s">
        <v>40</v>
      </c>
      <c r="D51" s="1">
        <v>46309.497048611112</v>
      </c>
      <c r="E51" s="1">
        <v>46309.497928240744</v>
      </c>
      <c r="F51" s="1" t="s">
        <v>254</v>
      </c>
      <c r="H51" s="1"/>
      <c r="J51" t="s">
        <v>71</v>
      </c>
      <c r="K51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5</v>
      </c>
      <c r="L51">
        <f ca="1">IF(Bandeja_SCTR[[#This Row],[FechaRecepcion]]="","",NETWORKDAYS(INT(Bandeja_SCTR[[#This Row],[FechaRecepcion]]),IF(Bandeja_SCTR[[#This Row],[FechaCierre]]="",TODAY(),INT(Bandeja_SCTR[[#This Row],[FechaCierre]])),DIAS_NOLAB[Feriados]))</f>
        <v>5</v>
      </c>
      <c r="M51" s="2" t="str">
        <f>IF(OR(Bandeja_SCTR[[#This Row],[FechaRecepcion]]="",Bandeja_SCTR[[#This Row],[FechaCierre]]=""),"",ROUND((Bandeja_SCTR[[#This Row],[FechaCierre]]-Bandeja_SCTR[[#This Row],[FechaRecepcion]])*24,1))</f>
        <v/>
      </c>
      <c r="N51" s="3">
        <f>IF(Bandeja_SCTR[[#This Row],[FechaRecepcion]]="","",DATE(YEAR(Bandeja_SCTR[[#This Row],[FechaRecepcion]]),MONTH(Bandeja_SCTR[[#This Row],[FechaRecepcion]]),1))</f>
        <v>46296</v>
      </c>
      <c r="O51">
        <f>IF(Bandeja_SCTR[[#This Row],[Estado]]="FINALIZADO",1,0)</f>
        <v>0</v>
      </c>
      <c r="P51">
        <f>IF(Bandeja_SCTR[[#This Row],[CasoId]]="",0,IF(Bandeja_SCTR[[#This Row],[Estado]]="FINALIZADO",0,1))</f>
        <v>1</v>
      </c>
    </row>
    <row r="52" spans="1:16">
      <c r="A52" t="s">
        <v>255</v>
      </c>
      <c r="B52" t="s">
        <v>256</v>
      </c>
      <c r="C52" t="s">
        <v>257</v>
      </c>
      <c r="D52" s="1">
        <v>46309.49732638889</v>
      </c>
      <c r="E52" s="1">
        <v>46309.49732638889</v>
      </c>
      <c r="F52" s="1" t="s">
        <v>258</v>
      </c>
      <c r="H52" s="1"/>
      <c r="J52" t="s">
        <v>259</v>
      </c>
      <c r="K52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5</v>
      </c>
      <c r="L52">
        <f ca="1">IF(Bandeja_SCTR[[#This Row],[FechaRecepcion]]="","",NETWORKDAYS(INT(Bandeja_SCTR[[#This Row],[FechaRecepcion]]),IF(Bandeja_SCTR[[#This Row],[FechaCierre]]="",TODAY(),INT(Bandeja_SCTR[[#This Row],[FechaCierre]])),DIAS_NOLAB[Feriados]))</f>
        <v>5</v>
      </c>
      <c r="M52" s="2" t="str">
        <f>IF(OR(Bandeja_SCTR[[#This Row],[FechaRecepcion]]="",Bandeja_SCTR[[#This Row],[FechaCierre]]=""),"",ROUND((Bandeja_SCTR[[#This Row],[FechaCierre]]-Bandeja_SCTR[[#This Row],[FechaRecepcion]])*24,1))</f>
        <v/>
      </c>
      <c r="N52" s="3">
        <f>IF(Bandeja_SCTR[[#This Row],[FechaRecepcion]]="","",DATE(YEAR(Bandeja_SCTR[[#This Row],[FechaRecepcion]]),MONTH(Bandeja_SCTR[[#This Row],[FechaRecepcion]]),1))</f>
        <v>46296</v>
      </c>
      <c r="O52">
        <f>IF(Bandeja_SCTR[[#This Row],[Estado]]="FINALIZADO",1,0)</f>
        <v>0</v>
      </c>
      <c r="P52">
        <f>IF(Bandeja_SCTR[[#This Row],[CasoId]]="",0,IF(Bandeja_SCTR[[#This Row],[Estado]]="FINALIZADO",0,1))</f>
        <v>1</v>
      </c>
    </row>
    <row r="53" spans="1:16">
      <c r="A53" t="s">
        <v>260</v>
      </c>
      <c r="B53" t="s">
        <v>261</v>
      </c>
      <c r="C53" t="s">
        <v>262</v>
      </c>
      <c r="D53" s="1">
        <v>46309.500960648147</v>
      </c>
      <c r="E53" s="1">
        <v>46309.500960648147</v>
      </c>
      <c r="F53" s="1" t="s">
        <v>263</v>
      </c>
      <c r="H53" s="1"/>
      <c r="J53" t="s">
        <v>264</v>
      </c>
      <c r="K53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5</v>
      </c>
      <c r="L53">
        <f ca="1">IF(Bandeja_SCTR[[#This Row],[FechaRecepcion]]="","",NETWORKDAYS(INT(Bandeja_SCTR[[#This Row],[FechaRecepcion]]),IF(Bandeja_SCTR[[#This Row],[FechaCierre]]="",TODAY(),INT(Bandeja_SCTR[[#This Row],[FechaCierre]])),DIAS_NOLAB[Feriados]))</f>
        <v>5</v>
      </c>
      <c r="M53" s="2" t="str">
        <f>IF(OR(Bandeja_SCTR[[#This Row],[FechaRecepcion]]="",Bandeja_SCTR[[#This Row],[FechaCierre]]=""),"",ROUND((Bandeja_SCTR[[#This Row],[FechaCierre]]-Bandeja_SCTR[[#This Row],[FechaRecepcion]])*24,1))</f>
        <v/>
      </c>
      <c r="N53" s="3">
        <f>IF(Bandeja_SCTR[[#This Row],[FechaRecepcion]]="","",DATE(YEAR(Bandeja_SCTR[[#This Row],[FechaRecepcion]]),MONTH(Bandeja_SCTR[[#This Row],[FechaRecepcion]]),1))</f>
        <v>46296</v>
      </c>
      <c r="O53">
        <f>IF(Bandeja_SCTR[[#This Row],[Estado]]="FINALIZADO",1,0)</f>
        <v>0</v>
      </c>
      <c r="P53">
        <f>IF(Bandeja_SCTR[[#This Row],[CasoId]]="",0,IF(Bandeja_SCTR[[#This Row],[Estado]]="FINALIZADO",0,1))</f>
        <v>1</v>
      </c>
    </row>
    <row r="54" spans="1:16" hidden="1">
      <c r="A54" t="s">
        <v>265</v>
      </c>
      <c r="B54" t="s">
        <v>266</v>
      </c>
      <c r="C54" t="s">
        <v>267</v>
      </c>
      <c r="D54" s="1">
        <v>46309.500162037039</v>
      </c>
      <c r="E54" s="1">
        <v>46314.690995370373</v>
      </c>
      <c r="F54" s="1" t="s">
        <v>96</v>
      </c>
      <c r="G54" t="s">
        <v>30</v>
      </c>
      <c r="H54" s="1">
        <v>46314.690995370373</v>
      </c>
      <c r="I54" t="s">
        <v>268</v>
      </c>
      <c r="J54" t="s">
        <v>269</v>
      </c>
      <c r="K54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54">
        <f ca="1">IF(Bandeja_SCTR[[#This Row],[FechaRecepcion]]="","",NETWORKDAYS(INT(Bandeja_SCTR[[#This Row],[FechaRecepcion]]),IF(Bandeja_SCTR[[#This Row],[FechaCierre]]="",TODAY(),INT(Bandeja_SCTR[[#This Row],[FechaCierre]])),DIAS_NOLAB[Feriados]))</f>
        <v>4</v>
      </c>
      <c r="M54" s="2">
        <f>IF(OR(Bandeja_SCTR[[#This Row],[FechaRecepcion]]="",Bandeja_SCTR[[#This Row],[FechaCierre]]=""),"",ROUND((Bandeja_SCTR[[#This Row],[FechaCierre]]-Bandeja_SCTR[[#This Row],[FechaRecepcion]])*24,1))</f>
        <v>124.6</v>
      </c>
      <c r="N54" s="3">
        <f>IF(Bandeja_SCTR[[#This Row],[FechaRecepcion]]="","",DATE(YEAR(Bandeja_SCTR[[#This Row],[FechaRecepcion]]),MONTH(Bandeja_SCTR[[#This Row],[FechaRecepcion]]),1))</f>
        <v>46296</v>
      </c>
      <c r="O54">
        <f>IF(Bandeja_SCTR[[#This Row],[Estado]]="FINALIZADO",1,0)</f>
        <v>1</v>
      </c>
      <c r="P54">
        <f>IF(Bandeja_SCTR[[#This Row],[CasoId]]="",0,IF(Bandeja_SCTR[[#This Row],[Estado]]="FINALIZADO",0,1))</f>
        <v>0</v>
      </c>
    </row>
    <row r="55" spans="1:16">
      <c r="A55" t="s">
        <v>270</v>
      </c>
      <c r="B55" t="s">
        <v>271</v>
      </c>
      <c r="C55" t="s">
        <v>272</v>
      </c>
      <c r="D55" s="1">
        <v>46309.512858796297</v>
      </c>
      <c r="E55" s="1">
        <v>46309.512858796297</v>
      </c>
      <c r="F55" s="1" t="s">
        <v>251</v>
      </c>
      <c r="H55" s="1"/>
      <c r="J55" t="s">
        <v>252</v>
      </c>
      <c r="K55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5</v>
      </c>
      <c r="L55">
        <f ca="1">IF(Bandeja_SCTR[[#This Row],[FechaRecepcion]]="","",NETWORKDAYS(INT(Bandeja_SCTR[[#This Row],[FechaRecepcion]]),IF(Bandeja_SCTR[[#This Row],[FechaCierre]]="",TODAY(),INT(Bandeja_SCTR[[#This Row],[FechaCierre]])),DIAS_NOLAB[Feriados]))</f>
        <v>5</v>
      </c>
      <c r="M55" s="2" t="str">
        <f>IF(OR(Bandeja_SCTR[[#This Row],[FechaRecepcion]]="",Bandeja_SCTR[[#This Row],[FechaCierre]]=""),"",ROUND((Bandeja_SCTR[[#This Row],[FechaCierre]]-Bandeja_SCTR[[#This Row],[FechaRecepcion]])*24,1))</f>
        <v/>
      </c>
      <c r="N55" s="3">
        <f>IF(Bandeja_SCTR[[#This Row],[FechaRecepcion]]="","",DATE(YEAR(Bandeja_SCTR[[#This Row],[FechaRecepcion]]),MONTH(Bandeja_SCTR[[#This Row],[FechaRecepcion]]),1))</f>
        <v>46296</v>
      </c>
      <c r="O55">
        <f>IF(Bandeja_SCTR[[#This Row],[Estado]]="FINALIZADO",1,0)</f>
        <v>0</v>
      </c>
      <c r="P55">
        <f>IF(Bandeja_SCTR[[#This Row],[CasoId]]="",0,IF(Bandeja_SCTR[[#This Row],[Estado]]="FINALIZADO",0,1))</f>
        <v>1</v>
      </c>
    </row>
    <row r="56" spans="1:16">
      <c r="A56" t="s">
        <v>273</v>
      </c>
      <c r="B56" t="s">
        <v>274</v>
      </c>
      <c r="C56" t="s">
        <v>275</v>
      </c>
      <c r="D56" s="1">
        <v>46309.515405092592</v>
      </c>
      <c r="E56" s="1">
        <v>46309.515405092592</v>
      </c>
      <c r="F56" s="1" t="s">
        <v>276</v>
      </c>
      <c r="H56" s="1"/>
      <c r="J56" t="s">
        <v>206</v>
      </c>
      <c r="K56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5</v>
      </c>
      <c r="L56">
        <f ca="1">IF(Bandeja_SCTR[[#This Row],[FechaRecepcion]]="","",NETWORKDAYS(INT(Bandeja_SCTR[[#This Row],[FechaRecepcion]]),IF(Bandeja_SCTR[[#This Row],[FechaCierre]]="",TODAY(),INT(Bandeja_SCTR[[#This Row],[FechaCierre]])),DIAS_NOLAB[Feriados]))</f>
        <v>5</v>
      </c>
      <c r="M56" s="2" t="str">
        <f>IF(OR(Bandeja_SCTR[[#This Row],[FechaRecepcion]]="",Bandeja_SCTR[[#This Row],[FechaCierre]]=""),"",ROUND((Bandeja_SCTR[[#This Row],[FechaCierre]]-Bandeja_SCTR[[#This Row],[FechaRecepcion]])*24,1))</f>
        <v/>
      </c>
      <c r="N56" s="3">
        <f>IF(Bandeja_SCTR[[#This Row],[FechaRecepcion]]="","",DATE(YEAR(Bandeja_SCTR[[#This Row],[FechaRecepcion]]),MONTH(Bandeja_SCTR[[#This Row],[FechaRecepcion]]),1))</f>
        <v>46296</v>
      </c>
      <c r="O56">
        <f>IF(Bandeja_SCTR[[#This Row],[Estado]]="FINALIZADO",1,0)</f>
        <v>0</v>
      </c>
      <c r="P56">
        <f>IF(Bandeja_SCTR[[#This Row],[CasoId]]="",0,IF(Bandeja_SCTR[[#This Row],[Estado]]="FINALIZADO",0,1))</f>
        <v>1</v>
      </c>
    </row>
    <row r="57" spans="1:16" hidden="1">
      <c r="A57" t="s">
        <v>277</v>
      </c>
      <c r="B57" t="s">
        <v>278</v>
      </c>
      <c r="C57" t="s">
        <v>279</v>
      </c>
      <c r="D57" s="1">
        <v>46309.516527777778</v>
      </c>
      <c r="E57" s="1">
        <v>46309.531435185185</v>
      </c>
      <c r="F57" s="1" t="s">
        <v>91</v>
      </c>
      <c r="G57" t="s">
        <v>30</v>
      </c>
      <c r="H57" s="1">
        <v>46309.519502314812</v>
      </c>
      <c r="I57" t="s">
        <v>210</v>
      </c>
      <c r="J57" t="s">
        <v>280</v>
      </c>
      <c r="K57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57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57" s="2">
        <f>IF(OR(Bandeja_SCTR[[#This Row],[FechaRecepcion]]="",Bandeja_SCTR[[#This Row],[FechaCierre]]=""),"",ROUND((Bandeja_SCTR[[#This Row],[FechaCierre]]-Bandeja_SCTR[[#This Row],[FechaRecepcion]])*24,1))</f>
        <v>0.1</v>
      </c>
      <c r="N57" s="3">
        <f>IF(Bandeja_SCTR[[#This Row],[FechaRecepcion]]="","",DATE(YEAR(Bandeja_SCTR[[#This Row],[FechaRecepcion]]),MONTH(Bandeja_SCTR[[#This Row],[FechaRecepcion]]),1))</f>
        <v>46296</v>
      </c>
      <c r="O57">
        <f>IF(Bandeja_SCTR[[#This Row],[Estado]]="FINALIZADO",1,0)</f>
        <v>1</v>
      </c>
      <c r="P57">
        <f>IF(Bandeja_SCTR[[#This Row],[CasoId]]="",0,IF(Bandeja_SCTR[[#This Row],[Estado]]="FINALIZADO",0,1))</f>
        <v>0</v>
      </c>
    </row>
    <row r="58" spans="1:16" hidden="1">
      <c r="A58" t="s">
        <v>281</v>
      </c>
      <c r="B58" t="s">
        <v>282</v>
      </c>
      <c r="C58" t="s">
        <v>283</v>
      </c>
      <c r="D58" s="1">
        <v>46309.519988425927</v>
      </c>
      <c r="E58" s="1">
        <v>46309.545729166668</v>
      </c>
      <c r="F58" s="1" t="s">
        <v>145</v>
      </c>
      <c r="G58" t="s">
        <v>30</v>
      </c>
      <c r="H58" s="1">
        <v>46309.545729166668</v>
      </c>
      <c r="I58" t="s">
        <v>284</v>
      </c>
      <c r="J58" t="s">
        <v>285</v>
      </c>
      <c r="K58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58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58" s="2">
        <f>IF(OR(Bandeja_SCTR[[#This Row],[FechaRecepcion]]="",Bandeja_SCTR[[#This Row],[FechaCierre]]=""),"",ROUND((Bandeja_SCTR[[#This Row],[FechaCierre]]-Bandeja_SCTR[[#This Row],[FechaRecepcion]])*24,1))</f>
        <v>0.6</v>
      </c>
      <c r="N58" s="3">
        <f>IF(Bandeja_SCTR[[#This Row],[FechaRecepcion]]="","",DATE(YEAR(Bandeja_SCTR[[#This Row],[FechaRecepcion]]),MONTH(Bandeja_SCTR[[#This Row],[FechaRecepcion]]),1))</f>
        <v>46296</v>
      </c>
      <c r="O58">
        <f>IF(Bandeja_SCTR[[#This Row],[Estado]]="FINALIZADO",1,0)</f>
        <v>1</v>
      </c>
      <c r="P58">
        <f>IF(Bandeja_SCTR[[#This Row],[CasoId]]="",0,IF(Bandeja_SCTR[[#This Row],[Estado]]="FINALIZADO",0,1))</f>
        <v>0</v>
      </c>
    </row>
    <row r="59" spans="1:16">
      <c r="A59" t="s">
        <v>286</v>
      </c>
      <c r="B59" t="s">
        <v>287</v>
      </c>
      <c r="C59" t="s">
        <v>288</v>
      </c>
      <c r="D59" s="1">
        <v>46309.524606481486</v>
      </c>
      <c r="E59" s="1">
        <v>46311.580300925925</v>
      </c>
      <c r="F59" s="1" t="s">
        <v>138</v>
      </c>
      <c r="H59" s="1"/>
      <c r="I59" t="s">
        <v>139</v>
      </c>
      <c r="J59" t="s">
        <v>289</v>
      </c>
      <c r="K59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3</v>
      </c>
      <c r="L59">
        <f ca="1">IF(Bandeja_SCTR[[#This Row],[FechaRecepcion]]="","",NETWORKDAYS(INT(Bandeja_SCTR[[#This Row],[FechaRecepcion]]),IF(Bandeja_SCTR[[#This Row],[FechaCierre]]="",TODAY(),INT(Bandeja_SCTR[[#This Row],[FechaCierre]])),DIAS_NOLAB[Feriados]))</f>
        <v>5</v>
      </c>
      <c r="M59" s="2" t="str">
        <f>IF(OR(Bandeja_SCTR[[#This Row],[FechaRecepcion]]="",Bandeja_SCTR[[#This Row],[FechaCierre]]=""),"",ROUND((Bandeja_SCTR[[#This Row],[FechaCierre]]-Bandeja_SCTR[[#This Row],[FechaRecepcion]])*24,1))</f>
        <v/>
      </c>
      <c r="N59" s="3">
        <f>IF(Bandeja_SCTR[[#This Row],[FechaRecepcion]]="","",DATE(YEAR(Bandeja_SCTR[[#This Row],[FechaRecepcion]]),MONTH(Bandeja_SCTR[[#This Row],[FechaRecepcion]]),1))</f>
        <v>46296</v>
      </c>
      <c r="O59">
        <f>IF(Bandeja_SCTR[[#This Row],[Estado]]="FINALIZADO",1,0)</f>
        <v>0</v>
      </c>
      <c r="P59">
        <f>IF(Bandeja_SCTR[[#This Row],[CasoId]]="",0,IF(Bandeja_SCTR[[#This Row],[Estado]]="FINALIZADO",0,1))</f>
        <v>1</v>
      </c>
    </row>
    <row r="60" spans="1:16">
      <c r="A60" t="s">
        <v>290</v>
      </c>
      <c r="B60" t="s">
        <v>291</v>
      </c>
      <c r="C60" t="s">
        <v>292</v>
      </c>
      <c r="D60" s="1">
        <v>46309.525451388894</v>
      </c>
      <c r="E60" s="1">
        <v>46309.525451388894</v>
      </c>
      <c r="F60" s="1" t="s">
        <v>293</v>
      </c>
      <c r="H60" s="1"/>
      <c r="J60" t="s">
        <v>294</v>
      </c>
      <c r="K60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5</v>
      </c>
      <c r="L60">
        <f ca="1">IF(Bandeja_SCTR[[#This Row],[FechaRecepcion]]="","",NETWORKDAYS(INT(Bandeja_SCTR[[#This Row],[FechaRecepcion]]),IF(Bandeja_SCTR[[#This Row],[FechaCierre]]="",TODAY(),INT(Bandeja_SCTR[[#This Row],[FechaCierre]])),DIAS_NOLAB[Feriados]))</f>
        <v>5</v>
      </c>
      <c r="M60" s="2" t="str">
        <f>IF(OR(Bandeja_SCTR[[#This Row],[FechaRecepcion]]="",Bandeja_SCTR[[#This Row],[FechaCierre]]=""),"",ROUND((Bandeja_SCTR[[#This Row],[FechaCierre]]-Bandeja_SCTR[[#This Row],[FechaRecepcion]])*24,1))</f>
        <v/>
      </c>
      <c r="N60" s="3">
        <f>IF(Bandeja_SCTR[[#This Row],[FechaRecepcion]]="","",DATE(YEAR(Bandeja_SCTR[[#This Row],[FechaRecepcion]]),MONTH(Bandeja_SCTR[[#This Row],[FechaRecepcion]]),1))</f>
        <v>46296</v>
      </c>
      <c r="O60">
        <f>IF(Bandeja_SCTR[[#This Row],[Estado]]="FINALIZADO",1,0)</f>
        <v>0</v>
      </c>
      <c r="P60">
        <f>IF(Bandeja_SCTR[[#This Row],[CasoId]]="",0,IF(Bandeja_SCTR[[#This Row],[Estado]]="FINALIZADO",0,1))</f>
        <v>1</v>
      </c>
    </row>
    <row r="61" spans="1:16">
      <c r="A61" t="s">
        <v>295</v>
      </c>
      <c r="B61" t="s">
        <v>296</v>
      </c>
      <c r="C61" t="s">
        <v>297</v>
      </c>
      <c r="D61" s="1">
        <v>46309.529351851852</v>
      </c>
      <c r="E61" s="1">
        <v>46309.529351851852</v>
      </c>
      <c r="F61" s="1" t="s">
        <v>138</v>
      </c>
      <c r="H61" s="1"/>
      <c r="J61" t="s">
        <v>298</v>
      </c>
      <c r="K61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5</v>
      </c>
      <c r="L61">
        <f ca="1">IF(Bandeja_SCTR[[#This Row],[FechaRecepcion]]="","",NETWORKDAYS(INT(Bandeja_SCTR[[#This Row],[FechaRecepcion]]),IF(Bandeja_SCTR[[#This Row],[FechaCierre]]="",TODAY(),INT(Bandeja_SCTR[[#This Row],[FechaCierre]])),DIAS_NOLAB[Feriados]))</f>
        <v>5</v>
      </c>
      <c r="M61" s="2" t="str">
        <f>IF(OR(Bandeja_SCTR[[#This Row],[FechaRecepcion]]="",Bandeja_SCTR[[#This Row],[FechaCierre]]=""),"",ROUND((Bandeja_SCTR[[#This Row],[FechaCierre]]-Bandeja_SCTR[[#This Row],[FechaRecepcion]])*24,1))</f>
        <v/>
      </c>
      <c r="N61" s="3">
        <f>IF(Bandeja_SCTR[[#This Row],[FechaRecepcion]]="","",DATE(YEAR(Bandeja_SCTR[[#This Row],[FechaRecepcion]]),MONTH(Bandeja_SCTR[[#This Row],[FechaRecepcion]]),1))</f>
        <v>46296</v>
      </c>
      <c r="O61">
        <f>IF(Bandeja_SCTR[[#This Row],[Estado]]="FINALIZADO",1,0)</f>
        <v>0</v>
      </c>
      <c r="P61">
        <f>IF(Bandeja_SCTR[[#This Row],[CasoId]]="",0,IF(Bandeja_SCTR[[#This Row],[Estado]]="FINALIZADO",0,1))</f>
        <v>1</v>
      </c>
    </row>
    <row r="62" spans="1:16" hidden="1">
      <c r="A62" t="s">
        <v>299</v>
      </c>
      <c r="B62" t="s">
        <v>300</v>
      </c>
      <c r="C62" t="s">
        <v>205</v>
      </c>
      <c r="D62" s="1">
        <v>46309.533032407402</v>
      </c>
      <c r="E62" s="1">
        <v>46315.404062500005</v>
      </c>
      <c r="F62" s="1" t="s">
        <v>96</v>
      </c>
      <c r="G62" t="s">
        <v>30</v>
      </c>
      <c r="H62" s="1">
        <v>46315.404062500005</v>
      </c>
      <c r="I62" t="s">
        <v>97</v>
      </c>
      <c r="J62" t="s">
        <v>206</v>
      </c>
      <c r="K62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62">
        <f ca="1">IF(Bandeja_SCTR[[#This Row],[FechaRecepcion]]="","",NETWORKDAYS(INT(Bandeja_SCTR[[#This Row],[FechaRecepcion]]),IF(Bandeja_SCTR[[#This Row],[FechaCierre]]="",TODAY(),INT(Bandeja_SCTR[[#This Row],[FechaCierre]])),DIAS_NOLAB[Feriados]))</f>
        <v>5</v>
      </c>
      <c r="M62" s="2">
        <f>IF(OR(Bandeja_SCTR[[#This Row],[FechaRecepcion]]="",Bandeja_SCTR[[#This Row],[FechaCierre]]=""),"",ROUND((Bandeja_SCTR[[#This Row],[FechaCierre]]-Bandeja_SCTR[[#This Row],[FechaRecepcion]])*24,1))</f>
        <v>140.9</v>
      </c>
      <c r="N62" s="3">
        <f>IF(Bandeja_SCTR[[#This Row],[FechaRecepcion]]="","",DATE(YEAR(Bandeja_SCTR[[#This Row],[FechaRecepcion]]),MONTH(Bandeja_SCTR[[#This Row],[FechaRecepcion]]),1))</f>
        <v>46296</v>
      </c>
      <c r="O62">
        <f>IF(Bandeja_SCTR[[#This Row],[Estado]]="FINALIZADO",1,0)</f>
        <v>1</v>
      </c>
      <c r="P62">
        <f>IF(Bandeja_SCTR[[#This Row],[CasoId]]="",0,IF(Bandeja_SCTR[[#This Row],[Estado]]="FINALIZADO",0,1))</f>
        <v>0</v>
      </c>
    </row>
    <row r="63" spans="1:16" hidden="1">
      <c r="A63" t="s">
        <v>301</v>
      </c>
      <c r="B63" t="s">
        <v>302</v>
      </c>
      <c r="C63" t="s">
        <v>205</v>
      </c>
      <c r="D63" s="1">
        <v>46309.533738425926</v>
      </c>
      <c r="E63" s="1">
        <v>46315.404062500005</v>
      </c>
      <c r="F63" s="1" t="s">
        <v>96</v>
      </c>
      <c r="G63" t="s">
        <v>30</v>
      </c>
      <c r="H63" s="1">
        <v>46315.404062500005</v>
      </c>
      <c r="I63" t="s">
        <v>97</v>
      </c>
      <c r="J63" t="s">
        <v>206</v>
      </c>
      <c r="K63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63">
        <f ca="1">IF(Bandeja_SCTR[[#This Row],[FechaRecepcion]]="","",NETWORKDAYS(INT(Bandeja_SCTR[[#This Row],[FechaRecepcion]]),IF(Bandeja_SCTR[[#This Row],[FechaCierre]]="",TODAY(),INT(Bandeja_SCTR[[#This Row],[FechaCierre]])),DIAS_NOLAB[Feriados]))</f>
        <v>5</v>
      </c>
      <c r="M63" s="2">
        <f>IF(OR(Bandeja_SCTR[[#This Row],[FechaRecepcion]]="",Bandeja_SCTR[[#This Row],[FechaCierre]]=""),"",ROUND((Bandeja_SCTR[[#This Row],[FechaCierre]]-Bandeja_SCTR[[#This Row],[FechaRecepcion]])*24,1))</f>
        <v>140.9</v>
      </c>
      <c r="N63" s="3">
        <f>IF(Bandeja_SCTR[[#This Row],[FechaRecepcion]]="","",DATE(YEAR(Bandeja_SCTR[[#This Row],[FechaRecepcion]]),MONTH(Bandeja_SCTR[[#This Row],[FechaRecepcion]]),1))</f>
        <v>46296</v>
      </c>
      <c r="O63">
        <f>IF(Bandeja_SCTR[[#This Row],[Estado]]="FINALIZADO",1,0)</f>
        <v>1</v>
      </c>
      <c r="P63">
        <f>IF(Bandeja_SCTR[[#This Row],[CasoId]]="",0,IF(Bandeja_SCTR[[#This Row],[Estado]]="FINALIZADO",0,1))</f>
        <v>0</v>
      </c>
    </row>
    <row r="64" spans="1:16">
      <c r="A64" t="s">
        <v>303</v>
      </c>
      <c r="B64" t="s">
        <v>304</v>
      </c>
      <c r="C64" t="s">
        <v>305</v>
      </c>
      <c r="D64" s="1">
        <v>46309.53534722222</v>
      </c>
      <c r="E64" s="1">
        <v>46309.563113425931</v>
      </c>
      <c r="F64" s="1" t="s">
        <v>306</v>
      </c>
      <c r="H64" s="1"/>
      <c r="J64" t="s">
        <v>307</v>
      </c>
      <c r="K64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5</v>
      </c>
      <c r="L64">
        <f ca="1">IF(Bandeja_SCTR[[#This Row],[FechaRecepcion]]="","",NETWORKDAYS(INT(Bandeja_SCTR[[#This Row],[FechaRecepcion]]),IF(Bandeja_SCTR[[#This Row],[FechaCierre]]="",TODAY(),INT(Bandeja_SCTR[[#This Row],[FechaCierre]])),DIAS_NOLAB[Feriados]))</f>
        <v>5</v>
      </c>
      <c r="M64" s="2" t="str">
        <f>IF(OR(Bandeja_SCTR[[#This Row],[FechaRecepcion]]="",Bandeja_SCTR[[#This Row],[FechaCierre]]=""),"",ROUND((Bandeja_SCTR[[#This Row],[FechaCierre]]-Bandeja_SCTR[[#This Row],[FechaRecepcion]])*24,1))</f>
        <v/>
      </c>
      <c r="N64" s="3">
        <f>IF(Bandeja_SCTR[[#This Row],[FechaRecepcion]]="","",DATE(YEAR(Bandeja_SCTR[[#This Row],[FechaRecepcion]]),MONTH(Bandeja_SCTR[[#This Row],[FechaRecepcion]]),1))</f>
        <v>46296</v>
      </c>
      <c r="O64">
        <f>IF(Bandeja_SCTR[[#This Row],[Estado]]="FINALIZADO",1,0)</f>
        <v>0</v>
      </c>
      <c r="P64">
        <f>IF(Bandeja_SCTR[[#This Row],[CasoId]]="",0,IF(Bandeja_SCTR[[#This Row],[Estado]]="FINALIZADO",0,1))</f>
        <v>1</v>
      </c>
    </row>
    <row r="65" spans="1:16">
      <c r="A65" t="s">
        <v>308</v>
      </c>
      <c r="B65" t="s">
        <v>309</v>
      </c>
      <c r="C65" t="s">
        <v>310</v>
      </c>
      <c r="D65" s="1">
        <v>46309.536261574074</v>
      </c>
      <c r="E65" s="1">
        <v>46310.728773148148</v>
      </c>
      <c r="F65" s="1" t="s">
        <v>197</v>
      </c>
      <c r="H65" s="1"/>
      <c r="I65" t="s">
        <v>311</v>
      </c>
      <c r="J65" t="s">
        <v>312</v>
      </c>
      <c r="K65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4</v>
      </c>
      <c r="L65">
        <f ca="1">IF(Bandeja_SCTR[[#This Row],[FechaRecepcion]]="","",NETWORKDAYS(INT(Bandeja_SCTR[[#This Row],[FechaRecepcion]]),IF(Bandeja_SCTR[[#This Row],[FechaCierre]]="",TODAY(),INT(Bandeja_SCTR[[#This Row],[FechaCierre]])),DIAS_NOLAB[Feriados]))</f>
        <v>5</v>
      </c>
      <c r="M65" s="2" t="str">
        <f>IF(OR(Bandeja_SCTR[[#This Row],[FechaRecepcion]]="",Bandeja_SCTR[[#This Row],[FechaCierre]]=""),"",ROUND((Bandeja_SCTR[[#This Row],[FechaCierre]]-Bandeja_SCTR[[#This Row],[FechaRecepcion]])*24,1))</f>
        <v/>
      </c>
      <c r="N65" s="3">
        <f>IF(Bandeja_SCTR[[#This Row],[FechaRecepcion]]="","",DATE(YEAR(Bandeja_SCTR[[#This Row],[FechaRecepcion]]),MONTH(Bandeja_SCTR[[#This Row],[FechaRecepcion]]),1))</f>
        <v>46296</v>
      </c>
      <c r="O65">
        <f>IF(Bandeja_SCTR[[#This Row],[Estado]]="FINALIZADO",1,0)</f>
        <v>0</v>
      </c>
      <c r="P65">
        <f>IF(Bandeja_SCTR[[#This Row],[CasoId]]="",0,IF(Bandeja_SCTR[[#This Row],[Estado]]="FINALIZADO",0,1))</f>
        <v>1</v>
      </c>
    </row>
    <row r="66" spans="1:16" hidden="1">
      <c r="A66" t="s">
        <v>313</v>
      </c>
      <c r="B66" t="s">
        <v>314</v>
      </c>
      <c r="C66" t="s">
        <v>315</v>
      </c>
      <c r="D66" s="1">
        <v>46309.536006944443</v>
      </c>
      <c r="E66" s="1">
        <v>46309.536006944443</v>
      </c>
      <c r="F66" s="1" t="s">
        <v>316</v>
      </c>
      <c r="G66" t="s">
        <v>30</v>
      </c>
      <c r="H66" s="1">
        <v>46309.536006944443</v>
      </c>
      <c r="I66" t="s">
        <v>317</v>
      </c>
      <c r="J66" t="s">
        <v>318</v>
      </c>
      <c r="K66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66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66" s="2">
        <f>IF(OR(Bandeja_SCTR[[#This Row],[FechaRecepcion]]="",Bandeja_SCTR[[#This Row],[FechaCierre]]=""),"",ROUND((Bandeja_SCTR[[#This Row],[FechaCierre]]-Bandeja_SCTR[[#This Row],[FechaRecepcion]])*24,1))</f>
        <v>0</v>
      </c>
      <c r="N66" s="3">
        <f>IF(Bandeja_SCTR[[#This Row],[FechaRecepcion]]="","",DATE(YEAR(Bandeja_SCTR[[#This Row],[FechaRecepcion]]),MONTH(Bandeja_SCTR[[#This Row],[FechaRecepcion]]),1))</f>
        <v>46296</v>
      </c>
      <c r="O66">
        <f>IF(Bandeja_SCTR[[#This Row],[Estado]]="FINALIZADO",1,0)</f>
        <v>1</v>
      </c>
      <c r="P66">
        <f>IF(Bandeja_SCTR[[#This Row],[CasoId]]="",0,IF(Bandeja_SCTR[[#This Row],[Estado]]="FINALIZADO",0,1))</f>
        <v>0</v>
      </c>
    </row>
    <row r="67" spans="1:16" hidden="1">
      <c r="A67" t="s">
        <v>319</v>
      </c>
      <c r="B67" t="s">
        <v>320</v>
      </c>
      <c r="C67" t="s">
        <v>321</v>
      </c>
      <c r="D67" s="1">
        <v>46309.53837962963</v>
      </c>
      <c r="E67" s="1">
        <v>46311.502152777779</v>
      </c>
      <c r="F67" s="1" t="s">
        <v>96</v>
      </c>
      <c r="G67" t="s">
        <v>30</v>
      </c>
      <c r="H67" s="1">
        <v>46311.502152777779</v>
      </c>
      <c r="I67" t="s">
        <v>97</v>
      </c>
      <c r="J67" t="s">
        <v>322</v>
      </c>
      <c r="K67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67">
        <f ca="1">IF(Bandeja_SCTR[[#This Row],[FechaRecepcion]]="","",NETWORKDAYS(INT(Bandeja_SCTR[[#This Row],[FechaRecepcion]]),IF(Bandeja_SCTR[[#This Row],[FechaCierre]]="",TODAY(),INT(Bandeja_SCTR[[#This Row],[FechaCierre]])),DIAS_NOLAB[Feriados]))</f>
        <v>3</v>
      </c>
      <c r="M67" s="2">
        <f>IF(OR(Bandeja_SCTR[[#This Row],[FechaRecepcion]]="",Bandeja_SCTR[[#This Row],[FechaCierre]]=""),"",ROUND((Bandeja_SCTR[[#This Row],[FechaCierre]]-Bandeja_SCTR[[#This Row],[FechaRecepcion]])*24,1))</f>
        <v>47.1</v>
      </c>
      <c r="N67" s="3">
        <f>IF(Bandeja_SCTR[[#This Row],[FechaRecepcion]]="","",DATE(YEAR(Bandeja_SCTR[[#This Row],[FechaRecepcion]]),MONTH(Bandeja_SCTR[[#This Row],[FechaRecepcion]]),1))</f>
        <v>46296</v>
      </c>
      <c r="O67">
        <f>IF(Bandeja_SCTR[[#This Row],[Estado]]="FINALIZADO",1,0)</f>
        <v>1</v>
      </c>
      <c r="P67">
        <f>IF(Bandeja_SCTR[[#This Row],[CasoId]]="",0,IF(Bandeja_SCTR[[#This Row],[Estado]]="FINALIZADO",0,1))</f>
        <v>0</v>
      </c>
    </row>
    <row r="68" spans="1:16" hidden="1">
      <c r="A68" t="s">
        <v>323</v>
      </c>
      <c r="B68" t="s">
        <v>324</v>
      </c>
      <c r="C68" t="s">
        <v>325</v>
      </c>
      <c r="D68" s="1">
        <v>46309.538506944446</v>
      </c>
      <c r="E68" s="1">
        <v>46314.431180555555</v>
      </c>
      <c r="F68" s="1" t="s">
        <v>96</v>
      </c>
      <c r="G68" t="s">
        <v>30</v>
      </c>
      <c r="H68" s="1">
        <v>46314.431180555555</v>
      </c>
      <c r="I68" t="s">
        <v>268</v>
      </c>
      <c r="J68" t="s">
        <v>326</v>
      </c>
      <c r="K68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68">
        <f ca="1">IF(Bandeja_SCTR[[#This Row],[FechaRecepcion]]="","",NETWORKDAYS(INT(Bandeja_SCTR[[#This Row],[FechaRecepcion]]),IF(Bandeja_SCTR[[#This Row],[FechaCierre]]="",TODAY(),INT(Bandeja_SCTR[[#This Row],[FechaCierre]])),DIAS_NOLAB[Feriados]))</f>
        <v>4</v>
      </c>
      <c r="M68" s="2">
        <f>IF(OR(Bandeja_SCTR[[#This Row],[FechaRecepcion]]="",Bandeja_SCTR[[#This Row],[FechaCierre]]=""),"",ROUND((Bandeja_SCTR[[#This Row],[FechaCierre]]-Bandeja_SCTR[[#This Row],[FechaRecepcion]])*24,1))</f>
        <v>117.4</v>
      </c>
      <c r="N68" s="3">
        <f>IF(Bandeja_SCTR[[#This Row],[FechaRecepcion]]="","",DATE(YEAR(Bandeja_SCTR[[#This Row],[FechaRecepcion]]),MONTH(Bandeja_SCTR[[#This Row],[FechaRecepcion]]),1))</f>
        <v>46296</v>
      </c>
      <c r="O68">
        <f>IF(Bandeja_SCTR[[#This Row],[Estado]]="FINALIZADO",1,0)</f>
        <v>1</v>
      </c>
      <c r="P68">
        <f>IF(Bandeja_SCTR[[#This Row],[CasoId]]="",0,IF(Bandeja_SCTR[[#This Row],[Estado]]="FINALIZADO",0,1))</f>
        <v>0</v>
      </c>
    </row>
    <row r="69" spans="1:16">
      <c r="A69" t="s">
        <v>327</v>
      </c>
      <c r="B69" t="s">
        <v>328</v>
      </c>
      <c r="C69" t="s">
        <v>329</v>
      </c>
      <c r="D69" s="1">
        <v>46309.544374999998</v>
      </c>
      <c r="E69" s="1">
        <v>46309.544374999998</v>
      </c>
      <c r="F69" s="1" t="s">
        <v>330</v>
      </c>
      <c r="H69" s="1"/>
      <c r="J69" t="s">
        <v>331</v>
      </c>
      <c r="K69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5</v>
      </c>
      <c r="L69">
        <f ca="1">IF(Bandeja_SCTR[[#This Row],[FechaRecepcion]]="","",NETWORKDAYS(INT(Bandeja_SCTR[[#This Row],[FechaRecepcion]]),IF(Bandeja_SCTR[[#This Row],[FechaCierre]]="",TODAY(),INT(Bandeja_SCTR[[#This Row],[FechaCierre]])),DIAS_NOLAB[Feriados]))</f>
        <v>5</v>
      </c>
      <c r="M69" s="2" t="str">
        <f>IF(OR(Bandeja_SCTR[[#This Row],[FechaRecepcion]]="",Bandeja_SCTR[[#This Row],[FechaCierre]]=""),"",ROUND((Bandeja_SCTR[[#This Row],[FechaCierre]]-Bandeja_SCTR[[#This Row],[FechaRecepcion]])*24,1))</f>
        <v/>
      </c>
      <c r="N69" s="3">
        <f>IF(Bandeja_SCTR[[#This Row],[FechaRecepcion]]="","",DATE(YEAR(Bandeja_SCTR[[#This Row],[FechaRecepcion]]),MONTH(Bandeja_SCTR[[#This Row],[FechaRecepcion]]),1))</f>
        <v>46296</v>
      </c>
      <c r="O69">
        <f>IF(Bandeja_SCTR[[#This Row],[Estado]]="FINALIZADO",1,0)</f>
        <v>0</v>
      </c>
      <c r="P69">
        <f>IF(Bandeja_SCTR[[#This Row],[CasoId]]="",0,IF(Bandeja_SCTR[[#This Row],[Estado]]="FINALIZADO",0,1))</f>
        <v>1</v>
      </c>
    </row>
    <row r="70" spans="1:16" hidden="1">
      <c r="A70" t="s">
        <v>332</v>
      </c>
      <c r="B70" t="s">
        <v>333</v>
      </c>
      <c r="C70" t="s">
        <v>334</v>
      </c>
      <c r="D70" s="1">
        <v>46309.547002314815</v>
      </c>
      <c r="E70" s="1">
        <v>46309.547002314815</v>
      </c>
      <c r="F70" s="1" t="s">
        <v>335</v>
      </c>
      <c r="G70" t="s">
        <v>30</v>
      </c>
      <c r="H70" s="1">
        <v>46309.547002314815</v>
      </c>
      <c r="I70" t="s">
        <v>335</v>
      </c>
      <c r="J70" t="s">
        <v>336</v>
      </c>
      <c r="K70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70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70" s="2">
        <f>IF(OR(Bandeja_SCTR[[#This Row],[FechaRecepcion]]="",Bandeja_SCTR[[#This Row],[FechaCierre]]=""),"",ROUND((Bandeja_SCTR[[#This Row],[FechaCierre]]-Bandeja_SCTR[[#This Row],[FechaRecepcion]])*24,1))</f>
        <v>0</v>
      </c>
      <c r="N70" s="3">
        <f>IF(Bandeja_SCTR[[#This Row],[FechaRecepcion]]="","",DATE(YEAR(Bandeja_SCTR[[#This Row],[FechaRecepcion]]),MONTH(Bandeja_SCTR[[#This Row],[FechaRecepcion]]),1))</f>
        <v>46296</v>
      </c>
      <c r="O70">
        <f>IF(Bandeja_SCTR[[#This Row],[Estado]]="FINALIZADO",1,0)</f>
        <v>1</v>
      </c>
      <c r="P70">
        <f>IF(Bandeja_SCTR[[#This Row],[CasoId]]="",0,IF(Bandeja_SCTR[[#This Row],[Estado]]="FINALIZADO",0,1))</f>
        <v>0</v>
      </c>
    </row>
    <row r="71" spans="1:16" hidden="1">
      <c r="A71" t="s">
        <v>337</v>
      </c>
      <c r="B71" t="s">
        <v>338</v>
      </c>
      <c r="C71" t="s">
        <v>339</v>
      </c>
      <c r="D71" s="1">
        <v>46309.548495370371</v>
      </c>
      <c r="E71" s="1">
        <v>46309.55363425926</v>
      </c>
      <c r="F71" s="1" t="s">
        <v>197</v>
      </c>
      <c r="G71" t="s">
        <v>30</v>
      </c>
      <c r="H71" s="1">
        <v>46309.55363425926</v>
      </c>
      <c r="I71" t="s">
        <v>198</v>
      </c>
      <c r="J71" t="s">
        <v>340</v>
      </c>
      <c r="K71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71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71" s="2">
        <f>IF(OR(Bandeja_SCTR[[#This Row],[FechaRecepcion]]="",Bandeja_SCTR[[#This Row],[FechaCierre]]=""),"",ROUND((Bandeja_SCTR[[#This Row],[FechaCierre]]-Bandeja_SCTR[[#This Row],[FechaRecepcion]])*24,1))</f>
        <v>0.1</v>
      </c>
      <c r="N71" s="3">
        <f>IF(Bandeja_SCTR[[#This Row],[FechaRecepcion]]="","",DATE(YEAR(Bandeja_SCTR[[#This Row],[FechaRecepcion]]),MONTH(Bandeja_SCTR[[#This Row],[FechaRecepcion]]),1))</f>
        <v>46296</v>
      </c>
      <c r="O71">
        <f>IF(Bandeja_SCTR[[#This Row],[Estado]]="FINALIZADO",1,0)</f>
        <v>1</v>
      </c>
      <c r="P71">
        <f>IF(Bandeja_SCTR[[#This Row],[CasoId]]="",0,IF(Bandeja_SCTR[[#This Row],[Estado]]="FINALIZADO",0,1))</f>
        <v>0</v>
      </c>
    </row>
    <row r="72" spans="1:16">
      <c r="A72" t="s">
        <v>341</v>
      </c>
      <c r="B72" t="s">
        <v>33</v>
      </c>
      <c r="C72" t="s">
        <v>342</v>
      </c>
      <c r="D72" s="1">
        <v>46309.550185185188</v>
      </c>
      <c r="E72" s="1">
        <v>46309.550185185188</v>
      </c>
      <c r="F72" s="1" t="s">
        <v>85</v>
      </c>
      <c r="H72" s="1"/>
      <c r="J72" t="s">
        <v>343</v>
      </c>
      <c r="K72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5</v>
      </c>
      <c r="L72">
        <f ca="1">IF(Bandeja_SCTR[[#This Row],[FechaRecepcion]]="","",NETWORKDAYS(INT(Bandeja_SCTR[[#This Row],[FechaRecepcion]]),IF(Bandeja_SCTR[[#This Row],[FechaCierre]]="",TODAY(),INT(Bandeja_SCTR[[#This Row],[FechaCierre]])),DIAS_NOLAB[Feriados]))</f>
        <v>5</v>
      </c>
      <c r="M72" s="2" t="str">
        <f>IF(OR(Bandeja_SCTR[[#This Row],[FechaRecepcion]]="",Bandeja_SCTR[[#This Row],[FechaCierre]]=""),"",ROUND((Bandeja_SCTR[[#This Row],[FechaCierre]]-Bandeja_SCTR[[#This Row],[FechaRecepcion]])*24,1))</f>
        <v/>
      </c>
      <c r="N72" s="3">
        <f>IF(Bandeja_SCTR[[#This Row],[FechaRecepcion]]="","",DATE(YEAR(Bandeja_SCTR[[#This Row],[FechaRecepcion]]),MONTH(Bandeja_SCTR[[#This Row],[FechaRecepcion]]),1))</f>
        <v>46296</v>
      </c>
      <c r="O72">
        <f>IF(Bandeja_SCTR[[#This Row],[Estado]]="FINALIZADO",1,0)</f>
        <v>0</v>
      </c>
      <c r="P72">
        <f>IF(Bandeja_SCTR[[#This Row],[CasoId]]="",0,IF(Bandeja_SCTR[[#This Row],[Estado]]="FINALIZADO",0,1))</f>
        <v>1</v>
      </c>
    </row>
    <row r="73" spans="1:16" hidden="1">
      <c r="A73" t="s">
        <v>344</v>
      </c>
      <c r="B73" t="s">
        <v>345</v>
      </c>
      <c r="C73" t="s">
        <v>346</v>
      </c>
      <c r="D73" s="1">
        <v>46309.550925925927</v>
      </c>
      <c r="E73" s="1">
        <v>46309.615949074076</v>
      </c>
      <c r="F73" s="1" t="s">
        <v>91</v>
      </c>
      <c r="G73" t="s">
        <v>30</v>
      </c>
      <c r="H73" s="1">
        <v>46309.59311342593</v>
      </c>
      <c r="I73" t="s">
        <v>317</v>
      </c>
      <c r="J73" t="s">
        <v>347</v>
      </c>
      <c r="K73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73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73" s="2">
        <f>IF(OR(Bandeja_SCTR[[#This Row],[FechaRecepcion]]="",Bandeja_SCTR[[#This Row],[FechaCierre]]=""),"",ROUND((Bandeja_SCTR[[#This Row],[FechaCierre]]-Bandeja_SCTR[[#This Row],[FechaRecepcion]])*24,1))</f>
        <v>1</v>
      </c>
      <c r="N73" s="3">
        <f>IF(Bandeja_SCTR[[#This Row],[FechaRecepcion]]="","",DATE(YEAR(Bandeja_SCTR[[#This Row],[FechaRecepcion]]),MONTH(Bandeja_SCTR[[#This Row],[FechaRecepcion]]),1))</f>
        <v>46296</v>
      </c>
      <c r="O73">
        <f>IF(Bandeja_SCTR[[#This Row],[Estado]]="FINALIZADO",1,0)</f>
        <v>1</v>
      </c>
      <c r="P73">
        <f>IF(Bandeja_SCTR[[#This Row],[CasoId]]="",0,IF(Bandeja_SCTR[[#This Row],[Estado]]="FINALIZADO",0,1))</f>
        <v>0</v>
      </c>
    </row>
    <row r="74" spans="1:16">
      <c r="A74" t="s">
        <v>348</v>
      </c>
      <c r="B74" t="s">
        <v>349</v>
      </c>
      <c r="C74" t="s">
        <v>350</v>
      </c>
      <c r="D74" s="1">
        <v>46309.554803240739</v>
      </c>
      <c r="E74" s="1">
        <v>46311.720960648148</v>
      </c>
      <c r="F74" s="1" t="s">
        <v>91</v>
      </c>
      <c r="H74" s="1"/>
      <c r="I74" t="s">
        <v>91</v>
      </c>
      <c r="J74" t="s">
        <v>351</v>
      </c>
      <c r="K74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3</v>
      </c>
      <c r="L74">
        <f ca="1">IF(Bandeja_SCTR[[#This Row],[FechaRecepcion]]="","",NETWORKDAYS(INT(Bandeja_SCTR[[#This Row],[FechaRecepcion]]),IF(Bandeja_SCTR[[#This Row],[FechaCierre]]="",TODAY(),INT(Bandeja_SCTR[[#This Row],[FechaCierre]])),DIAS_NOLAB[Feriados]))</f>
        <v>5</v>
      </c>
      <c r="M74" s="2" t="str">
        <f>IF(OR(Bandeja_SCTR[[#This Row],[FechaRecepcion]]="",Bandeja_SCTR[[#This Row],[FechaCierre]]=""),"",ROUND((Bandeja_SCTR[[#This Row],[FechaCierre]]-Bandeja_SCTR[[#This Row],[FechaRecepcion]])*24,1))</f>
        <v/>
      </c>
      <c r="N74" s="3">
        <f>IF(Bandeja_SCTR[[#This Row],[FechaRecepcion]]="","",DATE(YEAR(Bandeja_SCTR[[#This Row],[FechaRecepcion]]),MONTH(Bandeja_SCTR[[#This Row],[FechaRecepcion]]),1))</f>
        <v>46296</v>
      </c>
      <c r="O74">
        <f>IF(Bandeja_SCTR[[#This Row],[Estado]]="FINALIZADO",1,0)</f>
        <v>0</v>
      </c>
      <c r="P74">
        <f>IF(Bandeja_SCTR[[#This Row],[CasoId]]="",0,IF(Bandeja_SCTR[[#This Row],[Estado]]="FINALIZADO",0,1))</f>
        <v>1</v>
      </c>
    </row>
    <row r="75" spans="1:16" hidden="1">
      <c r="A75" t="s">
        <v>352</v>
      </c>
      <c r="B75" t="s">
        <v>353</v>
      </c>
      <c r="C75" t="s">
        <v>354</v>
      </c>
      <c r="D75" s="1">
        <v>46309.556550925925</v>
      </c>
      <c r="E75" s="1">
        <v>46311.551400462966</v>
      </c>
      <c r="F75" s="1" t="s">
        <v>96</v>
      </c>
      <c r="G75" t="s">
        <v>30</v>
      </c>
      <c r="H75" s="1">
        <v>46311.551400462966</v>
      </c>
      <c r="I75" t="s">
        <v>97</v>
      </c>
      <c r="J75" t="s">
        <v>355</v>
      </c>
      <c r="K75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75">
        <f ca="1">IF(Bandeja_SCTR[[#This Row],[FechaRecepcion]]="","",NETWORKDAYS(INT(Bandeja_SCTR[[#This Row],[FechaRecepcion]]),IF(Bandeja_SCTR[[#This Row],[FechaCierre]]="",TODAY(),INT(Bandeja_SCTR[[#This Row],[FechaCierre]])),DIAS_NOLAB[Feriados]))</f>
        <v>3</v>
      </c>
      <c r="M75" s="2">
        <f>IF(OR(Bandeja_SCTR[[#This Row],[FechaRecepcion]]="",Bandeja_SCTR[[#This Row],[FechaCierre]]=""),"",ROUND((Bandeja_SCTR[[#This Row],[FechaCierre]]-Bandeja_SCTR[[#This Row],[FechaRecepcion]])*24,1))</f>
        <v>47.9</v>
      </c>
      <c r="N75" s="3">
        <f>IF(Bandeja_SCTR[[#This Row],[FechaRecepcion]]="","",DATE(YEAR(Bandeja_SCTR[[#This Row],[FechaRecepcion]]),MONTH(Bandeja_SCTR[[#This Row],[FechaRecepcion]]),1))</f>
        <v>46296</v>
      </c>
      <c r="O75">
        <f>IF(Bandeja_SCTR[[#This Row],[Estado]]="FINALIZADO",1,0)</f>
        <v>1</v>
      </c>
      <c r="P75">
        <f>IF(Bandeja_SCTR[[#This Row],[CasoId]]="",0,IF(Bandeja_SCTR[[#This Row],[Estado]]="FINALIZADO",0,1))</f>
        <v>0</v>
      </c>
    </row>
    <row r="76" spans="1:16">
      <c r="A76" t="s">
        <v>356</v>
      </c>
      <c r="B76" t="s">
        <v>282</v>
      </c>
      <c r="C76" t="s">
        <v>283</v>
      </c>
      <c r="D76" s="1">
        <v>46309.556168981479</v>
      </c>
      <c r="E76" s="1">
        <v>46309.556168981479</v>
      </c>
      <c r="F76" s="1" t="s">
        <v>357</v>
      </c>
      <c r="H76" s="1"/>
      <c r="J76" t="s">
        <v>358</v>
      </c>
      <c r="K76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5</v>
      </c>
      <c r="L76">
        <f ca="1">IF(Bandeja_SCTR[[#This Row],[FechaRecepcion]]="","",NETWORKDAYS(INT(Bandeja_SCTR[[#This Row],[FechaRecepcion]]),IF(Bandeja_SCTR[[#This Row],[FechaCierre]]="",TODAY(),INT(Bandeja_SCTR[[#This Row],[FechaCierre]])),DIAS_NOLAB[Feriados]))</f>
        <v>5</v>
      </c>
      <c r="M76" s="2" t="str">
        <f>IF(OR(Bandeja_SCTR[[#This Row],[FechaRecepcion]]="",Bandeja_SCTR[[#This Row],[FechaCierre]]=""),"",ROUND((Bandeja_SCTR[[#This Row],[FechaCierre]]-Bandeja_SCTR[[#This Row],[FechaRecepcion]])*24,1))</f>
        <v/>
      </c>
      <c r="N76" s="3">
        <f>IF(Bandeja_SCTR[[#This Row],[FechaRecepcion]]="","",DATE(YEAR(Bandeja_SCTR[[#This Row],[FechaRecepcion]]),MONTH(Bandeja_SCTR[[#This Row],[FechaRecepcion]]),1))</f>
        <v>46296</v>
      </c>
      <c r="O76">
        <f>IF(Bandeja_SCTR[[#This Row],[Estado]]="FINALIZADO",1,0)</f>
        <v>0</v>
      </c>
      <c r="P76">
        <f>IF(Bandeja_SCTR[[#This Row],[CasoId]]="",0,IF(Bandeja_SCTR[[#This Row],[Estado]]="FINALIZADO",0,1))</f>
        <v>1</v>
      </c>
    </row>
    <row r="77" spans="1:16">
      <c r="A77" t="s">
        <v>359</v>
      </c>
      <c r="B77" t="s">
        <v>360</v>
      </c>
      <c r="C77" t="s">
        <v>361</v>
      </c>
      <c r="D77" s="1">
        <v>46309.559525462959</v>
      </c>
      <c r="E77" s="1">
        <v>46309.671226851853</v>
      </c>
      <c r="F77" s="1" t="s">
        <v>362</v>
      </c>
      <c r="H77" s="1"/>
      <c r="J77" t="s">
        <v>363</v>
      </c>
      <c r="K77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5</v>
      </c>
      <c r="L77">
        <f ca="1">IF(Bandeja_SCTR[[#This Row],[FechaRecepcion]]="","",NETWORKDAYS(INT(Bandeja_SCTR[[#This Row],[FechaRecepcion]]),IF(Bandeja_SCTR[[#This Row],[FechaCierre]]="",TODAY(),INT(Bandeja_SCTR[[#This Row],[FechaCierre]])),DIAS_NOLAB[Feriados]))</f>
        <v>5</v>
      </c>
      <c r="M77" s="2" t="str">
        <f>IF(OR(Bandeja_SCTR[[#This Row],[FechaRecepcion]]="",Bandeja_SCTR[[#This Row],[FechaCierre]]=""),"",ROUND((Bandeja_SCTR[[#This Row],[FechaCierre]]-Bandeja_SCTR[[#This Row],[FechaRecepcion]])*24,1))</f>
        <v/>
      </c>
      <c r="N77" s="3">
        <f>IF(Bandeja_SCTR[[#This Row],[FechaRecepcion]]="","",DATE(YEAR(Bandeja_SCTR[[#This Row],[FechaRecepcion]]),MONTH(Bandeja_SCTR[[#This Row],[FechaRecepcion]]),1))</f>
        <v>46296</v>
      </c>
      <c r="O77">
        <f>IF(Bandeja_SCTR[[#This Row],[Estado]]="FINALIZADO",1,0)</f>
        <v>0</v>
      </c>
      <c r="P77">
        <f>IF(Bandeja_SCTR[[#This Row],[CasoId]]="",0,IF(Bandeja_SCTR[[#This Row],[Estado]]="FINALIZADO",0,1))</f>
        <v>1</v>
      </c>
    </row>
    <row r="78" spans="1:16" hidden="1">
      <c r="A78" t="s">
        <v>364</v>
      </c>
      <c r="B78" t="s">
        <v>365</v>
      </c>
      <c r="C78" t="s">
        <v>366</v>
      </c>
      <c r="D78" s="1">
        <v>46309.567986111113</v>
      </c>
      <c r="E78" s="1">
        <v>46309.567986111113</v>
      </c>
      <c r="F78" s="1" t="s">
        <v>29</v>
      </c>
      <c r="G78" t="s">
        <v>30</v>
      </c>
      <c r="H78" s="1">
        <v>46309.567986111113</v>
      </c>
      <c r="I78" t="s">
        <v>29</v>
      </c>
      <c r="J78" t="s">
        <v>367</v>
      </c>
      <c r="K78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78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78" s="2">
        <f>IF(OR(Bandeja_SCTR[[#This Row],[FechaRecepcion]]="",Bandeja_SCTR[[#This Row],[FechaCierre]]=""),"",ROUND((Bandeja_SCTR[[#This Row],[FechaCierre]]-Bandeja_SCTR[[#This Row],[FechaRecepcion]])*24,1))</f>
        <v>0</v>
      </c>
      <c r="N78" s="3">
        <f>IF(Bandeja_SCTR[[#This Row],[FechaRecepcion]]="","",DATE(YEAR(Bandeja_SCTR[[#This Row],[FechaRecepcion]]),MONTH(Bandeja_SCTR[[#This Row],[FechaRecepcion]]),1))</f>
        <v>46296</v>
      </c>
      <c r="O78">
        <f>IF(Bandeja_SCTR[[#This Row],[Estado]]="FINALIZADO",1,0)</f>
        <v>1</v>
      </c>
      <c r="P78">
        <f>IF(Bandeja_SCTR[[#This Row],[CasoId]]="",0,IF(Bandeja_SCTR[[#This Row],[Estado]]="FINALIZADO",0,1))</f>
        <v>0</v>
      </c>
    </row>
    <row r="79" spans="1:16">
      <c r="A79" t="s">
        <v>368</v>
      </c>
      <c r="B79" t="s">
        <v>369</v>
      </c>
      <c r="C79" t="s">
        <v>370</v>
      </c>
      <c r="D79" s="1">
        <v>46309.572523148148</v>
      </c>
      <c r="E79" s="1">
        <v>46309.572523148148</v>
      </c>
      <c r="F79" s="1" t="s">
        <v>371</v>
      </c>
      <c r="H79" s="1"/>
      <c r="J79" t="s">
        <v>372</v>
      </c>
      <c r="K79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5</v>
      </c>
      <c r="L79">
        <f ca="1">IF(Bandeja_SCTR[[#This Row],[FechaRecepcion]]="","",NETWORKDAYS(INT(Bandeja_SCTR[[#This Row],[FechaRecepcion]]),IF(Bandeja_SCTR[[#This Row],[FechaCierre]]="",TODAY(),INT(Bandeja_SCTR[[#This Row],[FechaCierre]])),DIAS_NOLAB[Feriados]))</f>
        <v>5</v>
      </c>
      <c r="M79" s="2" t="str">
        <f>IF(OR(Bandeja_SCTR[[#This Row],[FechaRecepcion]]="",Bandeja_SCTR[[#This Row],[FechaCierre]]=""),"",ROUND((Bandeja_SCTR[[#This Row],[FechaCierre]]-Bandeja_SCTR[[#This Row],[FechaRecepcion]])*24,1))</f>
        <v/>
      </c>
      <c r="N79" s="3">
        <f>IF(Bandeja_SCTR[[#This Row],[FechaRecepcion]]="","",DATE(YEAR(Bandeja_SCTR[[#This Row],[FechaRecepcion]]),MONTH(Bandeja_SCTR[[#This Row],[FechaRecepcion]]),1))</f>
        <v>46296</v>
      </c>
      <c r="O79">
        <f>IF(Bandeja_SCTR[[#This Row],[Estado]]="FINALIZADO",1,0)</f>
        <v>0</v>
      </c>
      <c r="P79">
        <f>IF(Bandeja_SCTR[[#This Row],[CasoId]]="",0,IF(Bandeja_SCTR[[#This Row],[Estado]]="FINALIZADO",0,1))</f>
        <v>1</v>
      </c>
    </row>
    <row r="80" spans="1:16" hidden="1">
      <c r="A80" t="s">
        <v>373</v>
      </c>
      <c r="B80" t="s">
        <v>374</v>
      </c>
      <c r="C80" t="s">
        <v>375</v>
      </c>
      <c r="D80" s="1">
        <v>46309.58</v>
      </c>
      <c r="E80" s="1">
        <v>46309.58</v>
      </c>
      <c r="F80" s="1" t="s">
        <v>316</v>
      </c>
      <c r="G80" t="s">
        <v>30</v>
      </c>
      <c r="H80" s="1">
        <v>46309.58</v>
      </c>
      <c r="I80" t="s">
        <v>317</v>
      </c>
      <c r="J80" t="s">
        <v>376</v>
      </c>
      <c r="K80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80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80" s="2">
        <f>IF(OR(Bandeja_SCTR[[#This Row],[FechaRecepcion]]="",Bandeja_SCTR[[#This Row],[FechaCierre]]=""),"",ROUND((Bandeja_SCTR[[#This Row],[FechaCierre]]-Bandeja_SCTR[[#This Row],[FechaRecepcion]])*24,1))</f>
        <v>0</v>
      </c>
      <c r="N80" s="3">
        <f>IF(Bandeja_SCTR[[#This Row],[FechaRecepcion]]="","",DATE(YEAR(Bandeja_SCTR[[#This Row],[FechaRecepcion]]),MONTH(Bandeja_SCTR[[#This Row],[FechaRecepcion]]),1))</f>
        <v>46296</v>
      </c>
      <c r="O80">
        <f>IF(Bandeja_SCTR[[#This Row],[Estado]]="FINALIZADO",1,0)</f>
        <v>1</v>
      </c>
      <c r="P80">
        <f>IF(Bandeja_SCTR[[#This Row],[CasoId]]="",0,IF(Bandeja_SCTR[[#This Row],[Estado]]="FINALIZADO",0,1))</f>
        <v>0</v>
      </c>
    </row>
    <row r="81" spans="1:16">
      <c r="A81" t="s">
        <v>377</v>
      </c>
      <c r="B81" t="s">
        <v>378</v>
      </c>
      <c r="C81" t="s">
        <v>379</v>
      </c>
      <c r="D81" s="1">
        <v>46309.580162037033</v>
      </c>
      <c r="E81" s="1">
        <v>46311.517962962964</v>
      </c>
      <c r="F81" s="1" t="s">
        <v>330</v>
      </c>
      <c r="H81" s="1"/>
      <c r="I81" t="s">
        <v>380</v>
      </c>
      <c r="J81" t="s">
        <v>381</v>
      </c>
      <c r="K81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3</v>
      </c>
      <c r="L81">
        <f ca="1">IF(Bandeja_SCTR[[#This Row],[FechaRecepcion]]="","",NETWORKDAYS(INT(Bandeja_SCTR[[#This Row],[FechaRecepcion]]),IF(Bandeja_SCTR[[#This Row],[FechaCierre]]="",TODAY(),INT(Bandeja_SCTR[[#This Row],[FechaCierre]])),DIAS_NOLAB[Feriados]))</f>
        <v>5</v>
      </c>
      <c r="M81" s="2" t="str">
        <f>IF(OR(Bandeja_SCTR[[#This Row],[FechaRecepcion]]="",Bandeja_SCTR[[#This Row],[FechaCierre]]=""),"",ROUND((Bandeja_SCTR[[#This Row],[FechaCierre]]-Bandeja_SCTR[[#This Row],[FechaRecepcion]])*24,1))</f>
        <v/>
      </c>
      <c r="N81" s="3">
        <f>IF(Bandeja_SCTR[[#This Row],[FechaRecepcion]]="","",DATE(YEAR(Bandeja_SCTR[[#This Row],[FechaRecepcion]]),MONTH(Bandeja_SCTR[[#This Row],[FechaRecepcion]]),1))</f>
        <v>46296</v>
      </c>
      <c r="O81">
        <f>IF(Bandeja_SCTR[[#This Row],[Estado]]="FINALIZADO",1,0)</f>
        <v>0</v>
      </c>
      <c r="P81">
        <f>IF(Bandeja_SCTR[[#This Row],[CasoId]]="",0,IF(Bandeja_SCTR[[#This Row],[Estado]]="FINALIZADO",0,1))</f>
        <v>1</v>
      </c>
    </row>
    <row r="82" spans="1:16">
      <c r="A82" t="s">
        <v>382</v>
      </c>
      <c r="B82" t="s">
        <v>383</v>
      </c>
      <c r="C82" t="s">
        <v>384</v>
      </c>
      <c r="D82" s="1">
        <v>46309.586180555554</v>
      </c>
      <c r="E82" s="1">
        <v>46309.586180555554</v>
      </c>
      <c r="F82" s="1" t="s">
        <v>385</v>
      </c>
      <c r="H82" s="1"/>
      <c r="J82" t="s">
        <v>386</v>
      </c>
      <c r="K82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5</v>
      </c>
      <c r="L82">
        <f ca="1">IF(Bandeja_SCTR[[#This Row],[FechaRecepcion]]="","",NETWORKDAYS(INT(Bandeja_SCTR[[#This Row],[FechaRecepcion]]),IF(Bandeja_SCTR[[#This Row],[FechaCierre]]="",TODAY(),INT(Bandeja_SCTR[[#This Row],[FechaCierre]])),DIAS_NOLAB[Feriados]))</f>
        <v>5</v>
      </c>
      <c r="M82" s="2" t="str">
        <f>IF(OR(Bandeja_SCTR[[#This Row],[FechaRecepcion]]="",Bandeja_SCTR[[#This Row],[FechaCierre]]=""),"",ROUND((Bandeja_SCTR[[#This Row],[FechaCierre]]-Bandeja_SCTR[[#This Row],[FechaRecepcion]])*24,1))</f>
        <v/>
      </c>
      <c r="N82" s="3">
        <f>IF(Bandeja_SCTR[[#This Row],[FechaRecepcion]]="","",DATE(YEAR(Bandeja_SCTR[[#This Row],[FechaRecepcion]]),MONTH(Bandeja_SCTR[[#This Row],[FechaRecepcion]]),1))</f>
        <v>46296</v>
      </c>
      <c r="O82">
        <f>IF(Bandeja_SCTR[[#This Row],[Estado]]="FINALIZADO",1,0)</f>
        <v>0</v>
      </c>
      <c r="P82">
        <f>IF(Bandeja_SCTR[[#This Row],[CasoId]]="",0,IF(Bandeja_SCTR[[#This Row],[Estado]]="FINALIZADO",0,1))</f>
        <v>1</v>
      </c>
    </row>
    <row r="83" spans="1:16" hidden="1">
      <c r="A83" t="s">
        <v>387</v>
      </c>
      <c r="B83" t="s">
        <v>388</v>
      </c>
      <c r="C83" t="s">
        <v>389</v>
      </c>
      <c r="D83" s="1">
        <v>46309.586481481485</v>
      </c>
      <c r="E83" s="1">
        <v>46309.586481481485</v>
      </c>
      <c r="F83" s="1" t="s">
        <v>145</v>
      </c>
      <c r="G83" t="s">
        <v>30</v>
      </c>
      <c r="H83" s="1">
        <v>46309.586481481485</v>
      </c>
      <c r="I83" t="s">
        <v>145</v>
      </c>
      <c r="J83" t="s">
        <v>390</v>
      </c>
      <c r="K83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83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83" s="2">
        <f>IF(OR(Bandeja_SCTR[[#This Row],[FechaRecepcion]]="",Bandeja_SCTR[[#This Row],[FechaCierre]]=""),"",ROUND((Bandeja_SCTR[[#This Row],[FechaCierre]]-Bandeja_SCTR[[#This Row],[FechaRecepcion]])*24,1))</f>
        <v>0</v>
      </c>
      <c r="N83" s="3">
        <f>IF(Bandeja_SCTR[[#This Row],[FechaRecepcion]]="","",DATE(YEAR(Bandeja_SCTR[[#This Row],[FechaRecepcion]]),MONTH(Bandeja_SCTR[[#This Row],[FechaRecepcion]]),1))</f>
        <v>46296</v>
      </c>
      <c r="O83">
        <f>IF(Bandeja_SCTR[[#This Row],[Estado]]="FINALIZADO",1,0)</f>
        <v>1</v>
      </c>
      <c r="P83">
        <f>IF(Bandeja_SCTR[[#This Row],[CasoId]]="",0,IF(Bandeja_SCTR[[#This Row],[Estado]]="FINALIZADO",0,1))</f>
        <v>0</v>
      </c>
    </row>
    <row r="84" spans="1:16">
      <c r="A84" t="s">
        <v>391</v>
      </c>
      <c r="B84" t="s">
        <v>392</v>
      </c>
      <c r="C84" t="s">
        <v>393</v>
      </c>
      <c r="D84" s="1">
        <v>46309.591331018513</v>
      </c>
      <c r="E84" s="1">
        <v>46309.591331018513</v>
      </c>
      <c r="F84" s="1" t="s">
        <v>394</v>
      </c>
      <c r="H84" s="1"/>
      <c r="J84" t="s">
        <v>395</v>
      </c>
      <c r="K84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5</v>
      </c>
      <c r="L84">
        <f ca="1">IF(Bandeja_SCTR[[#This Row],[FechaRecepcion]]="","",NETWORKDAYS(INT(Bandeja_SCTR[[#This Row],[FechaRecepcion]]),IF(Bandeja_SCTR[[#This Row],[FechaCierre]]="",TODAY(),INT(Bandeja_SCTR[[#This Row],[FechaCierre]])),DIAS_NOLAB[Feriados]))</f>
        <v>5</v>
      </c>
      <c r="M84" s="2" t="str">
        <f>IF(OR(Bandeja_SCTR[[#This Row],[FechaRecepcion]]="",Bandeja_SCTR[[#This Row],[FechaCierre]]=""),"",ROUND((Bandeja_SCTR[[#This Row],[FechaCierre]]-Bandeja_SCTR[[#This Row],[FechaRecepcion]])*24,1))</f>
        <v/>
      </c>
      <c r="N84" s="3">
        <f>IF(Bandeja_SCTR[[#This Row],[FechaRecepcion]]="","",DATE(YEAR(Bandeja_SCTR[[#This Row],[FechaRecepcion]]),MONTH(Bandeja_SCTR[[#This Row],[FechaRecepcion]]),1))</f>
        <v>46296</v>
      </c>
      <c r="O84">
        <f>IF(Bandeja_SCTR[[#This Row],[Estado]]="FINALIZADO",1,0)</f>
        <v>0</v>
      </c>
      <c r="P84">
        <f>IF(Bandeja_SCTR[[#This Row],[CasoId]]="",0,IF(Bandeja_SCTR[[#This Row],[Estado]]="FINALIZADO",0,1))</f>
        <v>1</v>
      </c>
    </row>
    <row r="85" spans="1:16">
      <c r="A85" t="s">
        <v>396</v>
      </c>
      <c r="B85" t="s">
        <v>397</v>
      </c>
      <c r="C85" t="s">
        <v>398</v>
      </c>
      <c r="D85" s="1">
        <v>46309.598113425927</v>
      </c>
      <c r="E85" s="1">
        <v>46309.617407407408</v>
      </c>
      <c r="F85" s="1" t="s">
        <v>62</v>
      </c>
      <c r="H85" s="1"/>
      <c r="J85" t="s">
        <v>399</v>
      </c>
      <c r="K85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5</v>
      </c>
      <c r="L85">
        <f ca="1">IF(Bandeja_SCTR[[#This Row],[FechaRecepcion]]="","",NETWORKDAYS(INT(Bandeja_SCTR[[#This Row],[FechaRecepcion]]),IF(Bandeja_SCTR[[#This Row],[FechaCierre]]="",TODAY(),INT(Bandeja_SCTR[[#This Row],[FechaCierre]])),DIAS_NOLAB[Feriados]))</f>
        <v>5</v>
      </c>
      <c r="M85" s="2" t="str">
        <f>IF(OR(Bandeja_SCTR[[#This Row],[FechaRecepcion]]="",Bandeja_SCTR[[#This Row],[FechaCierre]]=""),"",ROUND((Bandeja_SCTR[[#This Row],[FechaCierre]]-Bandeja_SCTR[[#This Row],[FechaRecepcion]])*24,1))</f>
        <v/>
      </c>
      <c r="N85" s="3">
        <f>IF(Bandeja_SCTR[[#This Row],[FechaRecepcion]]="","",DATE(YEAR(Bandeja_SCTR[[#This Row],[FechaRecepcion]]),MONTH(Bandeja_SCTR[[#This Row],[FechaRecepcion]]),1))</f>
        <v>46296</v>
      </c>
      <c r="O85">
        <f>IF(Bandeja_SCTR[[#This Row],[Estado]]="FINALIZADO",1,0)</f>
        <v>0</v>
      </c>
      <c r="P85">
        <f>IF(Bandeja_SCTR[[#This Row],[CasoId]]="",0,IF(Bandeja_SCTR[[#This Row],[Estado]]="FINALIZADO",0,1))</f>
        <v>1</v>
      </c>
    </row>
    <row r="86" spans="1:16">
      <c r="A86" t="s">
        <v>400</v>
      </c>
      <c r="B86" t="s">
        <v>401</v>
      </c>
      <c r="C86" t="s">
        <v>402</v>
      </c>
      <c r="D86" s="1">
        <v>46309.600023148145</v>
      </c>
      <c r="E86" s="1">
        <v>46309.600023148145</v>
      </c>
      <c r="F86" s="1" t="s">
        <v>403</v>
      </c>
      <c r="H86" s="1"/>
      <c r="J86" t="s">
        <v>404</v>
      </c>
      <c r="K86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5</v>
      </c>
      <c r="L86">
        <f ca="1">IF(Bandeja_SCTR[[#This Row],[FechaRecepcion]]="","",NETWORKDAYS(INT(Bandeja_SCTR[[#This Row],[FechaRecepcion]]),IF(Bandeja_SCTR[[#This Row],[FechaCierre]]="",TODAY(),INT(Bandeja_SCTR[[#This Row],[FechaCierre]])),DIAS_NOLAB[Feriados]))</f>
        <v>5</v>
      </c>
      <c r="M86" s="2" t="str">
        <f>IF(OR(Bandeja_SCTR[[#This Row],[FechaRecepcion]]="",Bandeja_SCTR[[#This Row],[FechaCierre]]=""),"",ROUND((Bandeja_SCTR[[#This Row],[FechaCierre]]-Bandeja_SCTR[[#This Row],[FechaRecepcion]])*24,1))</f>
        <v/>
      </c>
      <c r="N86" s="3">
        <f>IF(Bandeja_SCTR[[#This Row],[FechaRecepcion]]="","",DATE(YEAR(Bandeja_SCTR[[#This Row],[FechaRecepcion]]),MONTH(Bandeja_SCTR[[#This Row],[FechaRecepcion]]),1))</f>
        <v>46296</v>
      </c>
      <c r="O86">
        <f>IF(Bandeja_SCTR[[#This Row],[Estado]]="FINALIZADO",1,0)</f>
        <v>0</v>
      </c>
      <c r="P86">
        <f>IF(Bandeja_SCTR[[#This Row],[CasoId]]="",0,IF(Bandeja_SCTR[[#This Row],[Estado]]="FINALIZADO",0,1))</f>
        <v>1</v>
      </c>
    </row>
    <row r="87" spans="1:16">
      <c r="A87" t="s">
        <v>405</v>
      </c>
      <c r="B87" t="s">
        <v>374</v>
      </c>
      <c r="C87" t="s">
        <v>406</v>
      </c>
      <c r="D87" s="1">
        <v>46309.602962962963</v>
      </c>
      <c r="E87" s="1">
        <v>46309.602962962963</v>
      </c>
      <c r="F87" s="1" t="s">
        <v>407</v>
      </c>
      <c r="H87" s="1"/>
      <c r="J87" t="s">
        <v>408</v>
      </c>
      <c r="K87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5</v>
      </c>
      <c r="L87">
        <f ca="1">IF(Bandeja_SCTR[[#This Row],[FechaRecepcion]]="","",NETWORKDAYS(INT(Bandeja_SCTR[[#This Row],[FechaRecepcion]]),IF(Bandeja_SCTR[[#This Row],[FechaCierre]]="",TODAY(),INT(Bandeja_SCTR[[#This Row],[FechaCierre]])),DIAS_NOLAB[Feriados]))</f>
        <v>5</v>
      </c>
      <c r="M87" s="2" t="str">
        <f>IF(OR(Bandeja_SCTR[[#This Row],[FechaRecepcion]]="",Bandeja_SCTR[[#This Row],[FechaCierre]]=""),"",ROUND((Bandeja_SCTR[[#This Row],[FechaCierre]]-Bandeja_SCTR[[#This Row],[FechaRecepcion]])*24,1))</f>
        <v/>
      </c>
      <c r="N87" s="3">
        <f>IF(Bandeja_SCTR[[#This Row],[FechaRecepcion]]="","",DATE(YEAR(Bandeja_SCTR[[#This Row],[FechaRecepcion]]),MONTH(Bandeja_SCTR[[#This Row],[FechaRecepcion]]),1))</f>
        <v>46296</v>
      </c>
      <c r="O87">
        <f>IF(Bandeja_SCTR[[#This Row],[Estado]]="FINALIZADO",1,0)</f>
        <v>0</v>
      </c>
      <c r="P87">
        <f>IF(Bandeja_SCTR[[#This Row],[CasoId]]="",0,IF(Bandeja_SCTR[[#This Row],[Estado]]="FINALIZADO",0,1))</f>
        <v>1</v>
      </c>
    </row>
    <row r="88" spans="1:16" hidden="1">
      <c r="A88" t="s">
        <v>409</v>
      </c>
      <c r="B88" t="s">
        <v>410</v>
      </c>
      <c r="C88" t="s">
        <v>411</v>
      </c>
      <c r="D88" s="1">
        <v>46309.605185185181</v>
      </c>
      <c r="E88" s="1">
        <v>46310.65252314815</v>
      </c>
      <c r="F88" s="1" t="s">
        <v>96</v>
      </c>
      <c r="G88" t="s">
        <v>30</v>
      </c>
      <c r="H88" s="1">
        <v>46310.65252314815</v>
      </c>
      <c r="I88" t="s">
        <v>97</v>
      </c>
      <c r="J88" t="s">
        <v>412</v>
      </c>
      <c r="K88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88">
        <f ca="1">IF(Bandeja_SCTR[[#This Row],[FechaRecepcion]]="","",NETWORKDAYS(INT(Bandeja_SCTR[[#This Row],[FechaRecepcion]]),IF(Bandeja_SCTR[[#This Row],[FechaCierre]]="",TODAY(),INT(Bandeja_SCTR[[#This Row],[FechaCierre]])),DIAS_NOLAB[Feriados]))</f>
        <v>2</v>
      </c>
      <c r="M88" s="2">
        <f>IF(OR(Bandeja_SCTR[[#This Row],[FechaRecepcion]]="",Bandeja_SCTR[[#This Row],[FechaCierre]]=""),"",ROUND((Bandeja_SCTR[[#This Row],[FechaCierre]]-Bandeja_SCTR[[#This Row],[FechaRecepcion]])*24,1))</f>
        <v>25.1</v>
      </c>
      <c r="N88" s="3">
        <f>IF(Bandeja_SCTR[[#This Row],[FechaRecepcion]]="","",DATE(YEAR(Bandeja_SCTR[[#This Row],[FechaRecepcion]]),MONTH(Bandeja_SCTR[[#This Row],[FechaRecepcion]]),1))</f>
        <v>46296</v>
      </c>
      <c r="O88">
        <f>IF(Bandeja_SCTR[[#This Row],[Estado]]="FINALIZADO",1,0)</f>
        <v>1</v>
      </c>
      <c r="P88">
        <f>IF(Bandeja_SCTR[[#This Row],[CasoId]]="",0,IF(Bandeja_SCTR[[#This Row],[Estado]]="FINALIZADO",0,1))</f>
        <v>0</v>
      </c>
    </row>
    <row r="89" spans="1:16">
      <c r="A89" t="s">
        <v>413</v>
      </c>
      <c r="B89" t="s">
        <v>414</v>
      </c>
      <c r="C89" t="s">
        <v>415</v>
      </c>
      <c r="D89" s="1">
        <v>46309.609120370369</v>
      </c>
      <c r="E89" s="1">
        <v>46309.609120370369</v>
      </c>
      <c r="F89" s="1" t="s">
        <v>416</v>
      </c>
      <c r="H89" s="1"/>
      <c r="J89" t="s">
        <v>417</v>
      </c>
      <c r="K89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5</v>
      </c>
      <c r="L89">
        <f ca="1">IF(Bandeja_SCTR[[#This Row],[FechaRecepcion]]="","",NETWORKDAYS(INT(Bandeja_SCTR[[#This Row],[FechaRecepcion]]),IF(Bandeja_SCTR[[#This Row],[FechaCierre]]="",TODAY(),INT(Bandeja_SCTR[[#This Row],[FechaCierre]])),DIAS_NOLAB[Feriados]))</f>
        <v>5</v>
      </c>
      <c r="M89" s="2" t="str">
        <f>IF(OR(Bandeja_SCTR[[#This Row],[FechaRecepcion]]="",Bandeja_SCTR[[#This Row],[FechaCierre]]=""),"",ROUND((Bandeja_SCTR[[#This Row],[FechaCierre]]-Bandeja_SCTR[[#This Row],[FechaRecepcion]])*24,1))</f>
        <v/>
      </c>
      <c r="N89" s="3">
        <f>IF(Bandeja_SCTR[[#This Row],[FechaRecepcion]]="","",DATE(YEAR(Bandeja_SCTR[[#This Row],[FechaRecepcion]]),MONTH(Bandeja_SCTR[[#This Row],[FechaRecepcion]]),1))</f>
        <v>46296</v>
      </c>
      <c r="O89">
        <f>IF(Bandeja_SCTR[[#This Row],[Estado]]="FINALIZADO",1,0)</f>
        <v>0</v>
      </c>
      <c r="P89">
        <f>IF(Bandeja_SCTR[[#This Row],[CasoId]]="",0,IF(Bandeja_SCTR[[#This Row],[Estado]]="FINALIZADO",0,1))</f>
        <v>1</v>
      </c>
    </row>
    <row r="90" spans="1:16">
      <c r="A90" t="s">
        <v>418</v>
      </c>
      <c r="B90" t="s">
        <v>419</v>
      </c>
      <c r="C90" t="s">
        <v>420</v>
      </c>
      <c r="D90" s="1">
        <v>46309.616736111115</v>
      </c>
      <c r="E90" s="1">
        <v>46309.616736111115</v>
      </c>
      <c r="F90" s="1" t="s">
        <v>421</v>
      </c>
      <c r="H90" s="1"/>
      <c r="J90" t="s">
        <v>422</v>
      </c>
      <c r="K90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5</v>
      </c>
      <c r="L90">
        <f ca="1">IF(Bandeja_SCTR[[#This Row],[FechaRecepcion]]="","",NETWORKDAYS(INT(Bandeja_SCTR[[#This Row],[FechaRecepcion]]),IF(Bandeja_SCTR[[#This Row],[FechaCierre]]="",TODAY(),INT(Bandeja_SCTR[[#This Row],[FechaCierre]])),DIAS_NOLAB[Feriados]))</f>
        <v>5</v>
      </c>
      <c r="M90" s="2" t="str">
        <f>IF(OR(Bandeja_SCTR[[#This Row],[FechaRecepcion]]="",Bandeja_SCTR[[#This Row],[FechaCierre]]=""),"",ROUND((Bandeja_SCTR[[#This Row],[FechaCierre]]-Bandeja_SCTR[[#This Row],[FechaRecepcion]])*24,1))</f>
        <v/>
      </c>
      <c r="N90" s="3">
        <f>IF(Bandeja_SCTR[[#This Row],[FechaRecepcion]]="","",DATE(YEAR(Bandeja_SCTR[[#This Row],[FechaRecepcion]]),MONTH(Bandeja_SCTR[[#This Row],[FechaRecepcion]]),1))</f>
        <v>46296</v>
      </c>
      <c r="O90">
        <f>IF(Bandeja_SCTR[[#This Row],[Estado]]="FINALIZADO",1,0)</f>
        <v>0</v>
      </c>
      <c r="P90">
        <f>IF(Bandeja_SCTR[[#This Row],[CasoId]]="",0,IF(Bandeja_SCTR[[#This Row],[Estado]]="FINALIZADO",0,1))</f>
        <v>1</v>
      </c>
    </row>
    <row r="91" spans="1:16">
      <c r="A91" t="s">
        <v>423</v>
      </c>
      <c r="B91" t="s">
        <v>424</v>
      </c>
      <c r="C91" t="s">
        <v>425</v>
      </c>
      <c r="D91" s="1">
        <v>46309.620150462964</v>
      </c>
      <c r="E91" s="1">
        <v>46309.620150462964</v>
      </c>
      <c r="F91" s="1" t="s">
        <v>426</v>
      </c>
      <c r="H91" s="1"/>
      <c r="J91" t="s">
        <v>427</v>
      </c>
      <c r="K91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5</v>
      </c>
      <c r="L91">
        <f ca="1">IF(Bandeja_SCTR[[#This Row],[FechaRecepcion]]="","",NETWORKDAYS(INT(Bandeja_SCTR[[#This Row],[FechaRecepcion]]),IF(Bandeja_SCTR[[#This Row],[FechaCierre]]="",TODAY(),INT(Bandeja_SCTR[[#This Row],[FechaCierre]])),DIAS_NOLAB[Feriados]))</f>
        <v>5</v>
      </c>
      <c r="M91" s="2" t="str">
        <f>IF(OR(Bandeja_SCTR[[#This Row],[FechaRecepcion]]="",Bandeja_SCTR[[#This Row],[FechaCierre]]=""),"",ROUND((Bandeja_SCTR[[#This Row],[FechaCierre]]-Bandeja_SCTR[[#This Row],[FechaRecepcion]])*24,1))</f>
        <v/>
      </c>
      <c r="N91" s="3">
        <f>IF(Bandeja_SCTR[[#This Row],[FechaRecepcion]]="","",DATE(YEAR(Bandeja_SCTR[[#This Row],[FechaRecepcion]]),MONTH(Bandeja_SCTR[[#This Row],[FechaRecepcion]]),1))</f>
        <v>46296</v>
      </c>
      <c r="O91">
        <f>IF(Bandeja_SCTR[[#This Row],[Estado]]="FINALIZADO",1,0)</f>
        <v>0</v>
      </c>
      <c r="P91">
        <f>IF(Bandeja_SCTR[[#This Row],[CasoId]]="",0,IF(Bandeja_SCTR[[#This Row],[Estado]]="FINALIZADO",0,1))</f>
        <v>1</v>
      </c>
    </row>
    <row r="92" spans="1:16">
      <c r="A92" t="s">
        <v>428</v>
      </c>
      <c r="B92" t="s">
        <v>429</v>
      </c>
      <c r="C92" t="s">
        <v>430</v>
      </c>
      <c r="D92" s="1">
        <v>46309.620775462958</v>
      </c>
      <c r="E92" s="1">
        <v>46309.620775462958</v>
      </c>
      <c r="F92" s="1" t="s">
        <v>403</v>
      </c>
      <c r="H92" s="1"/>
      <c r="J92" t="s">
        <v>404</v>
      </c>
      <c r="K92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5</v>
      </c>
      <c r="L92">
        <f ca="1">IF(Bandeja_SCTR[[#This Row],[FechaRecepcion]]="","",NETWORKDAYS(INT(Bandeja_SCTR[[#This Row],[FechaRecepcion]]),IF(Bandeja_SCTR[[#This Row],[FechaCierre]]="",TODAY(),INT(Bandeja_SCTR[[#This Row],[FechaCierre]])),DIAS_NOLAB[Feriados]))</f>
        <v>5</v>
      </c>
      <c r="M92" s="2" t="str">
        <f>IF(OR(Bandeja_SCTR[[#This Row],[FechaRecepcion]]="",Bandeja_SCTR[[#This Row],[FechaCierre]]=""),"",ROUND((Bandeja_SCTR[[#This Row],[FechaCierre]]-Bandeja_SCTR[[#This Row],[FechaRecepcion]])*24,1))</f>
        <v/>
      </c>
      <c r="N92" s="3">
        <f>IF(Bandeja_SCTR[[#This Row],[FechaRecepcion]]="","",DATE(YEAR(Bandeja_SCTR[[#This Row],[FechaRecepcion]]),MONTH(Bandeja_SCTR[[#This Row],[FechaRecepcion]]),1))</f>
        <v>46296</v>
      </c>
      <c r="O92">
        <f>IF(Bandeja_SCTR[[#This Row],[Estado]]="FINALIZADO",1,0)</f>
        <v>0</v>
      </c>
      <c r="P92">
        <f>IF(Bandeja_SCTR[[#This Row],[CasoId]]="",0,IF(Bandeja_SCTR[[#This Row],[Estado]]="FINALIZADO",0,1))</f>
        <v>1</v>
      </c>
    </row>
    <row r="93" spans="1:16" hidden="1">
      <c r="A93" t="s">
        <v>431</v>
      </c>
      <c r="B93" t="s">
        <v>432</v>
      </c>
      <c r="C93" t="s">
        <v>433</v>
      </c>
      <c r="D93" s="1">
        <v>46309.628425925926</v>
      </c>
      <c r="E93" s="1">
        <v>46311.423668981486</v>
      </c>
      <c r="F93" s="1" t="s">
        <v>96</v>
      </c>
      <c r="G93" t="s">
        <v>30</v>
      </c>
      <c r="H93" s="1">
        <v>46311.423668981486</v>
      </c>
      <c r="I93" t="s">
        <v>97</v>
      </c>
      <c r="J93" t="s">
        <v>434</v>
      </c>
      <c r="K93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93">
        <f ca="1">IF(Bandeja_SCTR[[#This Row],[FechaRecepcion]]="","",NETWORKDAYS(INT(Bandeja_SCTR[[#This Row],[FechaRecepcion]]),IF(Bandeja_SCTR[[#This Row],[FechaCierre]]="",TODAY(),INT(Bandeja_SCTR[[#This Row],[FechaCierre]])),DIAS_NOLAB[Feriados]))</f>
        <v>3</v>
      </c>
      <c r="M93" s="2">
        <f>IF(OR(Bandeja_SCTR[[#This Row],[FechaRecepcion]]="",Bandeja_SCTR[[#This Row],[FechaCierre]]=""),"",ROUND((Bandeja_SCTR[[#This Row],[FechaCierre]]-Bandeja_SCTR[[#This Row],[FechaRecepcion]])*24,1))</f>
        <v>43.1</v>
      </c>
      <c r="N93" s="3">
        <f>IF(Bandeja_SCTR[[#This Row],[FechaRecepcion]]="","",DATE(YEAR(Bandeja_SCTR[[#This Row],[FechaRecepcion]]),MONTH(Bandeja_SCTR[[#This Row],[FechaRecepcion]]),1))</f>
        <v>46296</v>
      </c>
      <c r="O93">
        <f>IF(Bandeja_SCTR[[#This Row],[Estado]]="FINALIZADO",1,0)</f>
        <v>1</v>
      </c>
      <c r="P93">
        <f>IF(Bandeja_SCTR[[#This Row],[CasoId]]="",0,IF(Bandeja_SCTR[[#This Row],[Estado]]="FINALIZADO",0,1))</f>
        <v>0</v>
      </c>
    </row>
    <row r="94" spans="1:16">
      <c r="A94" t="s">
        <v>435</v>
      </c>
      <c r="B94" t="s">
        <v>436</v>
      </c>
      <c r="C94" t="s">
        <v>437</v>
      </c>
      <c r="D94" s="1">
        <v>46309.631932870368</v>
      </c>
      <c r="E94" s="1">
        <v>46309.631932870368</v>
      </c>
      <c r="F94" s="1" t="s">
        <v>438</v>
      </c>
      <c r="H94" s="1"/>
      <c r="J94" t="s">
        <v>439</v>
      </c>
      <c r="K94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5</v>
      </c>
      <c r="L94">
        <f ca="1">IF(Bandeja_SCTR[[#This Row],[FechaRecepcion]]="","",NETWORKDAYS(INT(Bandeja_SCTR[[#This Row],[FechaRecepcion]]),IF(Bandeja_SCTR[[#This Row],[FechaCierre]]="",TODAY(),INT(Bandeja_SCTR[[#This Row],[FechaCierre]])),DIAS_NOLAB[Feriados]))</f>
        <v>5</v>
      </c>
      <c r="M94" s="2" t="str">
        <f>IF(OR(Bandeja_SCTR[[#This Row],[FechaRecepcion]]="",Bandeja_SCTR[[#This Row],[FechaCierre]]=""),"",ROUND((Bandeja_SCTR[[#This Row],[FechaCierre]]-Bandeja_SCTR[[#This Row],[FechaRecepcion]])*24,1))</f>
        <v/>
      </c>
      <c r="N94" s="3">
        <f>IF(Bandeja_SCTR[[#This Row],[FechaRecepcion]]="","",DATE(YEAR(Bandeja_SCTR[[#This Row],[FechaRecepcion]]),MONTH(Bandeja_SCTR[[#This Row],[FechaRecepcion]]),1))</f>
        <v>46296</v>
      </c>
      <c r="O94">
        <f>IF(Bandeja_SCTR[[#This Row],[Estado]]="FINALIZADO",1,0)</f>
        <v>0</v>
      </c>
      <c r="P94">
        <f>IF(Bandeja_SCTR[[#This Row],[CasoId]]="",0,IF(Bandeja_SCTR[[#This Row],[Estado]]="FINALIZADO",0,1))</f>
        <v>1</v>
      </c>
    </row>
    <row r="95" spans="1:16">
      <c r="A95" t="s">
        <v>440</v>
      </c>
      <c r="B95" t="s">
        <v>441</v>
      </c>
      <c r="C95" t="s">
        <v>442</v>
      </c>
      <c r="D95" s="1">
        <v>46309.634837962964</v>
      </c>
      <c r="E95" s="1">
        <v>46310.645254629635</v>
      </c>
      <c r="F95" s="1" t="s">
        <v>316</v>
      </c>
      <c r="H95" s="1"/>
      <c r="I95" t="s">
        <v>317</v>
      </c>
      <c r="J95" t="s">
        <v>443</v>
      </c>
      <c r="K95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4</v>
      </c>
      <c r="L95">
        <f ca="1">IF(Bandeja_SCTR[[#This Row],[FechaRecepcion]]="","",NETWORKDAYS(INT(Bandeja_SCTR[[#This Row],[FechaRecepcion]]),IF(Bandeja_SCTR[[#This Row],[FechaCierre]]="",TODAY(),INT(Bandeja_SCTR[[#This Row],[FechaCierre]])),DIAS_NOLAB[Feriados]))</f>
        <v>5</v>
      </c>
      <c r="M95" s="2" t="str">
        <f>IF(OR(Bandeja_SCTR[[#This Row],[FechaRecepcion]]="",Bandeja_SCTR[[#This Row],[FechaCierre]]=""),"",ROUND((Bandeja_SCTR[[#This Row],[FechaCierre]]-Bandeja_SCTR[[#This Row],[FechaRecepcion]])*24,1))</f>
        <v/>
      </c>
      <c r="N95" s="3">
        <f>IF(Bandeja_SCTR[[#This Row],[FechaRecepcion]]="","",DATE(YEAR(Bandeja_SCTR[[#This Row],[FechaRecepcion]]),MONTH(Bandeja_SCTR[[#This Row],[FechaRecepcion]]),1))</f>
        <v>46296</v>
      </c>
      <c r="O95">
        <f>IF(Bandeja_SCTR[[#This Row],[Estado]]="FINALIZADO",1,0)</f>
        <v>0</v>
      </c>
      <c r="P95">
        <f>IF(Bandeja_SCTR[[#This Row],[CasoId]]="",0,IF(Bandeja_SCTR[[#This Row],[Estado]]="FINALIZADO",0,1))</f>
        <v>1</v>
      </c>
    </row>
    <row r="96" spans="1:16" hidden="1">
      <c r="A96" t="s">
        <v>444</v>
      </c>
      <c r="B96" t="s">
        <v>365</v>
      </c>
      <c r="C96" t="s">
        <v>366</v>
      </c>
      <c r="D96" s="1">
        <v>46309.645092592589</v>
      </c>
      <c r="E96" s="1">
        <v>46309.658495370371</v>
      </c>
      <c r="F96" s="1" t="s">
        <v>29</v>
      </c>
      <c r="G96" t="s">
        <v>30</v>
      </c>
      <c r="H96" s="1">
        <v>46309.658495370371</v>
      </c>
      <c r="I96" t="s">
        <v>29</v>
      </c>
      <c r="J96" t="s">
        <v>445</v>
      </c>
      <c r="K96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96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96" s="2">
        <f>IF(OR(Bandeja_SCTR[[#This Row],[FechaRecepcion]]="",Bandeja_SCTR[[#This Row],[FechaCierre]]=""),"",ROUND((Bandeja_SCTR[[#This Row],[FechaCierre]]-Bandeja_SCTR[[#This Row],[FechaRecepcion]])*24,1))</f>
        <v>0.3</v>
      </c>
      <c r="N96" s="3">
        <f>IF(Bandeja_SCTR[[#This Row],[FechaRecepcion]]="","",DATE(YEAR(Bandeja_SCTR[[#This Row],[FechaRecepcion]]),MONTH(Bandeja_SCTR[[#This Row],[FechaRecepcion]]),1))</f>
        <v>46296</v>
      </c>
      <c r="O96">
        <f>IF(Bandeja_SCTR[[#This Row],[Estado]]="FINALIZADO",1,0)</f>
        <v>1</v>
      </c>
      <c r="P96">
        <f>IF(Bandeja_SCTR[[#This Row],[CasoId]]="",0,IF(Bandeja_SCTR[[#This Row],[Estado]]="FINALIZADO",0,1))</f>
        <v>0</v>
      </c>
    </row>
    <row r="97" spans="1:16">
      <c r="A97" t="s">
        <v>446</v>
      </c>
      <c r="B97" t="s">
        <v>447</v>
      </c>
      <c r="C97" t="s">
        <v>448</v>
      </c>
      <c r="D97" s="1">
        <v>46309.646620370375</v>
      </c>
      <c r="E97" s="1">
        <v>46309.646620370375</v>
      </c>
      <c r="F97" s="1" t="s">
        <v>403</v>
      </c>
      <c r="H97" s="1"/>
      <c r="J97" t="s">
        <v>404</v>
      </c>
      <c r="K97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5</v>
      </c>
      <c r="L97">
        <f ca="1">IF(Bandeja_SCTR[[#This Row],[FechaRecepcion]]="","",NETWORKDAYS(INT(Bandeja_SCTR[[#This Row],[FechaRecepcion]]),IF(Bandeja_SCTR[[#This Row],[FechaCierre]]="",TODAY(),INT(Bandeja_SCTR[[#This Row],[FechaCierre]])),DIAS_NOLAB[Feriados]))</f>
        <v>5</v>
      </c>
      <c r="M97" s="2" t="str">
        <f>IF(OR(Bandeja_SCTR[[#This Row],[FechaRecepcion]]="",Bandeja_SCTR[[#This Row],[FechaCierre]]=""),"",ROUND((Bandeja_SCTR[[#This Row],[FechaCierre]]-Bandeja_SCTR[[#This Row],[FechaRecepcion]])*24,1))</f>
        <v/>
      </c>
      <c r="N97" s="3">
        <f>IF(Bandeja_SCTR[[#This Row],[FechaRecepcion]]="","",DATE(YEAR(Bandeja_SCTR[[#This Row],[FechaRecepcion]]),MONTH(Bandeja_SCTR[[#This Row],[FechaRecepcion]]),1))</f>
        <v>46296</v>
      </c>
      <c r="O97">
        <f>IF(Bandeja_SCTR[[#This Row],[Estado]]="FINALIZADO",1,0)</f>
        <v>0</v>
      </c>
      <c r="P97">
        <f>IF(Bandeja_SCTR[[#This Row],[CasoId]]="",0,IF(Bandeja_SCTR[[#This Row],[Estado]]="FINALIZADO",0,1))</f>
        <v>1</v>
      </c>
    </row>
    <row r="98" spans="1:16">
      <c r="A98" t="s">
        <v>449</v>
      </c>
      <c r="B98" t="s">
        <v>450</v>
      </c>
      <c r="C98" t="s">
        <v>451</v>
      </c>
      <c r="D98" s="1">
        <v>46309.651203703703</v>
      </c>
      <c r="E98" s="1">
        <v>46309.651203703703</v>
      </c>
      <c r="F98" s="1" t="s">
        <v>197</v>
      </c>
      <c r="H98" s="1"/>
      <c r="J98" t="s">
        <v>452</v>
      </c>
      <c r="K98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5</v>
      </c>
      <c r="L98">
        <f ca="1">IF(Bandeja_SCTR[[#This Row],[FechaRecepcion]]="","",NETWORKDAYS(INT(Bandeja_SCTR[[#This Row],[FechaRecepcion]]),IF(Bandeja_SCTR[[#This Row],[FechaCierre]]="",TODAY(),INT(Bandeja_SCTR[[#This Row],[FechaCierre]])),DIAS_NOLAB[Feriados]))</f>
        <v>5</v>
      </c>
      <c r="M98" s="2" t="str">
        <f>IF(OR(Bandeja_SCTR[[#This Row],[FechaRecepcion]]="",Bandeja_SCTR[[#This Row],[FechaCierre]]=""),"",ROUND((Bandeja_SCTR[[#This Row],[FechaCierre]]-Bandeja_SCTR[[#This Row],[FechaRecepcion]])*24,1))</f>
        <v/>
      </c>
      <c r="N98" s="3">
        <f>IF(Bandeja_SCTR[[#This Row],[FechaRecepcion]]="","",DATE(YEAR(Bandeja_SCTR[[#This Row],[FechaRecepcion]]),MONTH(Bandeja_SCTR[[#This Row],[FechaRecepcion]]),1))</f>
        <v>46296</v>
      </c>
      <c r="O98">
        <f>IF(Bandeja_SCTR[[#This Row],[Estado]]="FINALIZADO",1,0)</f>
        <v>0</v>
      </c>
      <c r="P98">
        <f>IF(Bandeja_SCTR[[#This Row],[CasoId]]="",0,IF(Bandeja_SCTR[[#This Row],[Estado]]="FINALIZADO",0,1))</f>
        <v>1</v>
      </c>
    </row>
    <row r="99" spans="1:16">
      <c r="A99" t="s">
        <v>453</v>
      </c>
      <c r="B99" t="s">
        <v>454</v>
      </c>
      <c r="C99" t="s">
        <v>455</v>
      </c>
      <c r="D99" s="1">
        <v>46309.654456018514</v>
      </c>
      <c r="E99" s="1">
        <v>46310.547361111108</v>
      </c>
      <c r="F99" s="1" t="s">
        <v>456</v>
      </c>
      <c r="H99" s="1"/>
      <c r="I99" t="s">
        <v>97</v>
      </c>
      <c r="J99" t="s">
        <v>269</v>
      </c>
      <c r="K99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4</v>
      </c>
      <c r="L99">
        <f ca="1">IF(Bandeja_SCTR[[#This Row],[FechaRecepcion]]="","",NETWORKDAYS(INT(Bandeja_SCTR[[#This Row],[FechaRecepcion]]),IF(Bandeja_SCTR[[#This Row],[FechaCierre]]="",TODAY(),INT(Bandeja_SCTR[[#This Row],[FechaCierre]])),DIAS_NOLAB[Feriados]))</f>
        <v>5</v>
      </c>
      <c r="M99" s="2" t="str">
        <f>IF(OR(Bandeja_SCTR[[#This Row],[FechaRecepcion]]="",Bandeja_SCTR[[#This Row],[FechaCierre]]=""),"",ROUND((Bandeja_SCTR[[#This Row],[FechaCierre]]-Bandeja_SCTR[[#This Row],[FechaRecepcion]])*24,1))</f>
        <v/>
      </c>
      <c r="N99" s="3">
        <f>IF(Bandeja_SCTR[[#This Row],[FechaRecepcion]]="","",DATE(YEAR(Bandeja_SCTR[[#This Row],[FechaRecepcion]]),MONTH(Bandeja_SCTR[[#This Row],[FechaRecepcion]]),1))</f>
        <v>46296</v>
      </c>
      <c r="O99">
        <f>IF(Bandeja_SCTR[[#This Row],[Estado]]="FINALIZADO",1,0)</f>
        <v>0</v>
      </c>
      <c r="P99">
        <f>IF(Bandeja_SCTR[[#This Row],[CasoId]]="",0,IF(Bandeja_SCTR[[#This Row],[Estado]]="FINALIZADO",0,1))</f>
        <v>1</v>
      </c>
    </row>
    <row r="100" spans="1:16">
      <c r="A100" t="s">
        <v>457</v>
      </c>
      <c r="B100" t="s">
        <v>458</v>
      </c>
      <c r="C100" t="s">
        <v>459</v>
      </c>
      <c r="D100" s="1">
        <v>46309.656319444446</v>
      </c>
      <c r="E100" s="1">
        <v>46310.444872685184</v>
      </c>
      <c r="F100" s="1" t="s">
        <v>24</v>
      </c>
      <c r="H100" s="1"/>
      <c r="I100" t="s">
        <v>24</v>
      </c>
      <c r="J100" t="s">
        <v>460</v>
      </c>
      <c r="K100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4</v>
      </c>
      <c r="L100">
        <f ca="1">IF(Bandeja_SCTR[[#This Row],[FechaRecepcion]]="","",NETWORKDAYS(INT(Bandeja_SCTR[[#This Row],[FechaRecepcion]]),IF(Bandeja_SCTR[[#This Row],[FechaCierre]]="",TODAY(),INT(Bandeja_SCTR[[#This Row],[FechaCierre]])),DIAS_NOLAB[Feriados]))</f>
        <v>5</v>
      </c>
      <c r="M100" s="2" t="str">
        <f>IF(OR(Bandeja_SCTR[[#This Row],[FechaRecepcion]]="",Bandeja_SCTR[[#This Row],[FechaCierre]]=""),"",ROUND((Bandeja_SCTR[[#This Row],[FechaCierre]]-Bandeja_SCTR[[#This Row],[FechaRecepcion]])*24,1))</f>
        <v/>
      </c>
      <c r="N100" s="3">
        <f>IF(Bandeja_SCTR[[#This Row],[FechaRecepcion]]="","",DATE(YEAR(Bandeja_SCTR[[#This Row],[FechaRecepcion]]),MONTH(Bandeja_SCTR[[#This Row],[FechaRecepcion]]),1))</f>
        <v>46296</v>
      </c>
      <c r="O100">
        <f>IF(Bandeja_SCTR[[#This Row],[Estado]]="FINALIZADO",1,0)</f>
        <v>0</v>
      </c>
      <c r="P100">
        <f>IF(Bandeja_SCTR[[#This Row],[CasoId]]="",0,IF(Bandeja_SCTR[[#This Row],[Estado]]="FINALIZADO",0,1))</f>
        <v>1</v>
      </c>
    </row>
    <row r="101" spans="1:16" hidden="1">
      <c r="A101" t="s">
        <v>461</v>
      </c>
      <c r="B101" t="s">
        <v>462</v>
      </c>
      <c r="C101" t="s">
        <v>463</v>
      </c>
      <c r="D101" s="1">
        <v>46309.662152777775</v>
      </c>
      <c r="E101" s="1">
        <v>46309.662152777775</v>
      </c>
      <c r="F101" s="1" t="s">
        <v>464</v>
      </c>
      <c r="G101" t="s">
        <v>30</v>
      </c>
      <c r="H101" s="1">
        <v>46309.662152777775</v>
      </c>
      <c r="I101" t="s">
        <v>465</v>
      </c>
      <c r="J101" t="s">
        <v>466</v>
      </c>
      <c r="K101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101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101" s="2">
        <f>IF(OR(Bandeja_SCTR[[#This Row],[FechaRecepcion]]="",Bandeja_SCTR[[#This Row],[FechaCierre]]=""),"",ROUND((Bandeja_SCTR[[#This Row],[FechaCierre]]-Bandeja_SCTR[[#This Row],[FechaRecepcion]])*24,1))</f>
        <v>0</v>
      </c>
      <c r="N101" s="3">
        <f>IF(Bandeja_SCTR[[#This Row],[FechaRecepcion]]="","",DATE(YEAR(Bandeja_SCTR[[#This Row],[FechaRecepcion]]),MONTH(Bandeja_SCTR[[#This Row],[FechaRecepcion]]),1))</f>
        <v>46296</v>
      </c>
      <c r="O101">
        <f>IF(Bandeja_SCTR[[#This Row],[Estado]]="FINALIZADO",1,0)</f>
        <v>1</v>
      </c>
      <c r="P101">
        <f>IF(Bandeja_SCTR[[#This Row],[CasoId]]="",0,IF(Bandeja_SCTR[[#This Row],[Estado]]="FINALIZADO",0,1))</f>
        <v>0</v>
      </c>
    </row>
    <row r="102" spans="1:16" hidden="1">
      <c r="A102" t="s">
        <v>467</v>
      </c>
      <c r="B102" t="s">
        <v>468</v>
      </c>
      <c r="C102" t="s">
        <v>469</v>
      </c>
      <c r="D102" s="1">
        <v>46309.669560185182</v>
      </c>
      <c r="E102" s="1">
        <v>46309.669560185182</v>
      </c>
      <c r="F102" s="1" t="s">
        <v>144</v>
      </c>
      <c r="G102" t="s">
        <v>30</v>
      </c>
      <c r="H102" s="1">
        <v>46309.669560185182</v>
      </c>
      <c r="I102" t="s">
        <v>210</v>
      </c>
      <c r="J102" t="s">
        <v>470</v>
      </c>
      <c r="K102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102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102" s="2">
        <f>IF(OR(Bandeja_SCTR[[#This Row],[FechaRecepcion]]="",Bandeja_SCTR[[#This Row],[FechaCierre]]=""),"",ROUND((Bandeja_SCTR[[#This Row],[FechaCierre]]-Bandeja_SCTR[[#This Row],[FechaRecepcion]])*24,1))</f>
        <v>0</v>
      </c>
      <c r="N102" s="3">
        <f>IF(Bandeja_SCTR[[#This Row],[FechaRecepcion]]="","",DATE(YEAR(Bandeja_SCTR[[#This Row],[FechaRecepcion]]),MONTH(Bandeja_SCTR[[#This Row],[FechaRecepcion]]),1))</f>
        <v>46296</v>
      </c>
      <c r="O102">
        <f>IF(Bandeja_SCTR[[#This Row],[Estado]]="FINALIZADO",1,0)</f>
        <v>1</v>
      </c>
      <c r="P102">
        <f>IF(Bandeja_SCTR[[#This Row],[CasoId]]="",0,IF(Bandeja_SCTR[[#This Row],[Estado]]="FINALIZADO",0,1))</f>
        <v>0</v>
      </c>
    </row>
    <row r="103" spans="1:16">
      <c r="A103" t="s">
        <v>471</v>
      </c>
      <c r="B103" t="s">
        <v>472</v>
      </c>
      <c r="C103" t="s">
        <v>473</v>
      </c>
      <c r="D103" s="1">
        <v>46309.673020833332</v>
      </c>
      <c r="E103" s="1">
        <v>46309.673020833332</v>
      </c>
      <c r="F103" s="1" t="s">
        <v>144</v>
      </c>
      <c r="H103" s="1"/>
      <c r="J103" t="s">
        <v>474</v>
      </c>
      <c r="K103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5</v>
      </c>
      <c r="L103">
        <f ca="1">IF(Bandeja_SCTR[[#This Row],[FechaRecepcion]]="","",NETWORKDAYS(INT(Bandeja_SCTR[[#This Row],[FechaRecepcion]]),IF(Bandeja_SCTR[[#This Row],[FechaCierre]]="",TODAY(),INT(Bandeja_SCTR[[#This Row],[FechaCierre]])),DIAS_NOLAB[Feriados]))</f>
        <v>5</v>
      </c>
      <c r="M103" s="2" t="str">
        <f>IF(OR(Bandeja_SCTR[[#This Row],[FechaRecepcion]]="",Bandeja_SCTR[[#This Row],[FechaCierre]]=""),"",ROUND((Bandeja_SCTR[[#This Row],[FechaCierre]]-Bandeja_SCTR[[#This Row],[FechaRecepcion]])*24,1))</f>
        <v/>
      </c>
      <c r="N103" s="3">
        <f>IF(Bandeja_SCTR[[#This Row],[FechaRecepcion]]="","",DATE(YEAR(Bandeja_SCTR[[#This Row],[FechaRecepcion]]),MONTH(Bandeja_SCTR[[#This Row],[FechaRecepcion]]),1))</f>
        <v>46296</v>
      </c>
      <c r="O103">
        <f>IF(Bandeja_SCTR[[#This Row],[Estado]]="FINALIZADO",1,0)</f>
        <v>0</v>
      </c>
      <c r="P103">
        <f>IF(Bandeja_SCTR[[#This Row],[CasoId]]="",0,IF(Bandeja_SCTR[[#This Row],[Estado]]="FINALIZADO",0,1))</f>
        <v>1</v>
      </c>
    </row>
    <row r="104" spans="1:16" hidden="1">
      <c r="A104" t="s">
        <v>475</v>
      </c>
      <c r="B104" t="s">
        <v>476</v>
      </c>
      <c r="C104" t="s">
        <v>477</v>
      </c>
      <c r="D104" s="1">
        <v>46309.678136574075</v>
      </c>
      <c r="E104" s="1">
        <v>46309.678136574075</v>
      </c>
      <c r="F104" s="1" t="s">
        <v>478</v>
      </c>
      <c r="G104" t="s">
        <v>30</v>
      </c>
      <c r="H104" s="1">
        <v>46309.678136574075</v>
      </c>
      <c r="I104" t="s">
        <v>479</v>
      </c>
      <c r="J104" t="s">
        <v>480</v>
      </c>
      <c r="K104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104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104" s="2">
        <f>IF(OR(Bandeja_SCTR[[#This Row],[FechaRecepcion]]="",Bandeja_SCTR[[#This Row],[FechaCierre]]=""),"",ROUND((Bandeja_SCTR[[#This Row],[FechaCierre]]-Bandeja_SCTR[[#This Row],[FechaRecepcion]])*24,1))</f>
        <v>0</v>
      </c>
      <c r="N104" s="3">
        <f>IF(Bandeja_SCTR[[#This Row],[FechaRecepcion]]="","",DATE(YEAR(Bandeja_SCTR[[#This Row],[FechaRecepcion]]),MONTH(Bandeja_SCTR[[#This Row],[FechaRecepcion]]),1))</f>
        <v>46296</v>
      </c>
      <c r="O104">
        <f>IF(Bandeja_SCTR[[#This Row],[Estado]]="FINALIZADO",1,0)</f>
        <v>1</v>
      </c>
      <c r="P104">
        <f>IF(Bandeja_SCTR[[#This Row],[CasoId]]="",0,IF(Bandeja_SCTR[[#This Row],[Estado]]="FINALIZADO",0,1))</f>
        <v>0</v>
      </c>
    </row>
    <row r="105" spans="1:16">
      <c r="A105" t="s">
        <v>481</v>
      </c>
      <c r="B105" t="s">
        <v>482</v>
      </c>
      <c r="C105" t="s">
        <v>483</v>
      </c>
      <c r="D105" s="1">
        <v>46310.427222222221</v>
      </c>
      <c r="E105" s="1">
        <v>46310.436620370368</v>
      </c>
      <c r="F105" s="1" t="s">
        <v>484</v>
      </c>
      <c r="H105" s="1"/>
      <c r="I105" t="s">
        <v>484</v>
      </c>
      <c r="J105" t="s">
        <v>485</v>
      </c>
      <c r="K105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4</v>
      </c>
      <c r="L105">
        <f ca="1">IF(Bandeja_SCTR[[#This Row],[FechaRecepcion]]="","",NETWORKDAYS(INT(Bandeja_SCTR[[#This Row],[FechaRecepcion]]),IF(Bandeja_SCTR[[#This Row],[FechaCierre]]="",TODAY(),INT(Bandeja_SCTR[[#This Row],[FechaCierre]])),DIAS_NOLAB[Feriados]))</f>
        <v>4</v>
      </c>
      <c r="M105" s="2" t="str">
        <f>IF(OR(Bandeja_SCTR[[#This Row],[FechaRecepcion]]="",Bandeja_SCTR[[#This Row],[FechaCierre]]=""),"",ROUND((Bandeja_SCTR[[#This Row],[FechaCierre]]-Bandeja_SCTR[[#This Row],[FechaRecepcion]])*24,1))</f>
        <v/>
      </c>
      <c r="N105" s="3">
        <f>IF(Bandeja_SCTR[[#This Row],[FechaRecepcion]]="","",DATE(YEAR(Bandeja_SCTR[[#This Row],[FechaRecepcion]]),MONTH(Bandeja_SCTR[[#This Row],[FechaRecepcion]]),1))</f>
        <v>46296</v>
      </c>
      <c r="O105">
        <f>IF(Bandeja_SCTR[[#This Row],[Estado]]="FINALIZADO",1,0)</f>
        <v>0</v>
      </c>
      <c r="P105">
        <f>IF(Bandeja_SCTR[[#This Row],[CasoId]]="",0,IF(Bandeja_SCTR[[#This Row],[Estado]]="FINALIZADO",0,1))</f>
        <v>1</v>
      </c>
    </row>
    <row r="106" spans="1:16">
      <c r="A106" t="s">
        <v>486</v>
      </c>
      <c r="B106" t="s">
        <v>487</v>
      </c>
      <c r="C106" t="s">
        <v>488</v>
      </c>
      <c r="D106" s="1">
        <v>46310.427233796298</v>
      </c>
      <c r="E106" s="1">
        <v>46310.427233796298</v>
      </c>
      <c r="F106" s="1" t="s">
        <v>24</v>
      </c>
      <c r="H106" s="1"/>
      <c r="I106" t="s">
        <v>24</v>
      </c>
      <c r="J106" t="s">
        <v>489</v>
      </c>
      <c r="K106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4</v>
      </c>
      <c r="L106">
        <f ca="1">IF(Bandeja_SCTR[[#This Row],[FechaRecepcion]]="","",NETWORKDAYS(INT(Bandeja_SCTR[[#This Row],[FechaRecepcion]]),IF(Bandeja_SCTR[[#This Row],[FechaCierre]]="",TODAY(),INT(Bandeja_SCTR[[#This Row],[FechaCierre]])),DIAS_NOLAB[Feriados]))</f>
        <v>4</v>
      </c>
      <c r="M106" s="2" t="str">
        <f>IF(OR(Bandeja_SCTR[[#This Row],[FechaRecepcion]]="",Bandeja_SCTR[[#This Row],[FechaCierre]]=""),"",ROUND((Bandeja_SCTR[[#This Row],[FechaCierre]]-Bandeja_SCTR[[#This Row],[FechaRecepcion]])*24,1))</f>
        <v/>
      </c>
      <c r="N106" s="3">
        <f>IF(Bandeja_SCTR[[#This Row],[FechaRecepcion]]="","",DATE(YEAR(Bandeja_SCTR[[#This Row],[FechaRecepcion]]),MONTH(Bandeja_SCTR[[#This Row],[FechaRecepcion]]),1))</f>
        <v>46296</v>
      </c>
      <c r="O106">
        <f>IF(Bandeja_SCTR[[#This Row],[Estado]]="FINALIZADO",1,0)</f>
        <v>0</v>
      </c>
      <c r="P106">
        <f>IF(Bandeja_SCTR[[#This Row],[CasoId]]="",0,IF(Bandeja_SCTR[[#This Row],[Estado]]="FINALIZADO",0,1))</f>
        <v>1</v>
      </c>
    </row>
    <row r="107" spans="1:16">
      <c r="A107" t="s">
        <v>490</v>
      </c>
      <c r="B107" t="s">
        <v>491</v>
      </c>
      <c r="C107" t="s">
        <v>492</v>
      </c>
      <c r="D107" s="1">
        <v>46310.434178240743</v>
      </c>
      <c r="E107" s="1">
        <v>46312.465069444443</v>
      </c>
      <c r="F107" s="1" t="s">
        <v>197</v>
      </c>
      <c r="H107" s="1"/>
      <c r="I107" t="s">
        <v>311</v>
      </c>
      <c r="J107" t="s">
        <v>493</v>
      </c>
      <c r="K107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2</v>
      </c>
      <c r="L107">
        <f ca="1">IF(Bandeja_SCTR[[#This Row],[FechaRecepcion]]="","",NETWORKDAYS(INT(Bandeja_SCTR[[#This Row],[FechaRecepcion]]),IF(Bandeja_SCTR[[#This Row],[FechaCierre]]="",TODAY(),INT(Bandeja_SCTR[[#This Row],[FechaCierre]])),DIAS_NOLAB[Feriados]))</f>
        <v>4</v>
      </c>
      <c r="M107" s="2" t="str">
        <f>IF(OR(Bandeja_SCTR[[#This Row],[FechaRecepcion]]="",Bandeja_SCTR[[#This Row],[FechaCierre]]=""),"",ROUND((Bandeja_SCTR[[#This Row],[FechaCierre]]-Bandeja_SCTR[[#This Row],[FechaRecepcion]])*24,1))</f>
        <v/>
      </c>
      <c r="N107" s="3">
        <f>IF(Bandeja_SCTR[[#This Row],[FechaRecepcion]]="","",DATE(YEAR(Bandeja_SCTR[[#This Row],[FechaRecepcion]]),MONTH(Bandeja_SCTR[[#This Row],[FechaRecepcion]]),1))</f>
        <v>46296</v>
      </c>
      <c r="O107">
        <f>IF(Bandeja_SCTR[[#This Row],[Estado]]="FINALIZADO",1,0)</f>
        <v>0</v>
      </c>
      <c r="P107">
        <f>IF(Bandeja_SCTR[[#This Row],[CasoId]]="",0,IF(Bandeja_SCTR[[#This Row],[Estado]]="FINALIZADO",0,1))</f>
        <v>1</v>
      </c>
    </row>
    <row r="108" spans="1:16">
      <c r="A108" t="s">
        <v>494</v>
      </c>
      <c r="B108" t="s">
        <v>495</v>
      </c>
      <c r="C108" t="s">
        <v>496</v>
      </c>
      <c r="D108" s="1">
        <v>46310.435798611114</v>
      </c>
      <c r="E108" s="1">
        <v>46310.435798611114</v>
      </c>
      <c r="F108" s="1" t="s">
        <v>497</v>
      </c>
      <c r="H108" s="1"/>
      <c r="I108" t="s">
        <v>498</v>
      </c>
      <c r="K108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4</v>
      </c>
      <c r="L108">
        <f ca="1">IF(Bandeja_SCTR[[#This Row],[FechaRecepcion]]="","",NETWORKDAYS(INT(Bandeja_SCTR[[#This Row],[FechaRecepcion]]),IF(Bandeja_SCTR[[#This Row],[FechaCierre]]="",TODAY(),INT(Bandeja_SCTR[[#This Row],[FechaCierre]])),DIAS_NOLAB[Feriados]))</f>
        <v>4</v>
      </c>
      <c r="M108" s="2" t="str">
        <f>IF(OR(Bandeja_SCTR[[#This Row],[FechaRecepcion]]="",Bandeja_SCTR[[#This Row],[FechaCierre]]=""),"",ROUND((Bandeja_SCTR[[#This Row],[FechaCierre]]-Bandeja_SCTR[[#This Row],[FechaRecepcion]])*24,1))</f>
        <v/>
      </c>
      <c r="N108" s="3">
        <f>IF(Bandeja_SCTR[[#This Row],[FechaRecepcion]]="","",DATE(YEAR(Bandeja_SCTR[[#This Row],[FechaRecepcion]]),MONTH(Bandeja_SCTR[[#This Row],[FechaRecepcion]]),1))</f>
        <v>46296</v>
      </c>
      <c r="O108">
        <f>IF(Bandeja_SCTR[[#This Row],[Estado]]="FINALIZADO",1,0)</f>
        <v>0</v>
      </c>
      <c r="P108">
        <f>IF(Bandeja_SCTR[[#This Row],[CasoId]]="",0,IF(Bandeja_SCTR[[#This Row],[Estado]]="FINALIZADO",0,1))</f>
        <v>1</v>
      </c>
    </row>
    <row r="109" spans="1:16">
      <c r="A109" t="s">
        <v>499</v>
      </c>
      <c r="B109" t="s">
        <v>476</v>
      </c>
      <c r="C109" t="s">
        <v>500</v>
      </c>
      <c r="D109" s="1">
        <v>46310.437928240739</v>
      </c>
      <c r="E109" s="1">
        <v>46310.469814814816</v>
      </c>
      <c r="F109" s="1" t="s">
        <v>501</v>
      </c>
      <c r="H109" s="1"/>
      <c r="I109" t="s">
        <v>502</v>
      </c>
      <c r="J109" t="s">
        <v>503</v>
      </c>
      <c r="K109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4</v>
      </c>
      <c r="L109">
        <f ca="1">IF(Bandeja_SCTR[[#This Row],[FechaRecepcion]]="","",NETWORKDAYS(INT(Bandeja_SCTR[[#This Row],[FechaRecepcion]]),IF(Bandeja_SCTR[[#This Row],[FechaCierre]]="",TODAY(),INT(Bandeja_SCTR[[#This Row],[FechaCierre]])),DIAS_NOLAB[Feriados]))</f>
        <v>4</v>
      </c>
      <c r="M109" s="2" t="str">
        <f>IF(OR(Bandeja_SCTR[[#This Row],[FechaRecepcion]]="",Bandeja_SCTR[[#This Row],[FechaCierre]]=""),"",ROUND((Bandeja_SCTR[[#This Row],[FechaCierre]]-Bandeja_SCTR[[#This Row],[FechaRecepcion]])*24,1))</f>
        <v/>
      </c>
      <c r="N109" s="3">
        <f>IF(Bandeja_SCTR[[#This Row],[FechaRecepcion]]="","",DATE(YEAR(Bandeja_SCTR[[#This Row],[FechaRecepcion]]),MONTH(Bandeja_SCTR[[#This Row],[FechaRecepcion]]),1))</f>
        <v>46296</v>
      </c>
      <c r="O109">
        <f>IF(Bandeja_SCTR[[#This Row],[Estado]]="FINALIZADO",1,0)</f>
        <v>0</v>
      </c>
      <c r="P109">
        <f>IF(Bandeja_SCTR[[#This Row],[CasoId]]="",0,IF(Bandeja_SCTR[[#This Row],[Estado]]="FINALIZADO",0,1))</f>
        <v>1</v>
      </c>
    </row>
    <row r="110" spans="1:16">
      <c r="A110" t="s">
        <v>504</v>
      </c>
      <c r="B110" t="s">
        <v>505</v>
      </c>
      <c r="C110" t="s">
        <v>506</v>
      </c>
      <c r="D110" s="1">
        <v>46310.443275462967</v>
      </c>
      <c r="E110" s="1">
        <v>46310.443275462967</v>
      </c>
      <c r="F110" s="1" t="s">
        <v>507</v>
      </c>
      <c r="H110" s="1"/>
      <c r="I110" t="s">
        <v>507</v>
      </c>
      <c r="K110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4</v>
      </c>
      <c r="L110">
        <f ca="1">IF(Bandeja_SCTR[[#This Row],[FechaRecepcion]]="","",NETWORKDAYS(INT(Bandeja_SCTR[[#This Row],[FechaRecepcion]]),IF(Bandeja_SCTR[[#This Row],[FechaCierre]]="",TODAY(),INT(Bandeja_SCTR[[#This Row],[FechaCierre]])),DIAS_NOLAB[Feriados]))</f>
        <v>4</v>
      </c>
      <c r="M110" s="2" t="str">
        <f>IF(OR(Bandeja_SCTR[[#This Row],[FechaRecepcion]]="",Bandeja_SCTR[[#This Row],[FechaCierre]]=""),"",ROUND((Bandeja_SCTR[[#This Row],[FechaCierre]]-Bandeja_SCTR[[#This Row],[FechaRecepcion]])*24,1))</f>
        <v/>
      </c>
      <c r="N110" s="3">
        <f>IF(Bandeja_SCTR[[#This Row],[FechaRecepcion]]="","",DATE(YEAR(Bandeja_SCTR[[#This Row],[FechaRecepcion]]),MONTH(Bandeja_SCTR[[#This Row],[FechaRecepcion]]),1))</f>
        <v>46296</v>
      </c>
      <c r="O110">
        <f>IF(Bandeja_SCTR[[#This Row],[Estado]]="FINALIZADO",1,0)</f>
        <v>0</v>
      </c>
      <c r="P110">
        <f>IF(Bandeja_SCTR[[#This Row],[CasoId]]="",0,IF(Bandeja_SCTR[[#This Row],[Estado]]="FINALIZADO",0,1))</f>
        <v>1</v>
      </c>
    </row>
    <row r="111" spans="1:16" hidden="1">
      <c r="A111" t="s">
        <v>508</v>
      </c>
      <c r="B111" t="s">
        <v>509</v>
      </c>
      <c r="C111" t="s">
        <v>510</v>
      </c>
      <c r="D111" s="1">
        <v>46310.444467592592</v>
      </c>
      <c r="E111" s="1">
        <v>46314.6253587963</v>
      </c>
      <c r="F111" s="1" t="s">
        <v>96</v>
      </c>
      <c r="G111" t="s">
        <v>30</v>
      </c>
      <c r="H111" s="1">
        <v>46314.6253587963</v>
      </c>
      <c r="I111" t="s">
        <v>268</v>
      </c>
      <c r="K111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111">
        <f ca="1">IF(Bandeja_SCTR[[#This Row],[FechaRecepcion]]="","",NETWORKDAYS(INT(Bandeja_SCTR[[#This Row],[FechaRecepcion]]),IF(Bandeja_SCTR[[#This Row],[FechaCierre]]="",TODAY(),INT(Bandeja_SCTR[[#This Row],[FechaCierre]])),DIAS_NOLAB[Feriados]))</f>
        <v>3</v>
      </c>
      <c r="M111" s="2">
        <f>IF(OR(Bandeja_SCTR[[#This Row],[FechaRecepcion]]="",Bandeja_SCTR[[#This Row],[FechaCierre]]=""),"",ROUND((Bandeja_SCTR[[#This Row],[FechaCierre]]-Bandeja_SCTR[[#This Row],[FechaRecepcion]])*24,1))</f>
        <v>100.3</v>
      </c>
      <c r="N111" s="3">
        <f>IF(Bandeja_SCTR[[#This Row],[FechaRecepcion]]="","",DATE(YEAR(Bandeja_SCTR[[#This Row],[FechaRecepcion]]),MONTH(Bandeja_SCTR[[#This Row],[FechaRecepcion]]),1))</f>
        <v>46296</v>
      </c>
      <c r="O111">
        <f>IF(Bandeja_SCTR[[#This Row],[Estado]]="FINALIZADO",1,0)</f>
        <v>1</v>
      </c>
      <c r="P111">
        <f>IF(Bandeja_SCTR[[#This Row],[CasoId]]="",0,IF(Bandeja_SCTR[[#This Row],[Estado]]="FINALIZADO",0,1))</f>
        <v>0</v>
      </c>
    </row>
    <row r="112" spans="1:16">
      <c r="A112" t="s">
        <v>511</v>
      </c>
      <c r="B112" t="s">
        <v>512</v>
      </c>
      <c r="C112" t="s">
        <v>513</v>
      </c>
      <c r="D112" s="1">
        <v>46310.447499999995</v>
      </c>
      <c r="E112" s="1">
        <v>46310.447499999995</v>
      </c>
      <c r="F112" s="1" t="s">
        <v>514</v>
      </c>
      <c r="H112" s="1"/>
      <c r="I112" t="s">
        <v>514</v>
      </c>
      <c r="J112" t="s">
        <v>515</v>
      </c>
      <c r="K112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4</v>
      </c>
      <c r="L112">
        <f ca="1">IF(Bandeja_SCTR[[#This Row],[FechaRecepcion]]="","",NETWORKDAYS(INT(Bandeja_SCTR[[#This Row],[FechaRecepcion]]),IF(Bandeja_SCTR[[#This Row],[FechaCierre]]="",TODAY(),INT(Bandeja_SCTR[[#This Row],[FechaCierre]])),DIAS_NOLAB[Feriados]))</f>
        <v>4</v>
      </c>
      <c r="M112" s="2" t="str">
        <f>IF(OR(Bandeja_SCTR[[#This Row],[FechaRecepcion]]="",Bandeja_SCTR[[#This Row],[FechaCierre]]=""),"",ROUND((Bandeja_SCTR[[#This Row],[FechaCierre]]-Bandeja_SCTR[[#This Row],[FechaRecepcion]])*24,1))</f>
        <v/>
      </c>
      <c r="N112" s="3">
        <f>IF(Bandeja_SCTR[[#This Row],[FechaRecepcion]]="","",DATE(YEAR(Bandeja_SCTR[[#This Row],[FechaRecepcion]]),MONTH(Bandeja_SCTR[[#This Row],[FechaRecepcion]]),1))</f>
        <v>46296</v>
      </c>
      <c r="O112">
        <f>IF(Bandeja_SCTR[[#This Row],[Estado]]="FINALIZADO",1,0)</f>
        <v>0</v>
      </c>
      <c r="P112">
        <f>IF(Bandeja_SCTR[[#This Row],[CasoId]]="",0,IF(Bandeja_SCTR[[#This Row],[Estado]]="FINALIZADO",0,1))</f>
        <v>1</v>
      </c>
    </row>
    <row r="113" spans="1:16">
      <c r="A113" t="s">
        <v>516</v>
      </c>
      <c r="B113" t="s">
        <v>517</v>
      </c>
      <c r="C113" t="s">
        <v>518</v>
      </c>
      <c r="D113" s="1">
        <v>46310.461493055554</v>
      </c>
      <c r="E113" s="1">
        <v>46310.65347222222</v>
      </c>
      <c r="F113" s="1" t="s">
        <v>24</v>
      </c>
      <c r="H113" s="1"/>
      <c r="I113" t="s">
        <v>24</v>
      </c>
      <c r="J113" t="s">
        <v>519</v>
      </c>
      <c r="K113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4</v>
      </c>
      <c r="L113">
        <f ca="1">IF(Bandeja_SCTR[[#This Row],[FechaRecepcion]]="","",NETWORKDAYS(INT(Bandeja_SCTR[[#This Row],[FechaRecepcion]]),IF(Bandeja_SCTR[[#This Row],[FechaCierre]]="",TODAY(),INT(Bandeja_SCTR[[#This Row],[FechaCierre]])),DIAS_NOLAB[Feriados]))</f>
        <v>4</v>
      </c>
      <c r="M113" s="2" t="str">
        <f>IF(OR(Bandeja_SCTR[[#This Row],[FechaRecepcion]]="",Bandeja_SCTR[[#This Row],[FechaCierre]]=""),"",ROUND((Bandeja_SCTR[[#This Row],[FechaCierre]]-Bandeja_SCTR[[#This Row],[FechaRecepcion]])*24,1))</f>
        <v/>
      </c>
      <c r="N113" s="3">
        <f>IF(Bandeja_SCTR[[#This Row],[FechaRecepcion]]="","",DATE(YEAR(Bandeja_SCTR[[#This Row],[FechaRecepcion]]),MONTH(Bandeja_SCTR[[#This Row],[FechaRecepcion]]),1))</f>
        <v>46296</v>
      </c>
      <c r="O113">
        <f>IF(Bandeja_SCTR[[#This Row],[Estado]]="FINALIZADO",1,0)</f>
        <v>0</v>
      </c>
      <c r="P113">
        <f>IF(Bandeja_SCTR[[#This Row],[CasoId]]="",0,IF(Bandeja_SCTR[[#This Row],[Estado]]="FINALIZADO",0,1))</f>
        <v>1</v>
      </c>
    </row>
    <row r="114" spans="1:16">
      <c r="A114" t="s">
        <v>520</v>
      </c>
      <c r="B114" t="s">
        <v>186</v>
      </c>
      <c r="C114" t="s">
        <v>187</v>
      </c>
      <c r="D114" s="1">
        <v>46310.461516203708</v>
      </c>
      <c r="E114" s="1">
        <v>46310.461516203708</v>
      </c>
      <c r="F114" s="1" t="s">
        <v>521</v>
      </c>
      <c r="H114" s="1"/>
      <c r="I114" t="s">
        <v>521</v>
      </c>
      <c r="J114" t="s">
        <v>522</v>
      </c>
      <c r="K114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4</v>
      </c>
      <c r="L114">
        <f ca="1">IF(Bandeja_SCTR[[#This Row],[FechaRecepcion]]="","",NETWORKDAYS(INT(Bandeja_SCTR[[#This Row],[FechaRecepcion]]),IF(Bandeja_SCTR[[#This Row],[FechaCierre]]="",TODAY(),INT(Bandeja_SCTR[[#This Row],[FechaCierre]])),DIAS_NOLAB[Feriados]))</f>
        <v>4</v>
      </c>
      <c r="M114" s="2" t="str">
        <f>IF(OR(Bandeja_SCTR[[#This Row],[FechaRecepcion]]="",Bandeja_SCTR[[#This Row],[FechaCierre]]=""),"",ROUND((Bandeja_SCTR[[#This Row],[FechaCierre]]-Bandeja_SCTR[[#This Row],[FechaRecepcion]])*24,1))</f>
        <v/>
      </c>
      <c r="N114" s="3">
        <f>IF(Bandeja_SCTR[[#This Row],[FechaRecepcion]]="","",DATE(YEAR(Bandeja_SCTR[[#This Row],[FechaRecepcion]]),MONTH(Bandeja_SCTR[[#This Row],[FechaRecepcion]]),1))</f>
        <v>46296</v>
      </c>
      <c r="O114">
        <f>IF(Bandeja_SCTR[[#This Row],[Estado]]="FINALIZADO",1,0)</f>
        <v>0</v>
      </c>
      <c r="P114">
        <f>IF(Bandeja_SCTR[[#This Row],[CasoId]]="",0,IF(Bandeja_SCTR[[#This Row],[Estado]]="FINALIZADO",0,1))</f>
        <v>1</v>
      </c>
    </row>
    <row r="115" spans="1:16">
      <c r="A115" t="s">
        <v>523</v>
      </c>
      <c r="B115" t="s">
        <v>524</v>
      </c>
      <c r="C115" t="s">
        <v>525</v>
      </c>
      <c r="D115" s="1">
        <v>46310.464583333334</v>
      </c>
      <c r="E115" s="1">
        <v>46312.381423611107</v>
      </c>
      <c r="F115" s="1" t="s">
        <v>526</v>
      </c>
      <c r="H115" s="1"/>
      <c r="I115" t="s">
        <v>526</v>
      </c>
      <c r="K115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2</v>
      </c>
      <c r="L115">
        <f ca="1">IF(Bandeja_SCTR[[#This Row],[FechaRecepcion]]="","",NETWORKDAYS(INT(Bandeja_SCTR[[#This Row],[FechaRecepcion]]),IF(Bandeja_SCTR[[#This Row],[FechaCierre]]="",TODAY(),INT(Bandeja_SCTR[[#This Row],[FechaCierre]])),DIAS_NOLAB[Feriados]))</f>
        <v>4</v>
      </c>
      <c r="M115" s="2" t="str">
        <f>IF(OR(Bandeja_SCTR[[#This Row],[FechaRecepcion]]="",Bandeja_SCTR[[#This Row],[FechaCierre]]=""),"",ROUND((Bandeja_SCTR[[#This Row],[FechaCierre]]-Bandeja_SCTR[[#This Row],[FechaRecepcion]])*24,1))</f>
        <v/>
      </c>
      <c r="N115" s="3">
        <f>IF(Bandeja_SCTR[[#This Row],[FechaRecepcion]]="","",DATE(YEAR(Bandeja_SCTR[[#This Row],[FechaRecepcion]]),MONTH(Bandeja_SCTR[[#This Row],[FechaRecepcion]]),1))</f>
        <v>46296</v>
      </c>
      <c r="O115">
        <f>IF(Bandeja_SCTR[[#This Row],[Estado]]="FINALIZADO",1,0)</f>
        <v>0</v>
      </c>
      <c r="P115">
        <f>IF(Bandeja_SCTR[[#This Row],[CasoId]]="",0,IF(Bandeja_SCTR[[#This Row],[Estado]]="FINALIZADO",0,1))</f>
        <v>1</v>
      </c>
    </row>
    <row r="116" spans="1:16" hidden="1">
      <c r="A116" t="s">
        <v>527</v>
      </c>
      <c r="B116" t="s">
        <v>528</v>
      </c>
      <c r="C116" t="s">
        <v>529</v>
      </c>
      <c r="D116" s="1">
        <v>46310.464722222227</v>
      </c>
      <c r="E116" s="1">
        <v>46314.665763888886</v>
      </c>
      <c r="F116" s="1" t="s">
        <v>96</v>
      </c>
      <c r="G116" t="s">
        <v>30</v>
      </c>
      <c r="H116" s="1">
        <v>46314.665763888886</v>
      </c>
      <c r="I116" t="s">
        <v>268</v>
      </c>
      <c r="J116" t="s">
        <v>530</v>
      </c>
      <c r="K116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116">
        <f ca="1">IF(Bandeja_SCTR[[#This Row],[FechaRecepcion]]="","",NETWORKDAYS(INT(Bandeja_SCTR[[#This Row],[FechaRecepcion]]),IF(Bandeja_SCTR[[#This Row],[FechaCierre]]="",TODAY(),INT(Bandeja_SCTR[[#This Row],[FechaCierre]])),DIAS_NOLAB[Feriados]))</f>
        <v>3</v>
      </c>
      <c r="M116" s="2">
        <f>IF(OR(Bandeja_SCTR[[#This Row],[FechaRecepcion]]="",Bandeja_SCTR[[#This Row],[FechaCierre]]=""),"",ROUND((Bandeja_SCTR[[#This Row],[FechaCierre]]-Bandeja_SCTR[[#This Row],[FechaRecepcion]])*24,1))</f>
        <v>100.8</v>
      </c>
      <c r="N116" s="3">
        <f>IF(Bandeja_SCTR[[#This Row],[FechaRecepcion]]="","",DATE(YEAR(Bandeja_SCTR[[#This Row],[FechaRecepcion]]),MONTH(Bandeja_SCTR[[#This Row],[FechaRecepcion]]),1))</f>
        <v>46296</v>
      </c>
      <c r="O116">
        <f>IF(Bandeja_SCTR[[#This Row],[Estado]]="FINALIZADO",1,0)</f>
        <v>1</v>
      </c>
      <c r="P116">
        <f>IF(Bandeja_SCTR[[#This Row],[CasoId]]="",0,IF(Bandeja_SCTR[[#This Row],[Estado]]="FINALIZADO",0,1))</f>
        <v>0</v>
      </c>
    </row>
    <row r="117" spans="1:16" hidden="1">
      <c r="A117" t="s">
        <v>531</v>
      </c>
      <c r="B117" t="s">
        <v>532</v>
      </c>
      <c r="C117" t="s">
        <v>533</v>
      </c>
      <c r="D117" s="1">
        <v>46310.465648148151</v>
      </c>
      <c r="E117" s="1">
        <v>46310.53506944445</v>
      </c>
      <c r="F117" s="1" t="s">
        <v>96</v>
      </c>
      <c r="G117" t="s">
        <v>30</v>
      </c>
      <c r="H117" s="1">
        <v>46310.53506944445</v>
      </c>
      <c r="I117" t="s">
        <v>97</v>
      </c>
      <c r="J117" t="s">
        <v>534</v>
      </c>
      <c r="K117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117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117" s="2">
        <f>IF(OR(Bandeja_SCTR[[#This Row],[FechaRecepcion]]="",Bandeja_SCTR[[#This Row],[FechaCierre]]=""),"",ROUND((Bandeja_SCTR[[#This Row],[FechaCierre]]-Bandeja_SCTR[[#This Row],[FechaRecepcion]])*24,1))</f>
        <v>1.7</v>
      </c>
      <c r="N117" s="3">
        <f>IF(Bandeja_SCTR[[#This Row],[FechaRecepcion]]="","",DATE(YEAR(Bandeja_SCTR[[#This Row],[FechaRecepcion]]),MONTH(Bandeja_SCTR[[#This Row],[FechaRecepcion]]),1))</f>
        <v>46296</v>
      </c>
      <c r="O117">
        <f>IF(Bandeja_SCTR[[#This Row],[Estado]]="FINALIZADO",1,0)</f>
        <v>1</v>
      </c>
      <c r="P117">
        <f>IF(Bandeja_SCTR[[#This Row],[CasoId]]="",0,IF(Bandeja_SCTR[[#This Row],[Estado]]="FINALIZADO",0,1))</f>
        <v>0</v>
      </c>
    </row>
    <row r="118" spans="1:16">
      <c r="A118" t="s">
        <v>535</v>
      </c>
      <c r="B118" t="s">
        <v>536</v>
      </c>
      <c r="C118" t="s">
        <v>537</v>
      </c>
      <c r="D118" s="1">
        <v>46310.467361111107</v>
      </c>
      <c r="E118" s="1">
        <v>46310.467361111107</v>
      </c>
      <c r="F118" s="1" t="s">
        <v>538</v>
      </c>
      <c r="H118" s="1"/>
      <c r="I118" t="s">
        <v>538</v>
      </c>
      <c r="J118" t="s">
        <v>539</v>
      </c>
      <c r="K118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4</v>
      </c>
      <c r="L118">
        <f ca="1">IF(Bandeja_SCTR[[#This Row],[FechaRecepcion]]="","",NETWORKDAYS(INT(Bandeja_SCTR[[#This Row],[FechaRecepcion]]),IF(Bandeja_SCTR[[#This Row],[FechaCierre]]="",TODAY(),INT(Bandeja_SCTR[[#This Row],[FechaCierre]])),DIAS_NOLAB[Feriados]))</f>
        <v>4</v>
      </c>
      <c r="M118" s="2" t="str">
        <f>IF(OR(Bandeja_SCTR[[#This Row],[FechaRecepcion]]="",Bandeja_SCTR[[#This Row],[FechaCierre]]=""),"",ROUND((Bandeja_SCTR[[#This Row],[FechaCierre]]-Bandeja_SCTR[[#This Row],[FechaRecepcion]])*24,1))</f>
        <v/>
      </c>
      <c r="N118" s="3">
        <f>IF(Bandeja_SCTR[[#This Row],[FechaRecepcion]]="","",DATE(YEAR(Bandeja_SCTR[[#This Row],[FechaRecepcion]]),MONTH(Bandeja_SCTR[[#This Row],[FechaRecepcion]]),1))</f>
        <v>46296</v>
      </c>
      <c r="O118">
        <f>IF(Bandeja_SCTR[[#This Row],[Estado]]="FINALIZADO",1,0)</f>
        <v>0</v>
      </c>
      <c r="P118">
        <f>IF(Bandeja_SCTR[[#This Row],[CasoId]]="",0,IF(Bandeja_SCTR[[#This Row],[Estado]]="FINALIZADO",0,1))</f>
        <v>1</v>
      </c>
    </row>
    <row r="119" spans="1:16">
      <c r="A119" t="s">
        <v>540</v>
      </c>
      <c r="B119" t="s">
        <v>541</v>
      </c>
      <c r="C119" t="s">
        <v>542</v>
      </c>
      <c r="D119" s="1">
        <v>46310.47038194444</v>
      </c>
      <c r="E119" s="1">
        <v>46310.47038194444</v>
      </c>
      <c r="F119" s="1" t="s">
        <v>543</v>
      </c>
      <c r="H119" s="1"/>
      <c r="I119" t="s">
        <v>544</v>
      </c>
      <c r="J119" t="s">
        <v>545</v>
      </c>
      <c r="K119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4</v>
      </c>
      <c r="L119">
        <f ca="1">IF(Bandeja_SCTR[[#This Row],[FechaRecepcion]]="","",NETWORKDAYS(INT(Bandeja_SCTR[[#This Row],[FechaRecepcion]]),IF(Bandeja_SCTR[[#This Row],[FechaCierre]]="",TODAY(),INT(Bandeja_SCTR[[#This Row],[FechaCierre]])),DIAS_NOLAB[Feriados]))</f>
        <v>4</v>
      </c>
      <c r="M119" s="2" t="str">
        <f>IF(OR(Bandeja_SCTR[[#This Row],[FechaRecepcion]]="",Bandeja_SCTR[[#This Row],[FechaCierre]]=""),"",ROUND((Bandeja_SCTR[[#This Row],[FechaCierre]]-Bandeja_SCTR[[#This Row],[FechaRecepcion]])*24,1))</f>
        <v/>
      </c>
      <c r="N119" s="3">
        <f>IF(Bandeja_SCTR[[#This Row],[FechaRecepcion]]="","",DATE(YEAR(Bandeja_SCTR[[#This Row],[FechaRecepcion]]),MONTH(Bandeja_SCTR[[#This Row],[FechaRecepcion]]),1))</f>
        <v>46296</v>
      </c>
      <c r="O119">
        <f>IF(Bandeja_SCTR[[#This Row],[Estado]]="FINALIZADO",1,0)</f>
        <v>0</v>
      </c>
      <c r="P119">
        <f>IF(Bandeja_SCTR[[#This Row],[CasoId]]="",0,IF(Bandeja_SCTR[[#This Row],[Estado]]="FINALIZADO",0,1))</f>
        <v>1</v>
      </c>
    </row>
    <row r="120" spans="1:16">
      <c r="A120" t="s">
        <v>546</v>
      </c>
      <c r="B120" t="s">
        <v>547</v>
      </c>
      <c r="C120" t="s">
        <v>548</v>
      </c>
      <c r="D120" s="1">
        <v>46310.478518518517</v>
      </c>
      <c r="E120" s="1">
        <v>46315.478032407409</v>
      </c>
      <c r="F120" s="1" t="s">
        <v>549</v>
      </c>
      <c r="H120" s="1"/>
      <c r="I120" t="s">
        <v>550</v>
      </c>
      <c r="J120" t="s">
        <v>551</v>
      </c>
      <c r="K120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1</v>
      </c>
      <c r="L120">
        <f ca="1">IF(Bandeja_SCTR[[#This Row],[FechaRecepcion]]="","",NETWORKDAYS(INT(Bandeja_SCTR[[#This Row],[FechaRecepcion]]),IF(Bandeja_SCTR[[#This Row],[FechaCierre]]="",TODAY(),INT(Bandeja_SCTR[[#This Row],[FechaCierre]])),DIAS_NOLAB[Feriados]))</f>
        <v>4</v>
      </c>
      <c r="M120" s="2" t="str">
        <f>IF(OR(Bandeja_SCTR[[#This Row],[FechaRecepcion]]="",Bandeja_SCTR[[#This Row],[FechaCierre]]=""),"",ROUND((Bandeja_SCTR[[#This Row],[FechaCierre]]-Bandeja_SCTR[[#This Row],[FechaRecepcion]])*24,1))</f>
        <v/>
      </c>
      <c r="N120" s="3">
        <f>IF(Bandeja_SCTR[[#This Row],[FechaRecepcion]]="","",DATE(YEAR(Bandeja_SCTR[[#This Row],[FechaRecepcion]]),MONTH(Bandeja_SCTR[[#This Row],[FechaRecepcion]]),1))</f>
        <v>46296</v>
      </c>
      <c r="O120">
        <f>IF(Bandeja_SCTR[[#This Row],[Estado]]="FINALIZADO",1,0)</f>
        <v>0</v>
      </c>
      <c r="P120">
        <f>IF(Bandeja_SCTR[[#This Row],[CasoId]]="",0,IF(Bandeja_SCTR[[#This Row],[Estado]]="FINALIZADO",0,1))</f>
        <v>1</v>
      </c>
    </row>
    <row r="121" spans="1:16" hidden="1">
      <c r="A121" t="s">
        <v>552</v>
      </c>
      <c r="B121" t="s">
        <v>180</v>
      </c>
      <c r="C121" t="s">
        <v>553</v>
      </c>
      <c r="D121" s="1">
        <v>46310.481388888889</v>
      </c>
      <c r="E121" s="1">
        <v>46310.490902777776</v>
      </c>
      <c r="F121" s="1" t="s">
        <v>96</v>
      </c>
      <c r="G121" t="s">
        <v>30</v>
      </c>
      <c r="H121" s="1">
        <v>46310.490902777776</v>
      </c>
      <c r="I121" t="s">
        <v>97</v>
      </c>
      <c r="J121" t="s">
        <v>554</v>
      </c>
      <c r="K121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121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121" s="2">
        <f>IF(OR(Bandeja_SCTR[[#This Row],[FechaRecepcion]]="",Bandeja_SCTR[[#This Row],[FechaCierre]]=""),"",ROUND((Bandeja_SCTR[[#This Row],[FechaCierre]]-Bandeja_SCTR[[#This Row],[FechaRecepcion]])*24,1))</f>
        <v>0.2</v>
      </c>
      <c r="N121" s="3">
        <f>IF(Bandeja_SCTR[[#This Row],[FechaRecepcion]]="","",DATE(YEAR(Bandeja_SCTR[[#This Row],[FechaRecepcion]]),MONTH(Bandeja_SCTR[[#This Row],[FechaRecepcion]]),1))</f>
        <v>46296</v>
      </c>
      <c r="O121">
        <f>IF(Bandeja_SCTR[[#This Row],[Estado]]="FINALIZADO",1,0)</f>
        <v>1</v>
      </c>
      <c r="P121">
        <f>IF(Bandeja_SCTR[[#This Row],[CasoId]]="",0,IF(Bandeja_SCTR[[#This Row],[Estado]]="FINALIZADO",0,1))</f>
        <v>0</v>
      </c>
    </row>
    <row r="122" spans="1:16">
      <c r="A122" t="s">
        <v>555</v>
      </c>
      <c r="B122" t="s">
        <v>556</v>
      </c>
      <c r="C122" t="s">
        <v>557</v>
      </c>
      <c r="D122" s="1">
        <v>46310.485636574071</v>
      </c>
      <c r="E122" s="1">
        <v>46311.766238425931</v>
      </c>
      <c r="F122" s="1" t="s">
        <v>558</v>
      </c>
      <c r="H122" s="1"/>
      <c r="I122" t="s">
        <v>558</v>
      </c>
      <c r="K122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3</v>
      </c>
      <c r="L122">
        <f ca="1">IF(Bandeja_SCTR[[#This Row],[FechaRecepcion]]="","",NETWORKDAYS(INT(Bandeja_SCTR[[#This Row],[FechaRecepcion]]),IF(Bandeja_SCTR[[#This Row],[FechaCierre]]="",TODAY(),INT(Bandeja_SCTR[[#This Row],[FechaCierre]])),DIAS_NOLAB[Feriados]))</f>
        <v>4</v>
      </c>
      <c r="M122" s="2" t="str">
        <f>IF(OR(Bandeja_SCTR[[#This Row],[FechaRecepcion]]="",Bandeja_SCTR[[#This Row],[FechaCierre]]=""),"",ROUND((Bandeja_SCTR[[#This Row],[FechaCierre]]-Bandeja_SCTR[[#This Row],[FechaRecepcion]])*24,1))</f>
        <v/>
      </c>
      <c r="N122" s="3">
        <f>IF(Bandeja_SCTR[[#This Row],[FechaRecepcion]]="","",DATE(YEAR(Bandeja_SCTR[[#This Row],[FechaRecepcion]]),MONTH(Bandeja_SCTR[[#This Row],[FechaRecepcion]]),1))</f>
        <v>46296</v>
      </c>
      <c r="O122">
        <f>IF(Bandeja_SCTR[[#This Row],[Estado]]="FINALIZADO",1,0)</f>
        <v>0</v>
      </c>
      <c r="P122">
        <f>IF(Bandeja_SCTR[[#This Row],[CasoId]]="",0,IF(Bandeja_SCTR[[#This Row],[Estado]]="FINALIZADO",0,1))</f>
        <v>1</v>
      </c>
    </row>
    <row r="123" spans="1:16">
      <c r="A123" t="s">
        <v>559</v>
      </c>
      <c r="B123" t="s">
        <v>560</v>
      </c>
      <c r="C123" t="s">
        <v>561</v>
      </c>
      <c r="D123" s="1">
        <v>46310.491087962961</v>
      </c>
      <c r="E123" s="1">
        <v>46310.491087962961</v>
      </c>
      <c r="F123" s="1" t="s">
        <v>562</v>
      </c>
      <c r="H123" s="1"/>
      <c r="I123" t="s">
        <v>563</v>
      </c>
      <c r="K123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4</v>
      </c>
      <c r="L123">
        <f ca="1">IF(Bandeja_SCTR[[#This Row],[FechaRecepcion]]="","",NETWORKDAYS(INT(Bandeja_SCTR[[#This Row],[FechaRecepcion]]),IF(Bandeja_SCTR[[#This Row],[FechaCierre]]="",TODAY(),INT(Bandeja_SCTR[[#This Row],[FechaCierre]])),DIAS_NOLAB[Feriados]))</f>
        <v>4</v>
      </c>
      <c r="M123" s="2" t="str">
        <f>IF(OR(Bandeja_SCTR[[#This Row],[FechaRecepcion]]="",Bandeja_SCTR[[#This Row],[FechaCierre]]=""),"",ROUND((Bandeja_SCTR[[#This Row],[FechaCierre]]-Bandeja_SCTR[[#This Row],[FechaRecepcion]])*24,1))</f>
        <v/>
      </c>
      <c r="N123" s="3">
        <f>IF(Bandeja_SCTR[[#This Row],[FechaRecepcion]]="","",DATE(YEAR(Bandeja_SCTR[[#This Row],[FechaRecepcion]]),MONTH(Bandeja_SCTR[[#This Row],[FechaRecepcion]]),1))</f>
        <v>46296</v>
      </c>
      <c r="O123">
        <f>IF(Bandeja_SCTR[[#This Row],[Estado]]="FINALIZADO",1,0)</f>
        <v>0</v>
      </c>
      <c r="P123">
        <f>IF(Bandeja_SCTR[[#This Row],[CasoId]]="",0,IF(Bandeja_SCTR[[#This Row],[Estado]]="FINALIZADO",0,1))</f>
        <v>1</v>
      </c>
    </row>
    <row r="124" spans="1:16" hidden="1">
      <c r="A124" t="s">
        <v>564</v>
      </c>
      <c r="B124" t="s">
        <v>565</v>
      </c>
      <c r="C124" t="s">
        <v>566</v>
      </c>
      <c r="D124" s="1">
        <v>46310.495069444441</v>
      </c>
      <c r="E124" s="1">
        <v>46315.478726851856</v>
      </c>
      <c r="F124" s="1" t="s">
        <v>96</v>
      </c>
      <c r="G124" t="s">
        <v>30</v>
      </c>
      <c r="H124" s="1">
        <v>46315.478726851856</v>
      </c>
      <c r="I124" t="s">
        <v>268</v>
      </c>
      <c r="J124" t="s">
        <v>530</v>
      </c>
      <c r="K124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124">
        <f ca="1">IF(Bandeja_SCTR[[#This Row],[FechaRecepcion]]="","",NETWORKDAYS(INT(Bandeja_SCTR[[#This Row],[FechaRecepcion]]),IF(Bandeja_SCTR[[#This Row],[FechaCierre]]="",TODAY(),INT(Bandeja_SCTR[[#This Row],[FechaCierre]])),DIAS_NOLAB[Feriados]))</f>
        <v>4</v>
      </c>
      <c r="M124" s="2">
        <f>IF(OR(Bandeja_SCTR[[#This Row],[FechaRecepcion]]="",Bandeja_SCTR[[#This Row],[FechaCierre]]=""),"",ROUND((Bandeja_SCTR[[#This Row],[FechaCierre]]-Bandeja_SCTR[[#This Row],[FechaRecepcion]])*24,1))</f>
        <v>119.6</v>
      </c>
      <c r="N124" s="3">
        <f>IF(Bandeja_SCTR[[#This Row],[FechaRecepcion]]="","",DATE(YEAR(Bandeja_SCTR[[#This Row],[FechaRecepcion]]),MONTH(Bandeja_SCTR[[#This Row],[FechaRecepcion]]),1))</f>
        <v>46296</v>
      </c>
      <c r="O124">
        <f>IF(Bandeja_SCTR[[#This Row],[Estado]]="FINALIZADO",1,0)</f>
        <v>1</v>
      </c>
      <c r="P124">
        <f>IF(Bandeja_SCTR[[#This Row],[CasoId]]="",0,IF(Bandeja_SCTR[[#This Row],[Estado]]="FINALIZADO",0,1))</f>
        <v>0</v>
      </c>
    </row>
    <row r="125" spans="1:16" hidden="1">
      <c r="A125" t="s">
        <v>567</v>
      </c>
      <c r="B125" t="s">
        <v>180</v>
      </c>
      <c r="C125" t="s">
        <v>568</v>
      </c>
      <c r="D125" s="1">
        <v>46310.495196759264</v>
      </c>
      <c r="E125" s="1">
        <v>46311.462118055555</v>
      </c>
      <c r="F125" s="1" t="s">
        <v>96</v>
      </c>
      <c r="G125" t="s">
        <v>30</v>
      </c>
      <c r="H125" s="1">
        <v>46311.462118055555</v>
      </c>
      <c r="I125" t="s">
        <v>97</v>
      </c>
      <c r="J125" t="s">
        <v>569</v>
      </c>
      <c r="K125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125">
        <f ca="1">IF(Bandeja_SCTR[[#This Row],[FechaRecepcion]]="","",NETWORKDAYS(INT(Bandeja_SCTR[[#This Row],[FechaRecepcion]]),IF(Bandeja_SCTR[[#This Row],[FechaCierre]]="",TODAY(),INT(Bandeja_SCTR[[#This Row],[FechaCierre]])),DIAS_NOLAB[Feriados]))</f>
        <v>2</v>
      </c>
      <c r="M125" s="2">
        <f>IF(OR(Bandeja_SCTR[[#This Row],[FechaRecepcion]]="",Bandeja_SCTR[[#This Row],[FechaCierre]]=""),"",ROUND((Bandeja_SCTR[[#This Row],[FechaCierre]]-Bandeja_SCTR[[#This Row],[FechaRecepcion]])*24,1))</f>
        <v>23.2</v>
      </c>
      <c r="N125" s="3">
        <f>IF(Bandeja_SCTR[[#This Row],[FechaRecepcion]]="","",DATE(YEAR(Bandeja_SCTR[[#This Row],[FechaRecepcion]]),MONTH(Bandeja_SCTR[[#This Row],[FechaRecepcion]]),1))</f>
        <v>46296</v>
      </c>
      <c r="O125">
        <f>IF(Bandeja_SCTR[[#This Row],[Estado]]="FINALIZADO",1,0)</f>
        <v>1</v>
      </c>
      <c r="P125">
        <f>IF(Bandeja_SCTR[[#This Row],[CasoId]]="",0,IF(Bandeja_SCTR[[#This Row],[Estado]]="FINALIZADO",0,1))</f>
        <v>0</v>
      </c>
    </row>
    <row r="126" spans="1:16" hidden="1">
      <c r="A126" t="s">
        <v>570</v>
      </c>
      <c r="B126" t="s">
        <v>571</v>
      </c>
      <c r="C126" t="s">
        <v>572</v>
      </c>
      <c r="D126" s="1">
        <v>46310.499930555554</v>
      </c>
      <c r="E126" s="1">
        <v>46311.597881944443</v>
      </c>
      <c r="F126" s="1" t="s">
        <v>96</v>
      </c>
      <c r="G126" t="s">
        <v>30</v>
      </c>
      <c r="H126" s="1">
        <v>46311.597881944443</v>
      </c>
      <c r="I126" t="s">
        <v>97</v>
      </c>
      <c r="K126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126">
        <f ca="1">IF(Bandeja_SCTR[[#This Row],[FechaRecepcion]]="","",NETWORKDAYS(INT(Bandeja_SCTR[[#This Row],[FechaRecepcion]]),IF(Bandeja_SCTR[[#This Row],[FechaCierre]]="",TODAY(),INT(Bandeja_SCTR[[#This Row],[FechaCierre]])),DIAS_NOLAB[Feriados]))</f>
        <v>2</v>
      </c>
      <c r="M126" s="2">
        <f>IF(OR(Bandeja_SCTR[[#This Row],[FechaRecepcion]]="",Bandeja_SCTR[[#This Row],[FechaCierre]]=""),"",ROUND((Bandeja_SCTR[[#This Row],[FechaCierre]]-Bandeja_SCTR[[#This Row],[FechaRecepcion]])*24,1))</f>
        <v>26.4</v>
      </c>
      <c r="N126" s="3">
        <f>IF(Bandeja_SCTR[[#This Row],[FechaRecepcion]]="","",DATE(YEAR(Bandeja_SCTR[[#This Row],[FechaRecepcion]]),MONTH(Bandeja_SCTR[[#This Row],[FechaRecepcion]]),1))</f>
        <v>46296</v>
      </c>
      <c r="O126">
        <f>IF(Bandeja_SCTR[[#This Row],[Estado]]="FINALIZADO",1,0)</f>
        <v>1</v>
      </c>
      <c r="P126">
        <f>IF(Bandeja_SCTR[[#This Row],[CasoId]]="",0,IF(Bandeja_SCTR[[#This Row],[Estado]]="FINALIZADO",0,1))</f>
        <v>0</v>
      </c>
    </row>
    <row r="127" spans="1:16">
      <c r="A127" t="s">
        <v>573</v>
      </c>
      <c r="B127" t="s">
        <v>574</v>
      </c>
      <c r="C127" t="s">
        <v>575</v>
      </c>
      <c r="D127" s="1">
        <v>46310.511469907404</v>
      </c>
      <c r="E127" s="1">
        <v>46310.511469907404</v>
      </c>
      <c r="F127" s="1" t="s">
        <v>576</v>
      </c>
      <c r="H127" s="1"/>
      <c r="I127" t="s">
        <v>97</v>
      </c>
      <c r="J127" t="s">
        <v>577</v>
      </c>
      <c r="K127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4</v>
      </c>
      <c r="L127">
        <f ca="1">IF(Bandeja_SCTR[[#This Row],[FechaRecepcion]]="","",NETWORKDAYS(INT(Bandeja_SCTR[[#This Row],[FechaRecepcion]]),IF(Bandeja_SCTR[[#This Row],[FechaCierre]]="",TODAY(),INT(Bandeja_SCTR[[#This Row],[FechaCierre]])),DIAS_NOLAB[Feriados]))</f>
        <v>4</v>
      </c>
      <c r="M127" s="2" t="str">
        <f>IF(OR(Bandeja_SCTR[[#This Row],[FechaRecepcion]]="",Bandeja_SCTR[[#This Row],[FechaCierre]]=""),"",ROUND((Bandeja_SCTR[[#This Row],[FechaCierre]]-Bandeja_SCTR[[#This Row],[FechaRecepcion]])*24,1))</f>
        <v/>
      </c>
      <c r="N127" s="3">
        <f>IF(Bandeja_SCTR[[#This Row],[FechaRecepcion]]="","",DATE(YEAR(Bandeja_SCTR[[#This Row],[FechaRecepcion]]),MONTH(Bandeja_SCTR[[#This Row],[FechaRecepcion]]),1))</f>
        <v>46296</v>
      </c>
      <c r="O127">
        <f>IF(Bandeja_SCTR[[#This Row],[Estado]]="FINALIZADO",1,0)</f>
        <v>0</v>
      </c>
      <c r="P127">
        <f>IF(Bandeja_SCTR[[#This Row],[CasoId]]="",0,IF(Bandeja_SCTR[[#This Row],[Estado]]="FINALIZADO",0,1))</f>
        <v>1</v>
      </c>
    </row>
    <row r="128" spans="1:16">
      <c r="A128" t="s">
        <v>578</v>
      </c>
      <c r="B128" t="s">
        <v>579</v>
      </c>
      <c r="C128" t="s">
        <v>580</v>
      </c>
      <c r="D128" s="1">
        <v>46310.516099537039</v>
      </c>
      <c r="E128" s="1">
        <v>46310.516099537039</v>
      </c>
      <c r="F128" s="1" t="s">
        <v>581</v>
      </c>
      <c r="H128" s="1"/>
      <c r="I128" t="s">
        <v>581</v>
      </c>
      <c r="K128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4</v>
      </c>
      <c r="L128">
        <f ca="1">IF(Bandeja_SCTR[[#This Row],[FechaRecepcion]]="","",NETWORKDAYS(INT(Bandeja_SCTR[[#This Row],[FechaRecepcion]]),IF(Bandeja_SCTR[[#This Row],[FechaCierre]]="",TODAY(),INT(Bandeja_SCTR[[#This Row],[FechaCierre]])),DIAS_NOLAB[Feriados]))</f>
        <v>4</v>
      </c>
      <c r="M128" s="2" t="str">
        <f>IF(OR(Bandeja_SCTR[[#This Row],[FechaRecepcion]]="",Bandeja_SCTR[[#This Row],[FechaCierre]]=""),"",ROUND((Bandeja_SCTR[[#This Row],[FechaCierre]]-Bandeja_SCTR[[#This Row],[FechaRecepcion]])*24,1))</f>
        <v/>
      </c>
      <c r="N128" s="3">
        <f>IF(Bandeja_SCTR[[#This Row],[FechaRecepcion]]="","",DATE(YEAR(Bandeja_SCTR[[#This Row],[FechaRecepcion]]),MONTH(Bandeja_SCTR[[#This Row],[FechaRecepcion]]),1))</f>
        <v>46296</v>
      </c>
      <c r="O128">
        <f>IF(Bandeja_SCTR[[#This Row],[Estado]]="FINALIZADO",1,0)</f>
        <v>0</v>
      </c>
      <c r="P128">
        <f>IF(Bandeja_SCTR[[#This Row],[CasoId]]="",0,IF(Bandeja_SCTR[[#This Row],[Estado]]="FINALIZADO",0,1))</f>
        <v>1</v>
      </c>
    </row>
    <row r="129" spans="1:16">
      <c r="A129" t="s">
        <v>582</v>
      </c>
      <c r="B129" t="s">
        <v>583</v>
      </c>
      <c r="C129" t="s">
        <v>584</v>
      </c>
      <c r="D129" s="1">
        <v>46310.519212962958</v>
      </c>
      <c r="E129" s="1">
        <v>46310.519212962958</v>
      </c>
      <c r="F129" s="1" t="s">
        <v>585</v>
      </c>
      <c r="H129" s="1"/>
      <c r="I129" t="s">
        <v>585</v>
      </c>
      <c r="K129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4</v>
      </c>
      <c r="L129">
        <f ca="1">IF(Bandeja_SCTR[[#This Row],[FechaRecepcion]]="","",NETWORKDAYS(INT(Bandeja_SCTR[[#This Row],[FechaRecepcion]]),IF(Bandeja_SCTR[[#This Row],[FechaCierre]]="",TODAY(),INT(Bandeja_SCTR[[#This Row],[FechaCierre]])),DIAS_NOLAB[Feriados]))</f>
        <v>4</v>
      </c>
      <c r="M129" s="2" t="str">
        <f>IF(OR(Bandeja_SCTR[[#This Row],[FechaRecepcion]]="",Bandeja_SCTR[[#This Row],[FechaCierre]]=""),"",ROUND((Bandeja_SCTR[[#This Row],[FechaCierre]]-Bandeja_SCTR[[#This Row],[FechaRecepcion]])*24,1))</f>
        <v/>
      </c>
      <c r="N129" s="3">
        <f>IF(Bandeja_SCTR[[#This Row],[FechaRecepcion]]="","",DATE(YEAR(Bandeja_SCTR[[#This Row],[FechaRecepcion]]),MONTH(Bandeja_SCTR[[#This Row],[FechaRecepcion]]),1))</f>
        <v>46296</v>
      </c>
      <c r="O129">
        <f>IF(Bandeja_SCTR[[#This Row],[Estado]]="FINALIZADO",1,0)</f>
        <v>0</v>
      </c>
      <c r="P129">
        <f>IF(Bandeja_SCTR[[#This Row],[CasoId]]="",0,IF(Bandeja_SCTR[[#This Row],[Estado]]="FINALIZADO",0,1))</f>
        <v>1</v>
      </c>
    </row>
    <row r="130" spans="1:16">
      <c r="A130" t="s">
        <v>586</v>
      </c>
      <c r="B130" t="s">
        <v>587</v>
      </c>
      <c r="C130" t="s">
        <v>588</v>
      </c>
      <c r="D130" s="1">
        <v>46310.520150462966</v>
      </c>
      <c r="E130" s="1">
        <v>46310.520150462966</v>
      </c>
      <c r="F130" s="1" t="s">
        <v>589</v>
      </c>
      <c r="H130" s="1"/>
      <c r="I130" t="s">
        <v>590</v>
      </c>
      <c r="J130" t="s">
        <v>591</v>
      </c>
      <c r="K130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4</v>
      </c>
      <c r="L130">
        <f ca="1">IF(Bandeja_SCTR[[#This Row],[FechaRecepcion]]="","",NETWORKDAYS(INT(Bandeja_SCTR[[#This Row],[FechaRecepcion]]),IF(Bandeja_SCTR[[#This Row],[FechaCierre]]="",TODAY(),INT(Bandeja_SCTR[[#This Row],[FechaCierre]])),DIAS_NOLAB[Feriados]))</f>
        <v>4</v>
      </c>
      <c r="M130" s="2" t="str">
        <f>IF(OR(Bandeja_SCTR[[#This Row],[FechaRecepcion]]="",Bandeja_SCTR[[#This Row],[FechaCierre]]=""),"",ROUND((Bandeja_SCTR[[#This Row],[FechaCierre]]-Bandeja_SCTR[[#This Row],[FechaRecepcion]])*24,1))</f>
        <v/>
      </c>
      <c r="N130" s="3">
        <f>IF(Bandeja_SCTR[[#This Row],[FechaRecepcion]]="","",DATE(YEAR(Bandeja_SCTR[[#This Row],[FechaRecepcion]]),MONTH(Bandeja_SCTR[[#This Row],[FechaRecepcion]]),1))</f>
        <v>46296</v>
      </c>
      <c r="O130">
        <f>IF(Bandeja_SCTR[[#This Row],[Estado]]="FINALIZADO",1,0)</f>
        <v>0</v>
      </c>
      <c r="P130">
        <f>IF(Bandeja_SCTR[[#This Row],[CasoId]]="",0,IF(Bandeja_SCTR[[#This Row],[Estado]]="FINALIZADO",0,1))</f>
        <v>1</v>
      </c>
    </row>
    <row r="131" spans="1:16">
      <c r="A131" t="s">
        <v>592</v>
      </c>
      <c r="B131" t="s">
        <v>593</v>
      </c>
      <c r="C131" t="s">
        <v>594</v>
      </c>
      <c r="D131" s="1">
        <v>46310.528553240743</v>
      </c>
      <c r="E131" s="1">
        <v>46311.509641203702</v>
      </c>
      <c r="F131" s="1" t="s">
        <v>35</v>
      </c>
      <c r="H131" s="1"/>
      <c r="I131" t="s">
        <v>36</v>
      </c>
      <c r="K131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3</v>
      </c>
      <c r="L131">
        <f ca="1">IF(Bandeja_SCTR[[#This Row],[FechaRecepcion]]="","",NETWORKDAYS(INT(Bandeja_SCTR[[#This Row],[FechaRecepcion]]),IF(Bandeja_SCTR[[#This Row],[FechaCierre]]="",TODAY(),INT(Bandeja_SCTR[[#This Row],[FechaCierre]])),DIAS_NOLAB[Feriados]))</f>
        <v>4</v>
      </c>
      <c r="M131" s="2" t="str">
        <f>IF(OR(Bandeja_SCTR[[#This Row],[FechaRecepcion]]="",Bandeja_SCTR[[#This Row],[FechaCierre]]=""),"",ROUND((Bandeja_SCTR[[#This Row],[FechaCierre]]-Bandeja_SCTR[[#This Row],[FechaRecepcion]])*24,1))</f>
        <v/>
      </c>
      <c r="N131" s="3">
        <f>IF(Bandeja_SCTR[[#This Row],[FechaRecepcion]]="","",DATE(YEAR(Bandeja_SCTR[[#This Row],[FechaRecepcion]]),MONTH(Bandeja_SCTR[[#This Row],[FechaRecepcion]]),1))</f>
        <v>46296</v>
      </c>
      <c r="O131">
        <f>IF(Bandeja_SCTR[[#This Row],[Estado]]="FINALIZADO",1,0)</f>
        <v>0</v>
      </c>
      <c r="P131">
        <f>IF(Bandeja_SCTR[[#This Row],[CasoId]]="",0,IF(Bandeja_SCTR[[#This Row],[Estado]]="FINALIZADO",0,1))</f>
        <v>1</v>
      </c>
    </row>
    <row r="132" spans="1:16">
      <c r="A132" t="s">
        <v>595</v>
      </c>
      <c r="B132" t="s">
        <v>596</v>
      </c>
      <c r="C132" t="s">
        <v>597</v>
      </c>
      <c r="D132" s="1">
        <v>46310.540243055555</v>
      </c>
      <c r="E132" s="1">
        <v>46310.540243055555</v>
      </c>
      <c r="F132" s="1" t="s">
        <v>35</v>
      </c>
      <c r="H132" s="1"/>
      <c r="I132" t="s">
        <v>36</v>
      </c>
      <c r="J132" t="s">
        <v>534</v>
      </c>
      <c r="K132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4</v>
      </c>
      <c r="L132">
        <f ca="1">IF(Bandeja_SCTR[[#This Row],[FechaRecepcion]]="","",NETWORKDAYS(INT(Bandeja_SCTR[[#This Row],[FechaRecepcion]]),IF(Bandeja_SCTR[[#This Row],[FechaCierre]]="",TODAY(),INT(Bandeja_SCTR[[#This Row],[FechaCierre]])),DIAS_NOLAB[Feriados]))</f>
        <v>4</v>
      </c>
      <c r="M132" s="2" t="str">
        <f>IF(OR(Bandeja_SCTR[[#This Row],[FechaRecepcion]]="",Bandeja_SCTR[[#This Row],[FechaCierre]]=""),"",ROUND((Bandeja_SCTR[[#This Row],[FechaCierre]]-Bandeja_SCTR[[#This Row],[FechaRecepcion]])*24,1))</f>
        <v/>
      </c>
      <c r="N132" s="3">
        <f>IF(Bandeja_SCTR[[#This Row],[FechaRecepcion]]="","",DATE(YEAR(Bandeja_SCTR[[#This Row],[FechaRecepcion]]),MONTH(Bandeja_SCTR[[#This Row],[FechaRecepcion]]),1))</f>
        <v>46296</v>
      </c>
      <c r="O132">
        <f>IF(Bandeja_SCTR[[#This Row],[Estado]]="FINALIZADO",1,0)</f>
        <v>0</v>
      </c>
      <c r="P132">
        <f>IF(Bandeja_SCTR[[#This Row],[CasoId]]="",0,IF(Bandeja_SCTR[[#This Row],[Estado]]="FINALIZADO",0,1))</f>
        <v>1</v>
      </c>
    </row>
    <row r="133" spans="1:16">
      <c r="A133" t="s">
        <v>598</v>
      </c>
      <c r="B133" t="s">
        <v>599</v>
      </c>
      <c r="C133" t="s">
        <v>600</v>
      </c>
      <c r="D133" s="1">
        <v>46310.547083333338</v>
      </c>
      <c r="E133" s="1">
        <v>46310.547083333338</v>
      </c>
      <c r="F133" s="1" t="s">
        <v>35</v>
      </c>
      <c r="H133" s="1"/>
      <c r="I133" t="s">
        <v>36</v>
      </c>
      <c r="K133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4</v>
      </c>
      <c r="L133">
        <f ca="1">IF(Bandeja_SCTR[[#This Row],[FechaRecepcion]]="","",NETWORKDAYS(INT(Bandeja_SCTR[[#This Row],[FechaRecepcion]]),IF(Bandeja_SCTR[[#This Row],[FechaCierre]]="",TODAY(),INT(Bandeja_SCTR[[#This Row],[FechaCierre]])),DIAS_NOLAB[Feriados]))</f>
        <v>4</v>
      </c>
      <c r="M133" s="2" t="str">
        <f>IF(OR(Bandeja_SCTR[[#This Row],[FechaRecepcion]]="",Bandeja_SCTR[[#This Row],[FechaCierre]]=""),"",ROUND((Bandeja_SCTR[[#This Row],[FechaCierre]]-Bandeja_SCTR[[#This Row],[FechaRecepcion]])*24,1))</f>
        <v/>
      </c>
      <c r="N133" s="3">
        <f>IF(Bandeja_SCTR[[#This Row],[FechaRecepcion]]="","",DATE(YEAR(Bandeja_SCTR[[#This Row],[FechaRecepcion]]),MONTH(Bandeja_SCTR[[#This Row],[FechaRecepcion]]),1))</f>
        <v>46296</v>
      </c>
      <c r="O133">
        <f>IF(Bandeja_SCTR[[#This Row],[Estado]]="FINALIZADO",1,0)</f>
        <v>0</v>
      </c>
      <c r="P133">
        <f>IF(Bandeja_SCTR[[#This Row],[CasoId]]="",0,IF(Bandeja_SCTR[[#This Row],[Estado]]="FINALIZADO",0,1))</f>
        <v>1</v>
      </c>
    </row>
    <row r="134" spans="1:16">
      <c r="A134" t="s">
        <v>601</v>
      </c>
      <c r="B134" t="s">
        <v>602</v>
      </c>
      <c r="C134" t="s">
        <v>603</v>
      </c>
      <c r="D134" s="1">
        <v>46310.571770833332</v>
      </c>
      <c r="E134" s="1">
        <v>46310.571770833332</v>
      </c>
      <c r="F134" s="1" t="s">
        <v>91</v>
      </c>
      <c r="H134" s="1"/>
      <c r="I134" t="s">
        <v>91</v>
      </c>
      <c r="J134" t="s">
        <v>604</v>
      </c>
      <c r="K134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4</v>
      </c>
      <c r="L134">
        <f ca="1">IF(Bandeja_SCTR[[#This Row],[FechaRecepcion]]="","",NETWORKDAYS(INT(Bandeja_SCTR[[#This Row],[FechaRecepcion]]),IF(Bandeja_SCTR[[#This Row],[FechaCierre]]="",TODAY(),INT(Bandeja_SCTR[[#This Row],[FechaCierre]])),DIAS_NOLAB[Feriados]))</f>
        <v>4</v>
      </c>
      <c r="M134" s="2" t="str">
        <f>IF(OR(Bandeja_SCTR[[#This Row],[FechaRecepcion]]="",Bandeja_SCTR[[#This Row],[FechaCierre]]=""),"",ROUND((Bandeja_SCTR[[#This Row],[FechaCierre]]-Bandeja_SCTR[[#This Row],[FechaRecepcion]])*24,1))</f>
        <v/>
      </c>
      <c r="N134" s="3">
        <f>IF(Bandeja_SCTR[[#This Row],[FechaRecepcion]]="","",DATE(YEAR(Bandeja_SCTR[[#This Row],[FechaRecepcion]]),MONTH(Bandeja_SCTR[[#This Row],[FechaRecepcion]]),1))</f>
        <v>46296</v>
      </c>
      <c r="O134">
        <f>IF(Bandeja_SCTR[[#This Row],[Estado]]="FINALIZADO",1,0)</f>
        <v>0</v>
      </c>
      <c r="P134">
        <f>IF(Bandeja_SCTR[[#This Row],[CasoId]]="",0,IF(Bandeja_SCTR[[#This Row],[Estado]]="FINALIZADO",0,1))</f>
        <v>1</v>
      </c>
    </row>
    <row r="135" spans="1:16">
      <c r="A135" t="s">
        <v>605</v>
      </c>
      <c r="B135" t="s">
        <v>606</v>
      </c>
      <c r="C135" t="s">
        <v>607</v>
      </c>
      <c r="D135" s="1">
        <v>46310.572488425925</v>
      </c>
      <c r="E135" s="1">
        <v>46310.572488425925</v>
      </c>
      <c r="F135" s="1" t="s">
        <v>243</v>
      </c>
      <c r="H135" s="1"/>
      <c r="I135" t="s">
        <v>244</v>
      </c>
      <c r="J135" t="s">
        <v>608</v>
      </c>
      <c r="K135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4</v>
      </c>
      <c r="L135">
        <f ca="1">IF(Bandeja_SCTR[[#This Row],[FechaRecepcion]]="","",NETWORKDAYS(INT(Bandeja_SCTR[[#This Row],[FechaRecepcion]]),IF(Bandeja_SCTR[[#This Row],[FechaCierre]]="",TODAY(),INT(Bandeja_SCTR[[#This Row],[FechaCierre]])),DIAS_NOLAB[Feriados]))</f>
        <v>4</v>
      </c>
      <c r="M135" s="2" t="str">
        <f>IF(OR(Bandeja_SCTR[[#This Row],[FechaRecepcion]]="",Bandeja_SCTR[[#This Row],[FechaCierre]]=""),"",ROUND((Bandeja_SCTR[[#This Row],[FechaCierre]]-Bandeja_SCTR[[#This Row],[FechaRecepcion]])*24,1))</f>
        <v/>
      </c>
      <c r="N135" s="3">
        <f>IF(Bandeja_SCTR[[#This Row],[FechaRecepcion]]="","",DATE(YEAR(Bandeja_SCTR[[#This Row],[FechaRecepcion]]),MONTH(Bandeja_SCTR[[#This Row],[FechaRecepcion]]),1))</f>
        <v>46296</v>
      </c>
      <c r="O135">
        <f>IF(Bandeja_SCTR[[#This Row],[Estado]]="FINALIZADO",1,0)</f>
        <v>0</v>
      </c>
      <c r="P135">
        <f>IF(Bandeja_SCTR[[#This Row],[CasoId]]="",0,IF(Bandeja_SCTR[[#This Row],[Estado]]="FINALIZADO",0,1))</f>
        <v>1</v>
      </c>
    </row>
    <row r="136" spans="1:16" hidden="1">
      <c r="A136" t="s">
        <v>609</v>
      </c>
      <c r="B136" t="s">
        <v>610</v>
      </c>
      <c r="C136" t="s">
        <v>611</v>
      </c>
      <c r="D136" s="1">
        <v>46310.578472222223</v>
      </c>
      <c r="E136" s="1">
        <v>46310.736678240741</v>
      </c>
      <c r="F136" s="1" t="s">
        <v>96</v>
      </c>
      <c r="G136" t="s">
        <v>30</v>
      </c>
      <c r="H136" s="1">
        <v>46310.736678240741</v>
      </c>
      <c r="I136" t="s">
        <v>97</v>
      </c>
      <c r="J136" t="s">
        <v>530</v>
      </c>
      <c r="K136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136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136" s="2">
        <f>IF(OR(Bandeja_SCTR[[#This Row],[FechaRecepcion]]="",Bandeja_SCTR[[#This Row],[FechaCierre]]=""),"",ROUND((Bandeja_SCTR[[#This Row],[FechaCierre]]-Bandeja_SCTR[[#This Row],[FechaRecepcion]])*24,1))</f>
        <v>3.8</v>
      </c>
      <c r="N136" s="3">
        <f>IF(Bandeja_SCTR[[#This Row],[FechaRecepcion]]="","",DATE(YEAR(Bandeja_SCTR[[#This Row],[FechaRecepcion]]),MONTH(Bandeja_SCTR[[#This Row],[FechaRecepcion]]),1))</f>
        <v>46296</v>
      </c>
      <c r="O136">
        <f>IF(Bandeja_SCTR[[#This Row],[Estado]]="FINALIZADO",1,0)</f>
        <v>1</v>
      </c>
      <c r="P136">
        <f>IF(Bandeja_SCTR[[#This Row],[CasoId]]="",0,IF(Bandeja_SCTR[[#This Row],[Estado]]="FINALIZADO",0,1))</f>
        <v>0</v>
      </c>
    </row>
    <row r="137" spans="1:16">
      <c r="A137" t="s">
        <v>612</v>
      </c>
      <c r="B137" t="s">
        <v>613</v>
      </c>
      <c r="C137" t="s">
        <v>614</v>
      </c>
      <c r="D137" s="1">
        <v>46310.583865740744</v>
      </c>
      <c r="E137" s="1">
        <v>46310.583865740744</v>
      </c>
      <c r="F137" s="1" t="s">
        <v>615</v>
      </c>
      <c r="H137" s="1"/>
      <c r="I137" t="s">
        <v>317</v>
      </c>
      <c r="J137" t="s">
        <v>616</v>
      </c>
      <c r="K137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4</v>
      </c>
      <c r="L137">
        <f ca="1">IF(Bandeja_SCTR[[#This Row],[FechaRecepcion]]="","",NETWORKDAYS(INT(Bandeja_SCTR[[#This Row],[FechaRecepcion]]),IF(Bandeja_SCTR[[#This Row],[FechaCierre]]="",TODAY(),INT(Bandeja_SCTR[[#This Row],[FechaCierre]])),DIAS_NOLAB[Feriados]))</f>
        <v>4</v>
      </c>
      <c r="M137" s="2" t="str">
        <f>IF(OR(Bandeja_SCTR[[#This Row],[FechaRecepcion]]="",Bandeja_SCTR[[#This Row],[FechaCierre]]=""),"",ROUND((Bandeja_SCTR[[#This Row],[FechaCierre]]-Bandeja_SCTR[[#This Row],[FechaRecepcion]])*24,1))</f>
        <v/>
      </c>
      <c r="N137" s="3">
        <f>IF(Bandeja_SCTR[[#This Row],[FechaRecepcion]]="","",DATE(YEAR(Bandeja_SCTR[[#This Row],[FechaRecepcion]]),MONTH(Bandeja_SCTR[[#This Row],[FechaRecepcion]]),1))</f>
        <v>46296</v>
      </c>
      <c r="O137">
        <f>IF(Bandeja_SCTR[[#This Row],[Estado]]="FINALIZADO",1,0)</f>
        <v>0</v>
      </c>
      <c r="P137">
        <f>IF(Bandeja_SCTR[[#This Row],[CasoId]]="",0,IF(Bandeja_SCTR[[#This Row],[Estado]]="FINALIZADO",0,1))</f>
        <v>1</v>
      </c>
    </row>
    <row r="138" spans="1:16" hidden="1">
      <c r="A138" t="s">
        <v>617</v>
      </c>
      <c r="B138" t="s">
        <v>618</v>
      </c>
      <c r="C138" t="s">
        <v>619</v>
      </c>
      <c r="D138" s="1">
        <v>46310.58871527778</v>
      </c>
      <c r="E138" s="1">
        <v>46310.774062500001</v>
      </c>
      <c r="F138" s="1" t="s">
        <v>96</v>
      </c>
      <c r="G138" t="s">
        <v>30</v>
      </c>
      <c r="H138" s="1">
        <v>46310.774062500001</v>
      </c>
      <c r="I138" t="s">
        <v>97</v>
      </c>
      <c r="J138" t="s">
        <v>620</v>
      </c>
      <c r="K138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138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138" s="2">
        <f>IF(OR(Bandeja_SCTR[[#This Row],[FechaRecepcion]]="",Bandeja_SCTR[[#This Row],[FechaCierre]]=""),"",ROUND((Bandeja_SCTR[[#This Row],[FechaCierre]]-Bandeja_SCTR[[#This Row],[FechaRecepcion]])*24,1))</f>
        <v>4.4000000000000004</v>
      </c>
      <c r="N138" s="3">
        <f>IF(Bandeja_SCTR[[#This Row],[FechaRecepcion]]="","",DATE(YEAR(Bandeja_SCTR[[#This Row],[FechaRecepcion]]),MONTH(Bandeja_SCTR[[#This Row],[FechaRecepcion]]),1))</f>
        <v>46296</v>
      </c>
      <c r="O138">
        <f>IF(Bandeja_SCTR[[#This Row],[Estado]]="FINALIZADO",1,0)</f>
        <v>1</v>
      </c>
      <c r="P138">
        <f>IF(Bandeja_SCTR[[#This Row],[CasoId]]="",0,IF(Bandeja_SCTR[[#This Row],[Estado]]="FINALIZADO",0,1))</f>
        <v>0</v>
      </c>
    </row>
    <row r="139" spans="1:16">
      <c r="A139" t="s">
        <v>621</v>
      </c>
      <c r="B139" t="s">
        <v>622</v>
      </c>
      <c r="C139" t="s">
        <v>623</v>
      </c>
      <c r="D139" s="1">
        <v>46310.596145833333</v>
      </c>
      <c r="E139" s="1">
        <v>46310.634108796294</v>
      </c>
      <c r="F139" s="1" t="s">
        <v>316</v>
      </c>
      <c r="H139" s="1"/>
      <c r="I139" t="s">
        <v>317</v>
      </c>
      <c r="J139" t="s">
        <v>620</v>
      </c>
      <c r="K139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4</v>
      </c>
      <c r="L139">
        <f ca="1">IF(Bandeja_SCTR[[#This Row],[FechaRecepcion]]="","",NETWORKDAYS(INT(Bandeja_SCTR[[#This Row],[FechaRecepcion]]),IF(Bandeja_SCTR[[#This Row],[FechaCierre]]="",TODAY(),INT(Bandeja_SCTR[[#This Row],[FechaCierre]])),DIAS_NOLAB[Feriados]))</f>
        <v>4</v>
      </c>
      <c r="M139" s="2" t="str">
        <f>IF(OR(Bandeja_SCTR[[#This Row],[FechaRecepcion]]="",Bandeja_SCTR[[#This Row],[FechaCierre]]=""),"",ROUND((Bandeja_SCTR[[#This Row],[FechaCierre]]-Bandeja_SCTR[[#This Row],[FechaRecepcion]])*24,1))</f>
        <v/>
      </c>
      <c r="N139" s="3">
        <f>IF(Bandeja_SCTR[[#This Row],[FechaRecepcion]]="","",DATE(YEAR(Bandeja_SCTR[[#This Row],[FechaRecepcion]]),MONTH(Bandeja_SCTR[[#This Row],[FechaRecepcion]]),1))</f>
        <v>46296</v>
      </c>
      <c r="O139">
        <f>IF(Bandeja_SCTR[[#This Row],[Estado]]="FINALIZADO",1,0)</f>
        <v>0</v>
      </c>
      <c r="P139">
        <f>IF(Bandeja_SCTR[[#This Row],[CasoId]]="",0,IF(Bandeja_SCTR[[#This Row],[Estado]]="FINALIZADO",0,1))</f>
        <v>1</v>
      </c>
    </row>
    <row r="140" spans="1:16" hidden="1">
      <c r="A140" t="s">
        <v>624</v>
      </c>
      <c r="B140" t="s">
        <v>625</v>
      </c>
      <c r="C140" t="s">
        <v>626</v>
      </c>
      <c r="D140" s="1">
        <v>46310.598240740743</v>
      </c>
      <c r="E140" s="1">
        <v>46310.772164351853</v>
      </c>
      <c r="F140" s="1" t="s">
        <v>96</v>
      </c>
      <c r="G140" t="s">
        <v>30</v>
      </c>
      <c r="H140" s="1">
        <v>46310.772164351853</v>
      </c>
      <c r="I140" t="s">
        <v>97</v>
      </c>
      <c r="K140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140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140" s="2">
        <f>IF(OR(Bandeja_SCTR[[#This Row],[FechaRecepcion]]="",Bandeja_SCTR[[#This Row],[FechaCierre]]=""),"",ROUND((Bandeja_SCTR[[#This Row],[FechaCierre]]-Bandeja_SCTR[[#This Row],[FechaRecepcion]])*24,1))</f>
        <v>4.2</v>
      </c>
      <c r="N140" s="3">
        <f>IF(Bandeja_SCTR[[#This Row],[FechaRecepcion]]="","",DATE(YEAR(Bandeja_SCTR[[#This Row],[FechaRecepcion]]),MONTH(Bandeja_SCTR[[#This Row],[FechaRecepcion]]),1))</f>
        <v>46296</v>
      </c>
      <c r="O140">
        <f>IF(Bandeja_SCTR[[#This Row],[Estado]]="FINALIZADO",1,0)</f>
        <v>1</v>
      </c>
      <c r="P140">
        <f>IF(Bandeja_SCTR[[#This Row],[CasoId]]="",0,IF(Bandeja_SCTR[[#This Row],[Estado]]="FINALIZADO",0,1))</f>
        <v>0</v>
      </c>
    </row>
    <row r="141" spans="1:16">
      <c r="A141" t="s">
        <v>627</v>
      </c>
      <c r="B141" t="s">
        <v>628</v>
      </c>
      <c r="C141" t="s">
        <v>629</v>
      </c>
      <c r="D141" s="1">
        <v>46310.60125</v>
      </c>
      <c r="E141" s="1">
        <v>46310.60125</v>
      </c>
      <c r="F141" s="1" t="s">
        <v>630</v>
      </c>
      <c r="H141" s="1"/>
      <c r="I141" t="s">
        <v>630</v>
      </c>
      <c r="K141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4</v>
      </c>
      <c r="L141">
        <f ca="1">IF(Bandeja_SCTR[[#This Row],[FechaRecepcion]]="","",NETWORKDAYS(INT(Bandeja_SCTR[[#This Row],[FechaRecepcion]]),IF(Bandeja_SCTR[[#This Row],[FechaCierre]]="",TODAY(),INT(Bandeja_SCTR[[#This Row],[FechaCierre]])),DIAS_NOLAB[Feriados]))</f>
        <v>4</v>
      </c>
      <c r="M141" s="2" t="str">
        <f>IF(OR(Bandeja_SCTR[[#This Row],[FechaRecepcion]]="",Bandeja_SCTR[[#This Row],[FechaCierre]]=""),"",ROUND((Bandeja_SCTR[[#This Row],[FechaCierre]]-Bandeja_SCTR[[#This Row],[FechaRecepcion]])*24,1))</f>
        <v/>
      </c>
      <c r="N141" s="3">
        <f>IF(Bandeja_SCTR[[#This Row],[FechaRecepcion]]="","",DATE(YEAR(Bandeja_SCTR[[#This Row],[FechaRecepcion]]),MONTH(Bandeja_SCTR[[#This Row],[FechaRecepcion]]),1))</f>
        <v>46296</v>
      </c>
      <c r="O141">
        <f>IF(Bandeja_SCTR[[#This Row],[Estado]]="FINALIZADO",1,0)</f>
        <v>0</v>
      </c>
      <c r="P141">
        <f>IF(Bandeja_SCTR[[#This Row],[CasoId]]="",0,IF(Bandeja_SCTR[[#This Row],[Estado]]="FINALIZADO",0,1))</f>
        <v>1</v>
      </c>
    </row>
    <row r="142" spans="1:16" hidden="1">
      <c r="A142" t="s">
        <v>631</v>
      </c>
      <c r="B142" t="s">
        <v>632</v>
      </c>
      <c r="C142" t="s">
        <v>633</v>
      </c>
      <c r="D142" s="1">
        <v>46310.602511574078</v>
      </c>
      <c r="E142" s="1">
        <v>46310.771469907406</v>
      </c>
      <c r="F142" s="1" t="s">
        <v>96</v>
      </c>
      <c r="G142" t="s">
        <v>30</v>
      </c>
      <c r="H142" s="1">
        <v>46310.771469907406</v>
      </c>
      <c r="I142" t="s">
        <v>97</v>
      </c>
      <c r="K142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142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142" s="2">
        <f>IF(OR(Bandeja_SCTR[[#This Row],[FechaRecepcion]]="",Bandeja_SCTR[[#This Row],[FechaCierre]]=""),"",ROUND((Bandeja_SCTR[[#This Row],[FechaCierre]]-Bandeja_SCTR[[#This Row],[FechaRecepcion]])*24,1))</f>
        <v>4.0999999999999996</v>
      </c>
      <c r="N142" s="3">
        <f>IF(Bandeja_SCTR[[#This Row],[FechaRecepcion]]="","",DATE(YEAR(Bandeja_SCTR[[#This Row],[FechaRecepcion]]),MONTH(Bandeja_SCTR[[#This Row],[FechaRecepcion]]),1))</f>
        <v>46296</v>
      </c>
      <c r="O142">
        <f>IF(Bandeja_SCTR[[#This Row],[Estado]]="FINALIZADO",1,0)</f>
        <v>1</v>
      </c>
      <c r="P142">
        <f>IF(Bandeja_SCTR[[#This Row],[CasoId]]="",0,IF(Bandeja_SCTR[[#This Row],[Estado]]="FINALIZADO",0,1))</f>
        <v>0</v>
      </c>
    </row>
    <row r="143" spans="1:16">
      <c r="A143" t="s">
        <v>634</v>
      </c>
      <c r="B143" t="s">
        <v>635</v>
      </c>
      <c r="C143" t="s">
        <v>636</v>
      </c>
      <c r="D143" s="1">
        <v>46310.640902777777</v>
      </c>
      <c r="E143" s="1">
        <v>46310.640902777777</v>
      </c>
      <c r="F143" s="1" t="s">
        <v>637</v>
      </c>
      <c r="H143" s="1"/>
      <c r="I143" t="s">
        <v>637</v>
      </c>
      <c r="J143" t="s">
        <v>534</v>
      </c>
      <c r="K143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4</v>
      </c>
      <c r="L143">
        <f ca="1">IF(Bandeja_SCTR[[#This Row],[FechaRecepcion]]="","",NETWORKDAYS(INT(Bandeja_SCTR[[#This Row],[FechaRecepcion]]),IF(Bandeja_SCTR[[#This Row],[FechaCierre]]="",TODAY(),INT(Bandeja_SCTR[[#This Row],[FechaCierre]])),DIAS_NOLAB[Feriados]))</f>
        <v>4</v>
      </c>
      <c r="M143" s="2" t="str">
        <f>IF(OR(Bandeja_SCTR[[#This Row],[FechaRecepcion]]="",Bandeja_SCTR[[#This Row],[FechaCierre]]=""),"",ROUND((Bandeja_SCTR[[#This Row],[FechaCierre]]-Bandeja_SCTR[[#This Row],[FechaRecepcion]])*24,1))</f>
        <v/>
      </c>
      <c r="N143" s="3">
        <f>IF(Bandeja_SCTR[[#This Row],[FechaRecepcion]]="","",DATE(YEAR(Bandeja_SCTR[[#This Row],[FechaRecepcion]]),MONTH(Bandeja_SCTR[[#This Row],[FechaRecepcion]]),1))</f>
        <v>46296</v>
      </c>
      <c r="O143">
        <f>IF(Bandeja_SCTR[[#This Row],[Estado]]="FINALIZADO",1,0)</f>
        <v>0</v>
      </c>
      <c r="P143">
        <f>IF(Bandeja_SCTR[[#This Row],[CasoId]]="",0,IF(Bandeja_SCTR[[#This Row],[Estado]]="FINALIZADO",0,1))</f>
        <v>1</v>
      </c>
    </row>
    <row r="144" spans="1:16">
      <c r="A144" t="s">
        <v>638</v>
      </c>
      <c r="B144" t="s">
        <v>639</v>
      </c>
      <c r="C144" t="s">
        <v>640</v>
      </c>
      <c r="D144" s="1">
        <v>46310.643784722226</v>
      </c>
      <c r="E144" s="1">
        <v>46310.643784722226</v>
      </c>
      <c r="F144" s="1" t="s">
        <v>24</v>
      </c>
      <c r="H144" s="1"/>
      <c r="I144" t="s">
        <v>24</v>
      </c>
      <c r="J144" t="s">
        <v>641</v>
      </c>
      <c r="K144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4</v>
      </c>
      <c r="L144">
        <f ca="1">IF(Bandeja_SCTR[[#This Row],[FechaRecepcion]]="","",NETWORKDAYS(INT(Bandeja_SCTR[[#This Row],[FechaRecepcion]]),IF(Bandeja_SCTR[[#This Row],[FechaCierre]]="",TODAY(),INT(Bandeja_SCTR[[#This Row],[FechaCierre]])),DIAS_NOLAB[Feriados]))</f>
        <v>4</v>
      </c>
      <c r="M144" s="2" t="str">
        <f>IF(OR(Bandeja_SCTR[[#This Row],[FechaRecepcion]]="",Bandeja_SCTR[[#This Row],[FechaCierre]]=""),"",ROUND((Bandeja_SCTR[[#This Row],[FechaCierre]]-Bandeja_SCTR[[#This Row],[FechaRecepcion]])*24,1))</f>
        <v/>
      </c>
      <c r="N144" s="3">
        <f>IF(Bandeja_SCTR[[#This Row],[FechaRecepcion]]="","",DATE(YEAR(Bandeja_SCTR[[#This Row],[FechaRecepcion]]),MONTH(Bandeja_SCTR[[#This Row],[FechaRecepcion]]),1))</f>
        <v>46296</v>
      </c>
      <c r="O144">
        <f>IF(Bandeja_SCTR[[#This Row],[Estado]]="FINALIZADO",1,0)</f>
        <v>0</v>
      </c>
      <c r="P144">
        <f>IF(Bandeja_SCTR[[#This Row],[CasoId]]="",0,IF(Bandeja_SCTR[[#This Row],[Estado]]="FINALIZADO",0,1))</f>
        <v>1</v>
      </c>
    </row>
    <row r="145" spans="1:16">
      <c r="A145" t="s">
        <v>642</v>
      </c>
      <c r="B145" t="s">
        <v>643</v>
      </c>
      <c r="C145" t="s">
        <v>644</v>
      </c>
      <c r="D145" s="1">
        <v>46310.645497685182</v>
      </c>
      <c r="E145" s="1">
        <v>46310.645497685182</v>
      </c>
      <c r="F145" s="1" t="s">
        <v>62</v>
      </c>
      <c r="H145" s="1"/>
      <c r="I145" t="s">
        <v>62</v>
      </c>
      <c r="J145" t="s">
        <v>493</v>
      </c>
      <c r="K145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4</v>
      </c>
      <c r="L145">
        <f ca="1">IF(Bandeja_SCTR[[#This Row],[FechaRecepcion]]="","",NETWORKDAYS(INT(Bandeja_SCTR[[#This Row],[FechaRecepcion]]),IF(Bandeja_SCTR[[#This Row],[FechaCierre]]="",TODAY(),INT(Bandeja_SCTR[[#This Row],[FechaCierre]])),DIAS_NOLAB[Feriados]))</f>
        <v>4</v>
      </c>
      <c r="M145" s="2" t="str">
        <f>IF(OR(Bandeja_SCTR[[#This Row],[FechaRecepcion]]="",Bandeja_SCTR[[#This Row],[FechaCierre]]=""),"",ROUND((Bandeja_SCTR[[#This Row],[FechaCierre]]-Bandeja_SCTR[[#This Row],[FechaRecepcion]])*24,1))</f>
        <v/>
      </c>
      <c r="N145" s="3">
        <f>IF(Bandeja_SCTR[[#This Row],[FechaRecepcion]]="","",DATE(YEAR(Bandeja_SCTR[[#This Row],[FechaRecepcion]]),MONTH(Bandeja_SCTR[[#This Row],[FechaRecepcion]]),1))</f>
        <v>46296</v>
      </c>
      <c r="O145">
        <f>IF(Bandeja_SCTR[[#This Row],[Estado]]="FINALIZADO",1,0)</f>
        <v>0</v>
      </c>
      <c r="P145">
        <f>IF(Bandeja_SCTR[[#This Row],[CasoId]]="",0,IF(Bandeja_SCTR[[#This Row],[Estado]]="FINALIZADO",0,1))</f>
        <v>1</v>
      </c>
    </row>
    <row r="146" spans="1:16" hidden="1">
      <c r="A146" t="s">
        <v>645</v>
      </c>
      <c r="B146" t="s">
        <v>646</v>
      </c>
      <c r="C146" t="s">
        <v>647</v>
      </c>
      <c r="D146" s="1">
        <v>46310.650821759264</v>
      </c>
      <c r="E146" s="1">
        <v>46310.803275462968</v>
      </c>
      <c r="F146" s="1" t="s">
        <v>96</v>
      </c>
      <c r="G146" t="s">
        <v>30</v>
      </c>
      <c r="H146" s="1">
        <v>46310.803275462968</v>
      </c>
      <c r="I146" t="s">
        <v>97</v>
      </c>
      <c r="J146" t="s">
        <v>648</v>
      </c>
      <c r="K146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146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146" s="2">
        <f>IF(OR(Bandeja_SCTR[[#This Row],[FechaRecepcion]]="",Bandeja_SCTR[[#This Row],[FechaCierre]]=""),"",ROUND((Bandeja_SCTR[[#This Row],[FechaCierre]]-Bandeja_SCTR[[#This Row],[FechaRecepcion]])*24,1))</f>
        <v>3.7</v>
      </c>
      <c r="N146" s="3">
        <f>IF(Bandeja_SCTR[[#This Row],[FechaRecepcion]]="","",DATE(YEAR(Bandeja_SCTR[[#This Row],[FechaRecepcion]]),MONTH(Bandeja_SCTR[[#This Row],[FechaRecepcion]]),1))</f>
        <v>46296</v>
      </c>
      <c r="O146">
        <f>IF(Bandeja_SCTR[[#This Row],[Estado]]="FINALIZADO",1,0)</f>
        <v>1</v>
      </c>
      <c r="P146">
        <f>IF(Bandeja_SCTR[[#This Row],[CasoId]]="",0,IF(Bandeja_SCTR[[#This Row],[Estado]]="FINALIZADO",0,1))</f>
        <v>0</v>
      </c>
    </row>
    <row r="147" spans="1:16" hidden="1">
      <c r="A147" t="s">
        <v>649</v>
      </c>
      <c r="B147" t="s">
        <v>650</v>
      </c>
      <c r="C147" t="s">
        <v>651</v>
      </c>
      <c r="D147" s="1">
        <v>46310.658356481479</v>
      </c>
      <c r="E147" s="1">
        <v>46315.423425925925</v>
      </c>
      <c r="F147" s="1" t="s">
        <v>96</v>
      </c>
      <c r="G147" t="s">
        <v>30</v>
      </c>
      <c r="H147" s="1">
        <v>46315.423425925925</v>
      </c>
      <c r="I147" t="s">
        <v>97</v>
      </c>
      <c r="K147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147">
        <f ca="1">IF(Bandeja_SCTR[[#This Row],[FechaRecepcion]]="","",NETWORKDAYS(INT(Bandeja_SCTR[[#This Row],[FechaRecepcion]]),IF(Bandeja_SCTR[[#This Row],[FechaCierre]]="",TODAY(),INT(Bandeja_SCTR[[#This Row],[FechaCierre]])),DIAS_NOLAB[Feriados]))</f>
        <v>4</v>
      </c>
      <c r="M147" s="2">
        <f>IF(OR(Bandeja_SCTR[[#This Row],[FechaRecepcion]]="",Bandeja_SCTR[[#This Row],[FechaCierre]]=""),"",ROUND((Bandeja_SCTR[[#This Row],[FechaCierre]]-Bandeja_SCTR[[#This Row],[FechaRecepcion]])*24,1))</f>
        <v>114.4</v>
      </c>
      <c r="N147" s="3">
        <f>IF(Bandeja_SCTR[[#This Row],[FechaRecepcion]]="","",DATE(YEAR(Bandeja_SCTR[[#This Row],[FechaRecepcion]]),MONTH(Bandeja_SCTR[[#This Row],[FechaRecepcion]]),1))</f>
        <v>46296</v>
      </c>
      <c r="O147">
        <f>IF(Bandeja_SCTR[[#This Row],[Estado]]="FINALIZADO",1,0)</f>
        <v>1</v>
      </c>
      <c r="P147">
        <f>IF(Bandeja_SCTR[[#This Row],[CasoId]]="",0,IF(Bandeja_SCTR[[#This Row],[Estado]]="FINALIZADO",0,1))</f>
        <v>0</v>
      </c>
    </row>
    <row r="148" spans="1:16">
      <c r="A148" t="s">
        <v>652</v>
      </c>
      <c r="B148" t="s">
        <v>653</v>
      </c>
      <c r="C148" t="s">
        <v>654</v>
      </c>
      <c r="D148" s="1">
        <v>46310.663020833337</v>
      </c>
      <c r="E148" s="1">
        <v>46314.663229166668</v>
      </c>
      <c r="F148" s="1" t="s">
        <v>24</v>
      </c>
      <c r="H148" s="1"/>
      <c r="I148" t="s">
        <v>24</v>
      </c>
      <c r="J148" t="s">
        <v>620</v>
      </c>
      <c r="K148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2</v>
      </c>
      <c r="L148">
        <f ca="1">IF(Bandeja_SCTR[[#This Row],[FechaRecepcion]]="","",NETWORKDAYS(INT(Bandeja_SCTR[[#This Row],[FechaRecepcion]]),IF(Bandeja_SCTR[[#This Row],[FechaCierre]]="",TODAY(),INT(Bandeja_SCTR[[#This Row],[FechaCierre]])),DIAS_NOLAB[Feriados]))</f>
        <v>4</v>
      </c>
      <c r="M148" s="2" t="str">
        <f>IF(OR(Bandeja_SCTR[[#This Row],[FechaRecepcion]]="",Bandeja_SCTR[[#This Row],[FechaCierre]]=""),"",ROUND((Bandeja_SCTR[[#This Row],[FechaCierre]]-Bandeja_SCTR[[#This Row],[FechaRecepcion]])*24,1))</f>
        <v/>
      </c>
      <c r="N148" s="3">
        <f>IF(Bandeja_SCTR[[#This Row],[FechaRecepcion]]="","",DATE(YEAR(Bandeja_SCTR[[#This Row],[FechaRecepcion]]),MONTH(Bandeja_SCTR[[#This Row],[FechaRecepcion]]),1))</f>
        <v>46296</v>
      </c>
      <c r="O148">
        <f>IF(Bandeja_SCTR[[#This Row],[Estado]]="FINALIZADO",1,0)</f>
        <v>0</v>
      </c>
      <c r="P148">
        <f>IF(Bandeja_SCTR[[#This Row],[CasoId]]="",0,IF(Bandeja_SCTR[[#This Row],[Estado]]="FINALIZADO",0,1))</f>
        <v>1</v>
      </c>
    </row>
    <row r="149" spans="1:16" hidden="1">
      <c r="A149" t="s">
        <v>655</v>
      </c>
      <c r="B149" t="s">
        <v>656</v>
      </c>
      <c r="C149" t="s">
        <v>657</v>
      </c>
      <c r="D149" s="1">
        <v>46310.667314814811</v>
      </c>
      <c r="E149" s="1">
        <v>46314.56149305556</v>
      </c>
      <c r="F149" s="1" t="s">
        <v>96</v>
      </c>
      <c r="G149" t="s">
        <v>30</v>
      </c>
      <c r="H149" s="1">
        <v>46314.56149305556</v>
      </c>
      <c r="I149" t="s">
        <v>268</v>
      </c>
      <c r="J149" t="s">
        <v>620</v>
      </c>
      <c r="K149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149">
        <f ca="1">IF(Bandeja_SCTR[[#This Row],[FechaRecepcion]]="","",NETWORKDAYS(INT(Bandeja_SCTR[[#This Row],[FechaRecepcion]]),IF(Bandeja_SCTR[[#This Row],[FechaCierre]]="",TODAY(),INT(Bandeja_SCTR[[#This Row],[FechaCierre]])),DIAS_NOLAB[Feriados]))</f>
        <v>3</v>
      </c>
      <c r="M149" s="2">
        <f>IF(OR(Bandeja_SCTR[[#This Row],[FechaRecepcion]]="",Bandeja_SCTR[[#This Row],[FechaCierre]]=""),"",ROUND((Bandeja_SCTR[[#This Row],[FechaCierre]]-Bandeja_SCTR[[#This Row],[FechaRecepcion]])*24,1))</f>
        <v>93.5</v>
      </c>
      <c r="N149" s="3">
        <f>IF(Bandeja_SCTR[[#This Row],[FechaRecepcion]]="","",DATE(YEAR(Bandeja_SCTR[[#This Row],[FechaRecepcion]]),MONTH(Bandeja_SCTR[[#This Row],[FechaRecepcion]]),1))</f>
        <v>46296</v>
      </c>
      <c r="O149">
        <f>IF(Bandeja_SCTR[[#This Row],[Estado]]="FINALIZADO",1,0)</f>
        <v>1</v>
      </c>
      <c r="P149">
        <f>IF(Bandeja_SCTR[[#This Row],[CasoId]]="",0,IF(Bandeja_SCTR[[#This Row],[Estado]]="FINALIZADO",0,1))</f>
        <v>0</v>
      </c>
    </row>
    <row r="150" spans="1:16">
      <c r="A150" t="s">
        <v>658</v>
      </c>
      <c r="B150" t="s">
        <v>659</v>
      </c>
      <c r="C150" t="s">
        <v>660</v>
      </c>
      <c r="D150" s="1">
        <v>46310.669988425929</v>
      </c>
      <c r="E150" s="1">
        <v>46314.373564814814</v>
      </c>
      <c r="F150" s="1" t="s">
        <v>661</v>
      </c>
      <c r="H150" s="1"/>
      <c r="I150" t="s">
        <v>662</v>
      </c>
      <c r="J150" t="s">
        <v>663</v>
      </c>
      <c r="K150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2</v>
      </c>
      <c r="L150">
        <f ca="1">IF(Bandeja_SCTR[[#This Row],[FechaRecepcion]]="","",NETWORKDAYS(INT(Bandeja_SCTR[[#This Row],[FechaRecepcion]]),IF(Bandeja_SCTR[[#This Row],[FechaCierre]]="",TODAY(),INT(Bandeja_SCTR[[#This Row],[FechaCierre]])),DIAS_NOLAB[Feriados]))</f>
        <v>4</v>
      </c>
      <c r="M150" s="2" t="str">
        <f>IF(OR(Bandeja_SCTR[[#This Row],[FechaRecepcion]]="",Bandeja_SCTR[[#This Row],[FechaCierre]]=""),"",ROUND((Bandeja_SCTR[[#This Row],[FechaCierre]]-Bandeja_SCTR[[#This Row],[FechaRecepcion]])*24,1))</f>
        <v/>
      </c>
      <c r="N150" s="3">
        <f>IF(Bandeja_SCTR[[#This Row],[FechaRecepcion]]="","",DATE(YEAR(Bandeja_SCTR[[#This Row],[FechaRecepcion]]),MONTH(Bandeja_SCTR[[#This Row],[FechaRecepcion]]),1))</f>
        <v>46296</v>
      </c>
      <c r="O150">
        <f>IF(Bandeja_SCTR[[#This Row],[Estado]]="FINALIZADO",1,0)</f>
        <v>0</v>
      </c>
      <c r="P150">
        <f>IF(Bandeja_SCTR[[#This Row],[CasoId]]="",0,IF(Bandeja_SCTR[[#This Row],[Estado]]="FINALIZADO",0,1))</f>
        <v>1</v>
      </c>
    </row>
    <row r="151" spans="1:16" hidden="1">
      <c r="A151" t="s">
        <v>664</v>
      </c>
      <c r="B151" t="s">
        <v>665</v>
      </c>
      <c r="C151" t="s">
        <v>666</v>
      </c>
      <c r="D151" s="1">
        <v>46310.675428240742</v>
      </c>
      <c r="E151" s="1">
        <v>46310.676875000005</v>
      </c>
      <c r="F151" s="1" t="s">
        <v>96</v>
      </c>
      <c r="G151" t="s">
        <v>30</v>
      </c>
      <c r="H151" s="1">
        <v>46310.676875000005</v>
      </c>
      <c r="I151" t="s">
        <v>97</v>
      </c>
      <c r="J151" t="s">
        <v>667</v>
      </c>
      <c r="K151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151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151" s="2">
        <f>IF(OR(Bandeja_SCTR[[#This Row],[FechaRecepcion]]="",Bandeja_SCTR[[#This Row],[FechaCierre]]=""),"",ROUND((Bandeja_SCTR[[#This Row],[FechaCierre]]-Bandeja_SCTR[[#This Row],[FechaRecepcion]])*24,1))</f>
        <v>0</v>
      </c>
      <c r="N151" s="3">
        <f>IF(Bandeja_SCTR[[#This Row],[FechaRecepcion]]="","",DATE(YEAR(Bandeja_SCTR[[#This Row],[FechaRecepcion]]),MONTH(Bandeja_SCTR[[#This Row],[FechaRecepcion]]),1))</f>
        <v>46296</v>
      </c>
      <c r="O151">
        <f>IF(Bandeja_SCTR[[#This Row],[Estado]]="FINALIZADO",1,0)</f>
        <v>1</v>
      </c>
      <c r="P151">
        <f>IF(Bandeja_SCTR[[#This Row],[CasoId]]="",0,IF(Bandeja_SCTR[[#This Row],[Estado]]="FINALIZADO",0,1))</f>
        <v>0</v>
      </c>
    </row>
    <row r="152" spans="1:16">
      <c r="A152" t="s">
        <v>668</v>
      </c>
      <c r="B152" t="s">
        <v>669</v>
      </c>
      <c r="C152" t="s">
        <v>670</v>
      </c>
      <c r="D152" s="1">
        <v>46310.678541666668</v>
      </c>
      <c r="E152" s="1">
        <v>46310.678541666668</v>
      </c>
      <c r="F152" s="1" t="s">
        <v>35</v>
      </c>
      <c r="H152" s="1"/>
      <c r="I152" t="s">
        <v>36</v>
      </c>
      <c r="K152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4</v>
      </c>
      <c r="L152">
        <f ca="1">IF(Bandeja_SCTR[[#This Row],[FechaRecepcion]]="","",NETWORKDAYS(INT(Bandeja_SCTR[[#This Row],[FechaRecepcion]]),IF(Bandeja_SCTR[[#This Row],[FechaCierre]]="",TODAY(),INT(Bandeja_SCTR[[#This Row],[FechaCierre]])),DIAS_NOLAB[Feriados]))</f>
        <v>4</v>
      </c>
      <c r="M152" s="2" t="str">
        <f>IF(OR(Bandeja_SCTR[[#This Row],[FechaRecepcion]]="",Bandeja_SCTR[[#This Row],[FechaCierre]]=""),"",ROUND((Bandeja_SCTR[[#This Row],[FechaCierre]]-Bandeja_SCTR[[#This Row],[FechaRecepcion]])*24,1))</f>
        <v/>
      </c>
      <c r="N152" s="3">
        <f>IF(Bandeja_SCTR[[#This Row],[FechaRecepcion]]="","",DATE(YEAR(Bandeja_SCTR[[#This Row],[FechaRecepcion]]),MONTH(Bandeja_SCTR[[#This Row],[FechaRecepcion]]),1))</f>
        <v>46296</v>
      </c>
      <c r="O152">
        <f>IF(Bandeja_SCTR[[#This Row],[Estado]]="FINALIZADO",1,0)</f>
        <v>0</v>
      </c>
      <c r="P152">
        <f>IF(Bandeja_SCTR[[#This Row],[CasoId]]="",0,IF(Bandeja_SCTR[[#This Row],[Estado]]="FINALIZADO",0,1))</f>
        <v>1</v>
      </c>
    </row>
    <row r="153" spans="1:16" hidden="1">
      <c r="A153" t="s">
        <v>671</v>
      </c>
      <c r="B153" t="s">
        <v>672</v>
      </c>
      <c r="C153" t="s">
        <v>673</v>
      </c>
      <c r="D153" s="1">
        <v>46310.681631944448</v>
      </c>
      <c r="E153" s="1">
        <v>46310.741157407407</v>
      </c>
      <c r="F153" s="1" t="s">
        <v>96</v>
      </c>
      <c r="G153" t="s">
        <v>30</v>
      </c>
      <c r="H153" s="1">
        <v>46310.741157407407</v>
      </c>
      <c r="I153" t="s">
        <v>97</v>
      </c>
      <c r="K153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153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153" s="2">
        <f>IF(OR(Bandeja_SCTR[[#This Row],[FechaRecepcion]]="",Bandeja_SCTR[[#This Row],[FechaCierre]]=""),"",ROUND((Bandeja_SCTR[[#This Row],[FechaCierre]]-Bandeja_SCTR[[#This Row],[FechaRecepcion]])*24,1))</f>
        <v>1.4</v>
      </c>
      <c r="N153" s="3">
        <f>IF(Bandeja_SCTR[[#This Row],[FechaRecepcion]]="","",DATE(YEAR(Bandeja_SCTR[[#This Row],[FechaRecepcion]]),MONTH(Bandeja_SCTR[[#This Row],[FechaRecepcion]]),1))</f>
        <v>46296</v>
      </c>
      <c r="O153">
        <f>IF(Bandeja_SCTR[[#This Row],[Estado]]="FINALIZADO",1,0)</f>
        <v>1</v>
      </c>
      <c r="P153">
        <f>IF(Bandeja_SCTR[[#This Row],[CasoId]]="",0,IF(Bandeja_SCTR[[#This Row],[Estado]]="FINALIZADO",0,1))</f>
        <v>0</v>
      </c>
    </row>
    <row r="154" spans="1:16">
      <c r="A154" t="s">
        <v>674</v>
      </c>
      <c r="B154" t="s">
        <v>675</v>
      </c>
      <c r="C154" t="s">
        <v>676</v>
      </c>
      <c r="D154" s="1">
        <v>46310.695902777778</v>
      </c>
      <c r="E154" s="1">
        <v>46311.547523148147</v>
      </c>
      <c r="F154" s="1" t="s">
        <v>144</v>
      </c>
      <c r="H154" s="1"/>
      <c r="I154" t="s">
        <v>210</v>
      </c>
      <c r="J154" t="s">
        <v>677</v>
      </c>
      <c r="K154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3</v>
      </c>
      <c r="L154">
        <f ca="1">IF(Bandeja_SCTR[[#This Row],[FechaRecepcion]]="","",NETWORKDAYS(INT(Bandeja_SCTR[[#This Row],[FechaRecepcion]]),IF(Bandeja_SCTR[[#This Row],[FechaCierre]]="",TODAY(),INT(Bandeja_SCTR[[#This Row],[FechaCierre]])),DIAS_NOLAB[Feriados]))</f>
        <v>4</v>
      </c>
      <c r="M154" s="2" t="str">
        <f>IF(OR(Bandeja_SCTR[[#This Row],[FechaRecepcion]]="",Bandeja_SCTR[[#This Row],[FechaCierre]]=""),"",ROUND((Bandeja_SCTR[[#This Row],[FechaCierre]]-Bandeja_SCTR[[#This Row],[FechaRecepcion]])*24,1))</f>
        <v/>
      </c>
      <c r="N154" s="3">
        <f>IF(Bandeja_SCTR[[#This Row],[FechaRecepcion]]="","",DATE(YEAR(Bandeja_SCTR[[#This Row],[FechaRecepcion]]),MONTH(Bandeja_SCTR[[#This Row],[FechaRecepcion]]),1))</f>
        <v>46296</v>
      </c>
      <c r="O154">
        <f>IF(Bandeja_SCTR[[#This Row],[Estado]]="FINALIZADO",1,0)</f>
        <v>0</v>
      </c>
      <c r="P154">
        <f>IF(Bandeja_SCTR[[#This Row],[CasoId]]="",0,IF(Bandeja_SCTR[[#This Row],[Estado]]="FINALIZADO",0,1))</f>
        <v>1</v>
      </c>
    </row>
    <row r="155" spans="1:16" hidden="1">
      <c r="A155" t="s">
        <v>678</v>
      </c>
      <c r="B155" t="s">
        <v>665</v>
      </c>
      <c r="C155" t="s">
        <v>679</v>
      </c>
      <c r="D155" s="1">
        <v>46310.70177083333</v>
      </c>
      <c r="E155" s="1">
        <v>46310.730706018519</v>
      </c>
      <c r="F155" s="1" t="s">
        <v>96</v>
      </c>
      <c r="G155" t="s">
        <v>30</v>
      </c>
      <c r="H155" s="1">
        <v>46310.730706018519</v>
      </c>
      <c r="I155" t="s">
        <v>97</v>
      </c>
      <c r="J155" t="s">
        <v>680</v>
      </c>
      <c r="K155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155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155" s="2">
        <f>IF(OR(Bandeja_SCTR[[#This Row],[FechaRecepcion]]="",Bandeja_SCTR[[#This Row],[FechaCierre]]=""),"",ROUND((Bandeja_SCTR[[#This Row],[FechaCierre]]-Bandeja_SCTR[[#This Row],[FechaRecepcion]])*24,1))</f>
        <v>0.7</v>
      </c>
      <c r="N155" s="3">
        <f>IF(Bandeja_SCTR[[#This Row],[FechaRecepcion]]="","",DATE(YEAR(Bandeja_SCTR[[#This Row],[FechaRecepcion]]),MONTH(Bandeja_SCTR[[#This Row],[FechaRecepcion]]),1))</f>
        <v>46296</v>
      </c>
      <c r="O155">
        <f>IF(Bandeja_SCTR[[#This Row],[Estado]]="FINALIZADO",1,0)</f>
        <v>1</v>
      </c>
      <c r="P155">
        <f>IF(Bandeja_SCTR[[#This Row],[CasoId]]="",0,IF(Bandeja_SCTR[[#This Row],[Estado]]="FINALIZADO",0,1))</f>
        <v>0</v>
      </c>
    </row>
    <row r="156" spans="1:16" hidden="1">
      <c r="A156" t="s">
        <v>681</v>
      </c>
      <c r="B156" t="s">
        <v>682</v>
      </c>
      <c r="C156" t="s">
        <v>683</v>
      </c>
      <c r="D156" s="1">
        <v>46310.701817129629</v>
      </c>
      <c r="E156" s="1">
        <v>46310.734201388885</v>
      </c>
      <c r="F156" s="1" t="s">
        <v>96</v>
      </c>
      <c r="G156" t="s">
        <v>30</v>
      </c>
      <c r="H156" s="1">
        <v>46310.734201388885</v>
      </c>
      <c r="I156" t="s">
        <v>97</v>
      </c>
      <c r="K156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156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156" s="2">
        <f>IF(OR(Bandeja_SCTR[[#This Row],[FechaRecepcion]]="",Bandeja_SCTR[[#This Row],[FechaCierre]]=""),"",ROUND((Bandeja_SCTR[[#This Row],[FechaCierre]]-Bandeja_SCTR[[#This Row],[FechaRecepcion]])*24,1))</f>
        <v>0.8</v>
      </c>
      <c r="N156" s="3">
        <f>IF(Bandeja_SCTR[[#This Row],[FechaRecepcion]]="","",DATE(YEAR(Bandeja_SCTR[[#This Row],[FechaRecepcion]]),MONTH(Bandeja_SCTR[[#This Row],[FechaRecepcion]]),1))</f>
        <v>46296</v>
      </c>
      <c r="O156">
        <f>IF(Bandeja_SCTR[[#This Row],[Estado]]="FINALIZADO",1,0)</f>
        <v>1</v>
      </c>
      <c r="P156">
        <f>IF(Bandeja_SCTR[[#This Row],[CasoId]]="",0,IF(Bandeja_SCTR[[#This Row],[Estado]]="FINALIZADO",0,1))</f>
        <v>0</v>
      </c>
    </row>
    <row r="157" spans="1:16" hidden="1">
      <c r="A157" t="s">
        <v>684</v>
      </c>
      <c r="B157" t="s">
        <v>685</v>
      </c>
      <c r="C157" t="s">
        <v>686</v>
      </c>
      <c r="D157" s="1">
        <v>46310.710069444445</v>
      </c>
      <c r="E157" s="1">
        <v>46311.698240740741</v>
      </c>
      <c r="F157" s="1" t="s">
        <v>96</v>
      </c>
      <c r="G157" t="s">
        <v>30</v>
      </c>
      <c r="H157" s="1">
        <v>46311.698240740741</v>
      </c>
      <c r="I157" t="s">
        <v>97</v>
      </c>
      <c r="J157" t="s">
        <v>687</v>
      </c>
      <c r="K157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157">
        <f ca="1">IF(Bandeja_SCTR[[#This Row],[FechaRecepcion]]="","",NETWORKDAYS(INT(Bandeja_SCTR[[#This Row],[FechaRecepcion]]),IF(Bandeja_SCTR[[#This Row],[FechaCierre]]="",TODAY(),INT(Bandeja_SCTR[[#This Row],[FechaCierre]])),DIAS_NOLAB[Feriados]))</f>
        <v>2</v>
      </c>
      <c r="M157" s="2">
        <f>IF(OR(Bandeja_SCTR[[#This Row],[FechaRecepcion]]="",Bandeja_SCTR[[#This Row],[FechaCierre]]=""),"",ROUND((Bandeja_SCTR[[#This Row],[FechaCierre]]-Bandeja_SCTR[[#This Row],[FechaRecepcion]])*24,1))</f>
        <v>23.7</v>
      </c>
      <c r="N157" s="3">
        <f>IF(Bandeja_SCTR[[#This Row],[FechaRecepcion]]="","",DATE(YEAR(Bandeja_SCTR[[#This Row],[FechaRecepcion]]),MONTH(Bandeja_SCTR[[#This Row],[FechaRecepcion]]),1))</f>
        <v>46296</v>
      </c>
      <c r="O157">
        <f>IF(Bandeja_SCTR[[#This Row],[Estado]]="FINALIZADO",1,0)</f>
        <v>1</v>
      </c>
      <c r="P157">
        <f>IF(Bandeja_SCTR[[#This Row],[CasoId]]="",0,IF(Bandeja_SCTR[[#This Row],[Estado]]="FINALIZADO",0,1))</f>
        <v>0</v>
      </c>
    </row>
    <row r="158" spans="1:16" hidden="1">
      <c r="A158" t="s">
        <v>688</v>
      </c>
      <c r="B158" t="s">
        <v>689</v>
      </c>
      <c r="C158" t="s">
        <v>690</v>
      </c>
      <c r="D158" s="1">
        <v>46310.719328703708</v>
      </c>
      <c r="E158" s="1">
        <v>46310.724456018521</v>
      </c>
      <c r="F158" s="1" t="s">
        <v>96</v>
      </c>
      <c r="G158" t="s">
        <v>30</v>
      </c>
      <c r="H158" s="1">
        <v>46310.724456018521</v>
      </c>
      <c r="I158" t="s">
        <v>97</v>
      </c>
      <c r="J158" t="s">
        <v>691</v>
      </c>
      <c r="K158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158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158" s="2">
        <f>IF(OR(Bandeja_SCTR[[#This Row],[FechaRecepcion]]="",Bandeja_SCTR[[#This Row],[FechaCierre]]=""),"",ROUND((Bandeja_SCTR[[#This Row],[FechaCierre]]-Bandeja_SCTR[[#This Row],[FechaRecepcion]])*24,1))</f>
        <v>0.1</v>
      </c>
      <c r="N158" s="3">
        <f>IF(Bandeja_SCTR[[#This Row],[FechaRecepcion]]="","",DATE(YEAR(Bandeja_SCTR[[#This Row],[FechaRecepcion]]),MONTH(Bandeja_SCTR[[#This Row],[FechaRecepcion]]),1))</f>
        <v>46296</v>
      </c>
      <c r="O158">
        <f>IF(Bandeja_SCTR[[#This Row],[Estado]]="FINALIZADO",1,0)</f>
        <v>1</v>
      </c>
      <c r="P158">
        <f>IF(Bandeja_SCTR[[#This Row],[CasoId]]="",0,IF(Bandeja_SCTR[[#This Row],[Estado]]="FINALIZADO",0,1))</f>
        <v>0</v>
      </c>
    </row>
    <row r="159" spans="1:16">
      <c r="A159" t="s">
        <v>692</v>
      </c>
      <c r="B159" t="s">
        <v>693</v>
      </c>
      <c r="C159" t="s">
        <v>694</v>
      </c>
      <c r="D159" s="1">
        <v>46310.721365740741</v>
      </c>
      <c r="E159" s="1">
        <v>46310.721365740741</v>
      </c>
      <c r="F159" s="1" t="s">
        <v>91</v>
      </c>
      <c r="H159" s="1"/>
      <c r="I159" t="s">
        <v>91</v>
      </c>
      <c r="J159" t="s">
        <v>695</v>
      </c>
      <c r="K159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4</v>
      </c>
      <c r="L159">
        <f ca="1">IF(Bandeja_SCTR[[#This Row],[FechaRecepcion]]="","",NETWORKDAYS(INT(Bandeja_SCTR[[#This Row],[FechaRecepcion]]),IF(Bandeja_SCTR[[#This Row],[FechaCierre]]="",TODAY(),INT(Bandeja_SCTR[[#This Row],[FechaCierre]])),DIAS_NOLAB[Feriados]))</f>
        <v>4</v>
      </c>
      <c r="M159" s="2" t="str">
        <f>IF(OR(Bandeja_SCTR[[#This Row],[FechaRecepcion]]="",Bandeja_SCTR[[#This Row],[FechaCierre]]=""),"",ROUND((Bandeja_SCTR[[#This Row],[FechaCierre]]-Bandeja_SCTR[[#This Row],[FechaRecepcion]])*24,1))</f>
        <v/>
      </c>
      <c r="N159" s="3">
        <f>IF(Bandeja_SCTR[[#This Row],[FechaRecepcion]]="","",DATE(YEAR(Bandeja_SCTR[[#This Row],[FechaRecepcion]]),MONTH(Bandeja_SCTR[[#This Row],[FechaRecepcion]]),1))</f>
        <v>46296</v>
      </c>
      <c r="O159">
        <f>IF(Bandeja_SCTR[[#This Row],[Estado]]="FINALIZADO",1,0)</f>
        <v>0</v>
      </c>
      <c r="P159">
        <f>IF(Bandeja_SCTR[[#This Row],[CasoId]]="",0,IF(Bandeja_SCTR[[#This Row],[Estado]]="FINALIZADO",0,1))</f>
        <v>1</v>
      </c>
    </row>
    <row r="160" spans="1:16">
      <c r="A160" t="s">
        <v>696</v>
      </c>
      <c r="B160" t="s">
        <v>697</v>
      </c>
      <c r="C160" t="s">
        <v>698</v>
      </c>
      <c r="D160" s="1">
        <v>46310.731585648144</v>
      </c>
      <c r="E160" s="1">
        <v>46310.731585648144</v>
      </c>
      <c r="F160" s="1" t="s">
        <v>699</v>
      </c>
      <c r="H160" s="1"/>
      <c r="I160" t="s">
        <v>700</v>
      </c>
      <c r="J160" t="s">
        <v>701</v>
      </c>
      <c r="K160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4</v>
      </c>
      <c r="L160">
        <f ca="1">IF(Bandeja_SCTR[[#This Row],[FechaRecepcion]]="","",NETWORKDAYS(INT(Bandeja_SCTR[[#This Row],[FechaRecepcion]]),IF(Bandeja_SCTR[[#This Row],[FechaCierre]]="",TODAY(),INT(Bandeja_SCTR[[#This Row],[FechaCierre]])),DIAS_NOLAB[Feriados]))</f>
        <v>4</v>
      </c>
      <c r="M160" s="2" t="str">
        <f>IF(OR(Bandeja_SCTR[[#This Row],[FechaRecepcion]]="",Bandeja_SCTR[[#This Row],[FechaCierre]]=""),"",ROUND((Bandeja_SCTR[[#This Row],[FechaCierre]]-Bandeja_SCTR[[#This Row],[FechaRecepcion]])*24,1))</f>
        <v/>
      </c>
      <c r="N160" s="3">
        <f>IF(Bandeja_SCTR[[#This Row],[FechaRecepcion]]="","",DATE(YEAR(Bandeja_SCTR[[#This Row],[FechaRecepcion]]),MONTH(Bandeja_SCTR[[#This Row],[FechaRecepcion]]),1))</f>
        <v>46296</v>
      </c>
      <c r="O160">
        <f>IF(Bandeja_SCTR[[#This Row],[Estado]]="FINALIZADO",1,0)</f>
        <v>0</v>
      </c>
      <c r="P160">
        <f>IF(Bandeja_SCTR[[#This Row],[CasoId]]="",0,IF(Bandeja_SCTR[[#This Row],[Estado]]="FINALIZADO",0,1))</f>
        <v>1</v>
      </c>
    </row>
    <row r="161" spans="1:16">
      <c r="A161" t="s">
        <v>702</v>
      </c>
      <c r="B161" t="s">
        <v>703</v>
      </c>
      <c r="C161" t="s">
        <v>704</v>
      </c>
      <c r="D161" s="1">
        <v>46310.740856481483</v>
      </c>
      <c r="E161" s="1">
        <v>46311.35324074074</v>
      </c>
      <c r="F161" s="1" t="s">
        <v>150</v>
      </c>
      <c r="H161" s="1"/>
      <c r="I161" t="s">
        <v>150</v>
      </c>
      <c r="J161" t="s">
        <v>705</v>
      </c>
      <c r="K161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3</v>
      </c>
      <c r="L161">
        <f ca="1">IF(Bandeja_SCTR[[#This Row],[FechaRecepcion]]="","",NETWORKDAYS(INT(Bandeja_SCTR[[#This Row],[FechaRecepcion]]),IF(Bandeja_SCTR[[#This Row],[FechaCierre]]="",TODAY(),INT(Bandeja_SCTR[[#This Row],[FechaCierre]])),DIAS_NOLAB[Feriados]))</f>
        <v>4</v>
      </c>
      <c r="M161" s="2" t="str">
        <f>IF(OR(Bandeja_SCTR[[#This Row],[FechaRecepcion]]="",Bandeja_SCTR[[#This Row],[FechaCierre]]=""),"",ROUND((Bandeja_SCTR[[#This Row],[FechaCierre]]-Bandeja_SCTR[[#This Row],[FechaRecepcion]])*24,1))</f>
        <v/>
      </c>
      <c r="N161" s="3">
        <f>IF(Bandeja_SCTR[[#This Row],[FechaRecepcion]]="","",DATE(YEAR(Bandeja_SCTR[[#This Row],[FechaRecepcion]]),MONTH(Bandeja_SCTR[[#This Row],[FechaRecepcion]]),1))</f>
        <v>46296</v>
      </c>
      <c r="O161">
        <f>IF(Bandeja_SCTR[[#This Row],[Estado]]="FINALIZADO",1,0)</f>
        <v>0</v>
      </c>
      <c r="P161">
        <f>IF(Bandeja_SCTR[[#This Row],[CasoId]]="",0,IF(Bandeja_SCTR[[#This Row],[Estado]]="FINALIZADO",0,1))</f>
        <v>1</v>
      </c>
    </row>
    <row r="162" spans="1:16">
      <c r="A162" t="s">
        <v>706</v>
      </c>
      <c r="B162" t="s">
        <v>707</v>
      </c>
      <c r="C162" t="s">
        <v>708</v>
      </c>
      <c r="D162" s="1">
        <v>46310.761249999996</v>
      </c>
      <c r="E162" s="1">
        <v>46310.761249999996</v>
      </c>
      <c r="F162" s="1" t="s">
        <v>709</v>
      </c>
      <c r="H162" s="1"/>
      <c r="I162" t="s">
        <v>710</v>
      </c>
      <c r="J162" t="s">
        <v>711</v>
      </c>
      <c r="K162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4</v>
      </c>
      <c r="L162">
        <f ca="1">IF(Bandeja_SCTR[[#This Row],[FechaRecepcion]]="","",NETWORKDAYS(INT(Bandeja_SCTR[[#This Row],[FechaRecepcion]]),IF(Bandeja_SCTR[[#This Row],[FechaCierre]]="",TODAY(),INT(Bandeja_SCTR[[#This Row],[FechaCierre]])),DIAS_NOLAB[Feriados]))</f>
        <v>4</v>
      </c>
      <c r="M162" s="2" t="str">
        <f>IF(OR(Bandeja_SCTR[[#This Row],[FechaRecepcion]]="",Bandeja_SCTR[[#This Row],[FechaCierre]]=""),"",ROUND((Bandeja_SCTR[[#This Row],[FechaCierre]]-Bandeja_SCTR[[#This Row],[FechaRecepcion]])*24,1))</f>
        <v/>
      </c>
      <c r="N162" s="3">
        <f>IF(Bandeja_SCTR[[#This Row],[FechaRecepcion]]="","",DATE(YEAR(Bandeja_SCTR[[#This Row],[FechaRecepcion]]),MONTH(Bandeja_SCTR[[#This Row],[FechaRecepcion]]),1))</f>
        <v>46296</v>
      </c>
      <c r="O162">
        <f>IF(Bandeja_SCTR[[#This Row],[Estado]]="FINALIZADO",1,0)</f>
        <v>0</v>
      </c>
      <c r="P162">
        <f>IF(Bandeja_SCTR[[#This Row],[CasoId]]="",0,IF(Bandeja_SCTR[[#This Row],[Estado]]="FINALIZADO",0,1))</f>
        <v>1</v>
      </c>
    </row>
    <row r="163" spans="1:16" hidden="1">
      <c r="A163" t="s">
        <v>712</v>
      </c>
      <c r="B163" t="s">
        <v>713</v>
      </c>
      <c r="C163" t="s">
        <v>714</v>
      </c>
      <c r="D163" s="1">
        <v>46310.766817129625</v>
      </c>
      <c r="E163" s="1">
        <v>46311.489722222221</v>
      </c>
      <c r="F163" s="1" t="s">
        <v>96</v>
      </c>
      <c r="G163" t="s">
        <v>30</v>
      </c>
      <c r="H163" s="1">
        <v>46311.489722222221</v>
      </c>
      <c r="I163" t="s">
        <v>97</v>
      </c>
      <c r="J163" t="s">
        <v>715</v>
      </c>
      <c r="K163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163">
        <f ca="1">IF(Bandeja_SCTR[[#This Row],[FechaRecepcion]]="","",NETWORKDAYS(INT(Bandeja_SCTR[[#This Row],[FechaRecepcion]]),IF(Bandeja_SCTR[[#This Row],[FechaCierre]]="",TODAY(),INT(Bandeja_SCTR[[#This Row],[FechaCierre]])),DIAS_NOLAB[Feriados]))</f>
        <v>2</v>
      </c>
      <c r="M163" s="2">
        <f>IF(OR(Bandeja_SCTR[[#This Row],[FechaRecepcion]]="",Bandeja_SCTR[[#This Row],[FechaCierre]]=""),"",ROUND((Bandeja_SCTR[[#This Row],[FechaCierre]]-Bandeja_SCTR[[#This Row],[FechaRecepcion]])*24,1))</f>
        <v>17.3</v>
      </c>
      <c r="N163" s="3">
        <f>IF(Bandeja_SCTR[[#This Row],[FechaRecepcion]]="","",DATE(YEAR(Bandeja_SCTR[[#This Row],[FechaRecepcion]]),MONTH(Bandeja_SCTR[[#This Row],[FechaRecepcion]]),1))</f>
        <v>46296</v>
      </c>
      <c r="O163">
        <f>IF(Bandeja_SCTR[[#This Row],[Estado]]="FINALIZADO",1,0)</f>
        <v>1</v>
      </c>
      <c r="P163">
        <f>IF(Bandeja_SCTR[[#This Row],[CasoId]]="",0,IF(Bandeja_SCTR[[#This Row],[Estado]]="FINALIZADO",0,1))</f>
        <v>0</v>
      </c>
    </row>
    <row r="164" spans="1:16">
      <c r="A164" t="s">
        <v>716</v>
      </c>
      <c r="B164" t="s">
        <v>717</v>
      </c>
      <c r="C164" t="s">
        <v>718</v>
      </c>
      <c r="D164" s="1">
        <v>46310.779837962968</v>
      </c>
      <c r="E164" s="1">
        <v>46311.354756944449</v>
      </c>
      <c r="F164" s="1" t="s">
        <v>150</v>
      </c>
      <c r="H164" s="1"/>
      <c r="I164" t="s">
        <v>150</v>
      </c>
      <c r="J164" t="s">
        <v>719</v>
      </c>
      <c r="K164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3</v>
      </c>
      <c r="L164">
        <f ca="1">IF(Bandeja_SCTR[[#This Row],[FechaRecepcion]]="","",NETWORKDAYS(INT(Bandeja_SCTR[[#This Row],[FechaRecepcion]]),IF(Bandeja_SCTR[[#This Row],[FechaCierre]]="",TODAY(),INT(Bandeja_SCTR[[#This Row],[FechaCierre]])),DIAS_NOLAB[Feriados]))</f>
        <v>4</v>
      </c>
      <c r="M164" s="2" t="str">
        <f>IF(OR(Bandeja_SCTR[[#This Row],[FechaRecepcion]]="",Bandeja_SCTR[[#This Row],[FechaCierre]]=""),"",ROUND((Bandeja_SCTR[[#This Row],[FechaCierre]]-Bandeja_SCTR[[#This Row],[FechaRecepcion]])*24,1))</f>
        <v/>
      </c>
      <c r="N164" s="3">
        <f>IF(Bandeja_SCTR[[#This Row],[FechaRecepcion]]="","",DATE(YEAR(Bandeja_SCTR[[#This Row],[FechaRecepcion]]),MONTH(Bandeja_SCTR[[#This Row],[FechaRecepcion]]),1))</f>
        <v>46296</v>
      </c>
      <c r="O164">
        <f>IF(Bandeja_SCTR[[#This Row],[Estado]]="FINALIZADO",1,0)</f>
        <v>0</v>
      </c>
      <c r="P164">
        <f>IF(Bandeja_SCTR[[#This Row],[CasoId]]="",0,IF(Bandeja_SCTR[[#This Row],[Estado]]="FINALIZADO",0,1))</f>
        <v>1</v>
      </c>
    </row>
    <row r="165" spans="1:16" hidden="1">
      <c r="A165" t="s">
        <v>720</v>
      </c>
      <c r="B165" t="s">
        <v>721</v>
      </c>
      <c r="C165" t="s">
        <v>722</v>
      </c>
      <c r="D165" s="1">
        <v>46310.782071759255</v>
      </c>
      <c r="E165" s="1">
        <v>46315.619328703702</v>
      </c>
      <c r="F165" s="1" t="s">
        <v>96</v>
      </c>
      <c r="G165" t="s">
        <v>30</v>
      </c>
      <c r="H165" s="1">
        <v>46315.619328703702</v>
      </c>
      <c r="I165" t="s">
        <v>268</v>
      </c>
      <c r="J165" t="s">
        <v>723</v>
      </c>
      <c r="K165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165">
        <f ca="1">IF(Bandeja_SCTR[[#This Row],[FechaRecepcion]]="","",NETWORKDAYS(INT(Bandeja_SCTR[[#This Row],[FechaRecepcion]]),IF(Bandeja_SCTR[[#This Row],[FechaCierre]]="",TODAY(),INT(Bandeja_SCTR[[#This Row],[FechaCierre]])),DIAS_NOLAB[Feriados]))</f>
        <v>4</v>
      </c>
      <c r="M165" s="2">
        <f>IF(OR(Bandeja_SCTR[[#This Row],[FechaRecepcion]]="",Bandeja_SCTR[[#This Row],[FechaCierre]]=""),"",ROUND((Bandeja_SCTR[[#This Row],[FechaCierre]]-Bandeja_SCTR[[#This Row],[FechaRecepcion]])*24,1))</f>
        <v>116.1</v>
      </c>
      <c r="N165" s="3">
        <f>IF(Bandeja_SCTR[[#This Row],[FechaRecepcion]]="","",DATE(YEAR(Bandeja_SCTR[[#This Row],[FechaRecepcion]]),MONTH(Bandeja_SCTR[[#This Row],[FechaRecepcion]]),1))</f>
        <v>46296</v>
      </c>
      <c r="O165">
        <f>IF(Bandeja_SCTR[[#This Row],[Estado]]="FINALIZADO",1,0)</f>
        <v>1</v>
      </c>
      <c r="P165">
        <f>IF(Bandeja_SCTR[[#This Row],[CasoId]]="",0,IF(Bandeja_SCTR[[#This Row],[Estado]]="FINALIZADO",0,1))</f>
        <v>0</v>
      </c>
    </row>
    <row r="166" spans="1:16">
      <c r="A166" t="s">
        <v>724</v>
      </c>
      <c r="B166" t="s">
        <v>625</v>
      </c>
      <c r="C166" t="s">
        <v>725</v>
      </c>
      <c r="D166" s="1">
        <v>46310.782071759255</v>
      </c>
      <c r="E166" s="1">
        <v>46310.782071759255</v>
      </c>
      <c r="F166" s="1" t="s">
        <v>62</v>
      </c>
      <c r="H166" s="1"/>
      <c r="I166" t="s">
        <v>726</v>
      </c>
      <c r="J166" t="s">
        <v>727</v>
      </c>
      <c r="K166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4</v>
      </c>
      <c r="L166">
        <f ca="1">IF(Bandeja_SCTR[[#This Row],[FechaRecepcion]]="","",NETWORKDAYS(INT(Bandeja_SCTR[[#This Row],[FechaRecepcion]]),IF(Bandeja_SCTR[[#This Row],[FechaCierre]]="",TODAY(),INT(Bandeja_SCTR[[#This Row],[FechaCierre]])),DIAS_NOLAB[Feriados]))</f>
        <v>4</v>
      </c>
      <c r="M166" s="2" t="str">
        <f>IF(OR(Bandeja_SCTR[[#This Row],[FechaRecepcion]]="",Bandeja_SCTR[[#This Row],[FechaCierre]]=""),"",ROUND((Bandeja_SCTR[[#This Row],[FechaCierre]]-Bandeja_SCTR[[#This Row],[FechaRecepcion]])*24,1))</f>
        <v/>
      </c>
      <c r="N166" s="3">
        <f>IF(Bandeja_SCTR[[#This Row],[FechaRecepcion]]="","",DATE(YEAR(Bandeja_SCTR[[#This Row],[FechaRecepcion]]),MONTH(Bandeja_SCTR[[#This Row],[FechaRecepcion]]),1))</f>
        <v>46296</v>
      </c>
      <c r="O166">
        <f>IF(Bandeja_SCTR[[#This Row],[Estado]]="FINALIZADO",1,0)</f>
        <v>0</v>
      </c>
      <c r="P166">
        <f>IF(Bandeja_SCTR[[#This Row],[CasoId]]="",0,IF(Bandeja_SCTR[[#This Row],[Estado]]="FINALIZADO",0,1))</f>
        <v>1</v>
      </c>
    </row>
    <row r="167" spans="1:16" hidden="1">
      <c r="A167" t="s">
        <v>728</v>
      </c>
      <c r="B167" t="s">
        <v>729</v>
      </c>
      <c r="C167" t="s">
        <v>730</v>
      </c>
      <c r="D167" s="1">
        <v>46310.825289351851</v>
      </c>
      <c r="E167" s="1">
        <v>46311.316030092596</v>
      </c>
      <c r="F167" s="1" t="s">
        <v>96</v>
      </c>
      <c r="G167" t="s">
        <v>30</v>
      </c>
      <c r="H167" s="1">
        <v>46311.316030092596</v>
      </c>
      <c r="I167" t="s">
        <v>97</v>
      </c>
      <c r="J167" t="s">
        <v>731</v>
      </c>
      <c r="K167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167">
        <f ca="1">IF(Bandeja_SCTR[[#This Row],[FechaRecepcion]]="","",NETWORKDAYS(INT(Bandeja_SCTR[[#This Row],[FechaRecepcion]]),IF(Bandeja_SCTR[[#This Row],[FechaCierre]]="",TODAY(),INT(Bandeja_SCTR[[#This Row],[FechaCierre]])),DIAS_NOLAB[Feriados]))</f>
        <v>2</v>
      </c>
      <c r="M167" s="2">
        <f>IF(OR(Bandeja_SCTR[[#This Row],[FechaRecepcion]]="",Bandeja_SCTR[[#This Row],[FechaCierre]]=""),"",ROUND((Bandeja_SCTR[[#This Row],[FechaCierre]]-Bandeja_SCTR[[#This Row],[FechaRecepcion]])*24,1))</f>
        <v>11.8</v>
      </c>
      <c r="N167" s="3">
        <f>IF(Bandeja_SCTR[[#This Row],[FechaRecepcion]]="","",DATE(YEAR(Bandeja_SCTR[[#This Row],[FechaRecepcion]]),MONTH(Bandeja_SCTR[[#This Row],[FechaRecepcion]]),1))</f>
        <v>46296</v>
      </c>
      <c r="O167">
        <f>IF(Bandeja_SCTR[[#This Row],[Estado]]="FINALIZADO",1,0)</f>
        <v>1</v>
      </c>
      <c r="P167">
        <f>IF(Bandeja_SCTR[[#This Row],[CasoId]]="",0,IF(Bandeja_SCTR[[#This Row],[Estado]]="FINALIZADO",0,1))</f>
        <v>0</v>
      </c>
    </row>
    <row r="168" spans="1:16">
      <c r="A168" t="s">
        <v>732</v>
      </c>
      <c r="B168" t="s">
        <v>672</v>
      </c>
      <c r="C168" t="s">
        <v>733</v>
      </c>
      <c r="D168" s="1">
        <v>46310.904178240744</v>
      </c>
      <c r="E168" s="1">
        <v>46310.904178240744</v>
      </c>
      <c r="F168" s="1" t="s">
        <v>734</v>
      </c>
      <c r="H168" s="1"/>
      <c r="I168" t="s">
        <v>734</v>
      </c>
      <c r="J168" t="s">
        <v>735</v>
      </c>
      <c r="K168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4</v>
      </c>
      <c r="L168">
        <f ca="1">IF(Bandeja_SCTR[[#This Row],[FechaRecepcion]]="","",NETWORKDAYS(INT(Bandeja_SCTR[[#This Row],[FechaRecepcion]]),IF(Bandeja_SCTR[[#This Row],[FechaCierre]]="",TODAY(),INT(Bandeja_SCTR[[#This Row],[FechaCierre]])),DIAS_NOLAB[Feriados]))</f>
        <v>4</v>
      </c>
      <c r="M168" s="2" t="str">
        <f>IF(OR(Bandeja_SCTR[[#This Row],[FechaRecepcion]]="",Bandeja_SCTR[[#This Row],[FechaCierre]]=""),"",ROUND((Bandeja_SCTR[[#This Row],[FechaCierre]]-Bandeja_SCTR[[#This Row],[FechaRecepcion]])*24,1))</f>
        <v/>
      </c>
      <c r="N168" s="3">
        <f>IF(Bandeja_SCTR[[#This Row],[FechaRecepcion]]="","",DATE(YEAR(Bandeja_SCTR[[#This Row],[FechaRecepcion]]),MONTH(Bandeja_SCTR[[#This Row],[FechaRecepcion]]),1))</f>
        <v>46296</v>
      </c>
      <c r="O168">
        <f>IF(Bandeja_SCTR[[#This Row],[Estado]]="FINALIZADO",1,0)</f>
        <v>0</v>
      </c>
      <c r="P168">
        <f>IF(Bandeja_SCTR[[#This Row],[CasoId]]="",0,IF(Bandeja_SCTR[[#This Row],[Estado]]="FINALIZADO",0,1))</f>
        <v>1</v>
      </c>
    </row>
    <row r="169" spans="1:16" hidden="1">
      <c r="A169" t="s">
        <v>736</v>
      </c>
      <c r="B169" t="s">
        <v>737</v>
      </c>
      <c r="C169" t="s">
        <v>738</v>
      </c>
      <c r="D169" s="1">
        <v>46311.338136574079</v>
      </c>
      <c r="E169" s="1">
        <v>46311.553344907406</v>
      </c>
      <c r="F169" s="1" t="s">
        <v>96</v>
      </c>
      <c r="G169" t="s">
        <v>30</v>
      </c>
      <c r="H169" s="1">
        <v>46311.553344907406</v>
      </c>
      <c r="I169" t="s">
        <v>97</v>
      </c>
      <c r="K169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169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169" s="2">
        <f>IF(OR(Bandeja_SCTR[[#This Row],[FechaRecepcion]]="",Bandeja_SCTR[[#This Row],[FechaCierre]]=""),"",ROUND((Bandeja_SCTR[[#This Row],[FechaCierre]]-Bandeja_SCTR[[#This Row],[FechaRecepcion]])*24,1))</f>
        <v>5.2</v>
      </c>
      <c r="N169" s="3">
        <f>IF(Bandeja_SCTR[[#This Row],[FechaRecepcion]]="","",DATE(YEAR(Bandeja_SCTR[[#This Row],[FechaRecepcion]]),MONTH(Bandeja_SCTR[[#This Row],[FechaRecepcion]]),1))</f>
        <v>46296</v>
      </c>
      <c r="O169">
        <f>IF(Bandeja_SCTR[[#This Row],[Estado]]="FINALIZADO",1,0)</f>
        <v>1</v>
      </c>
      <c r="P169">
        <f>IF(Bandeja_SCTR[[#This Row],[CasoId]]="",0,IF(Bandeja_SCTR[[#This Row],[Estado]]="FINALIZADO",0,1))</f>
        <v>0</v>
      </c>
    </row>
    <row r="170" spans="1:16">
      <c r="A170" t="s">
        <v>739</v>
      </c>
      <c r="B170" t="s">
        <v>740</v>
      </c>
      <c r="C170" t="s">
        <v>741</v>
      </c>
      <c r="D170" s="1">
        <v>46311.363263888888</v>
      </c>
      <c r="E170" s="1">
        <v>46311.363263888888</v>
      </c>
      <c r="F170" s="1" t="s">
        <v>742</v>
      </c>
      <c r="H170" s="1"/>
      <c r="I170" t="s">
        <v>743</v>
      </c>
      <c r="J170" t="s">
        <v>744</v>
      </c>
      <c r="K170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3</v>
      </c>
      <c r="L170">
        <f ca="1">IF(Bandeja_SCTR[[#This Row],[FechaRecepcion]]="","",NETWORKDAYS(INT(Bandeja_SCTR[[#This Row],[FechaRecepcion]]),IF(Bandeja_SCTR[[#This Row],[FechaCierre]]="",TODAY(),INT(Bandeja_SCTR[[#This Row],[FechaCierre]])),DIAS_NOLAB[Feriados]))</f>
        <v>3</v>
      </c>
      <c r="M170" s="2" t="str">
        <f>IF(OR(Bandeja_SCTR[[#This Row],[FechaRecepcion]]="",Bandeja_SCTR[[#This Row],[FechaCierre]]=""),"",ROUND((Bandeja_SCTR[[#This Row],[FechaCierre]]-Bandeja_SCTR[[#This Row],[FechaRecepcion]])*24,1))</f>
        <v/>
      </c>
      <c r="N170" s="3">
        <f>IF(Bandeja_SCTR[[#This Row],[FechaRecepcion]]="","",DATE(YEAR(Bandeja_SCTR[[#This Row],[FechaRecepcion]]),MONTH(Bandeja_SCTR[[#This Row],[FechaRecepcion]]),1))</f>
        <v>46296</v>
      </c>
      <c r="O170">
        <f>IF(Bandeja_SCTR[[#This Row],[Estado]]="FINALIZADO",1,0)</f>
        <v>0</v>
      </c>
      <c r="P170">
        <f>IF(Bandeja_SCTR[[#This Row],[CasoId]]="",0,IF(Bandeja_SCTR[[#This Row],[Estado]]="FINALIZADO",0,1))</f>
        <v>1</v>
      </c>
    </row>
    <row r="171" spans="1:16">
      <c r="A171" t="s">
        <v>745</v>
      </c>
      <c r="B171" t="s">
        <v>729</v>
      </c>
      <c r="C171" t="s">
        <v>746</v>
      </c>
      <c r="D171" s="1">
        <v>46311.36346064815</v>
      </c>
      <c r="E171" s="1">
        <v>46311.36346064815</v>
      </c>
      <c r="F171" s="1" t="s">
        <v>91</v>
      </c>
      <c r="H171" s="1"/>
      <c r="I171" t="s">
        <v>91</v>
      </c>
      <c r="J171" t="s">
        <v>747</v>
      </c>
      <c r="K171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3</v>
      </c>
      <c r="L171">
        <f ca="1">IF(Bandeja_SCTR[[#This Row],[FechaRecepcion]]="","",NETWORKDAYS(INT(Bandeja_SCTR[[#This Row],[FechaRecepcion]]),IF(Bandeja_SCTR[[#This Row],[FechaCierre]]="",TODAY(),INT(Bandeja_SCTR[[#This Row],[FechaCierre]])),DIAS_NOLAB[Feriados]))</f>
        <v>3</v>
      </c>
      <c r="M171" s="2" t="str">
        <f>IF(OR(Bandeja_SCTR[[#This Row],[FechaRecepcion]]="",Bandeja_SCTR[[#This Row],[FechaCierre]]=""),"",ROUND((Bandeja_SCTR[[#This Row],[FechaCierre]]-Bandeja_SCTR[[#This Row],[FechaRecepcion]])*24,1))</f>
        <v/>
      </c>
      <c r="N171" s="3">
        <f>IF(Bandeja_SCTR[[#This Row],[FechaRecepcion]]="","",DATE(YEAR(Bandeja_SCTR[[#This Row],[FechaRecepcion]]),MONTH(Bandeja_SCTR[[#This Row],[FechaRecepcion]]),1))</f>
        <v>46296</v>
      </c>
      <c r="O171">
        <f>IF(Bandeja_SCTR[[#This Row],[Estado]]="FINALIZADO",1,0)</f>
        <v>0</v>
      </c>
      <c r="P171">
        <f>IF(Bandeja_SCTR[[#This Row],[CasoId]]="",0,IF(Bandeja_SCTR[[#This Row],[Estado]]="FINALIZADO",0,1))</f>
        <v>1</v>
      </c>
    </row>
    <row r="172" spans="1:16">
      <c r="A172" t="s">
        <v>748</v>
      </c>
      <c r="B172" t="s">
        <v>618</v>
      </c>
      <c r="C172" t="s">
        <v>619</v>
      </c>
      <c r="D172" s="1">
        <v>46311.364120370374</v>
      </c>
      <c r="E172" s="1">
        <v>46311.364120370374</v>
      </c>
      <c r="F172" s="1" t="s">
        <v>144</v>
      </c>
      <c r="H172" s="1"/>
      <c r="I172" t="s">
        <v>210</v>
      </c>
      <c r="J172" t="s">
        <v>749</v>
      </c>
      <c r="K172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3</v>
      </c>
      <c r="L172">
        <f ca="1">IF(Bandeja_SCTR[[#This Row],[FechaRecepcion]]="","",NETWORKDAYS(INT(Bandeja_SCTR[[#This Row],[FechaRecepcion]]),IF(Bandeja_SCTR[[#This Row],[FechaCierre]]="",TODAY(),INT(Bandeja_SCTR[[#This Row],[FechaCierre]])),DIAS_NOLAB[Feriados]))</f>
        <v>3</v>
      </c>
      <c r="M172" s="2" t="str">
        <f>IF(OR(Bandeja_SCTR[[#This Row],[FechaRecepcion]]="",Bandeja_SCTR[[#This Row],[FechaCierre]]=""),"",ROUND((Bandeja_SCTR[[#This Row],[FechaCierre]]-Bandeja_SCTR[[#This Row],[FechaRecepcion]])*24,1))</f>
        <v/>
      </c>
      <c r="N172" s="3">
        <f>IF(Bandeja_SCTR[[#This Row],[FechaRecepcion]]="","",DATE(YEAR(Bandeja_SCTR[[#This Row],[FechaRecepcion]]),MONTH(Bandeja_SCTR[[#This Row],[FechaRecepcion]]),1))</f>
        <v>46296</v>
      </c>
      <c r="O172">
        <f>IF(Bandeja_SCTR[[#This Row],[Estado]]="FINALIZADO",1,0)</f>
        <v>0</v>
      </c>
      <c r="P172">
        <f>IF(Bandeja_SCTR[[#This Row],[CasoId]]="",0,IF(Bandeja_SCTR[[#This Row],[Estado]]="FINALIZADO",0,1))</f>
        <v>1</v>
      </c>
    </row>
    <row r="173" spans="1:16">
      <c r="A173" t="s">
        <v>750</v>
      </c>
      <c r="B173" t="s">
        <v>751</v>
      </c>
      <c r="C173" t="s">
        <v>752</v>
      </c>
      <c r="D173" s="1">
        <v>46311.366932870369</v>
      </c>
      <c r="E173" s="1">
        <v>46311.366932870369</v>
      </c>
      <c r="F173" s="1" t="s">
        <v>753</v>
      </c>
      <c r="H173" s="1"/>
      <c r="I173" t="s">
        <v>753</v>
      </c>
      <c r="K173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3</v>
      </c>
      <c r="L173">
        <f ca="1">IF(Bandeja_SCTR[[#This Row],[FechaRecepcion]]="","",NETWORKDAYS(INT(Bandeja_SCTR[[#This Row],[FechaRecepcion]]),IF(Bandeja_SCTR[[#This Row],[FechaCierre]]="",TODAY(),INT(Bandeja_SCTR[[#This Row],[FechaCierre]])),DIAS_NOLAB[Feriados]))</f>
        <v>3</v>
      </c>
      <c r="M173" s="2" t="str">
        <f>IF(OR(Bandeja_SCTR[[#This Row],[FechaRecepcion]]="",Bandeja_SCTR[[#This Row],[FechaCierre]]=""),"",ROUND((Bandeja_SCTR[[#This Row],[FechaCierre]]-Bandeja_SCTR[[#This Row],[FechaRecepcion]])*24,1))</f>
        <v/>
      </c>
      <c r="N173" s="3">
        <f>IF(Bandeja_SCTR[[#This Row],[FechaRecepcion]]="","",DATE(YEAR(Bandeja_SCTR[[#This Row],[FechaRecepcion]]),MONTH(Bandeja_SCTR[[#This Row],[FechaRecepcion]]),1))</f>
        <v>46296</v>
      </c>
      <c r="O173">
        <f>IF(Bandeja_SCTR[[#This Row],[Estado]]="FINALIZADO",1,0)</f>
        <v>0</v>
      </c>
      <c r="P173">
        <f>IF(Bandeja_SCTR[[#This Row],[CasoId]]="",0,IF(Bandeja_SCTR[[#This Row],[Estado]]="FINALIZADO",0,1))</f>
        <v>1</v>
      </c>
    </row>
    <row r="174" spans="1:16" hidden="1">
      <c r="A174" t="s">
        <v>754</v>
      </c>
      <c r="B174" t="s">
        <v>755</v>
      </c>
      <c r="C174" t="s">
        <v>756</v>
      </c>
      <c r="D174" s="1">
        <v>46311.372777777782</v>
      </c>
      <c r="E174" s="1">
        <v>46311.460530543976</v>
      </c>
      <c r="F174" s="1" t="s">
        <v>144</v>
      </c>
      <c r="G174" t="s">
        <v>30</v>
      </c>
      <c r="H174" s="1">
        <v>46311.460530543976</v>
      </c>
      <c r="I174" t="s">
        <v>757</v>
      </c>
      <c r="J174" t="s">
        <v>758</v>
      </c>
      <c r="K174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174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174" s="2">
        <f>IF(OR(Bandeja_SCTR[[#This Row],[FechaRecepcion]]="",Bandeja_SCTR[[#This Row],[FechaCierre]]=""),"",ROUND((Bandeja_SCTR[[#This Row],[FechaCierre]]-Bandeja_SCTR[[#This Row],[FechaRecepcion]])*24,1))</f>
        <v>2.1</v>
      </c>
      <c r="N174" s="3">
        <f>IF(Bandeja_SCTR[[#This Row],[FechaRecepcion]]="","",DATE(YEAR(Bandeja_SCTR[[#This Row],[FechaRecepcion]]),MONTH(Bandeja_SCTR[[#This Row],[FechaRecepcion]]),1))</f>
        <v>46296</v>
      </c>
      <c r="O174">
        <f>IF(Bandeja_SCTR[[#This Row],[Estado]]="FINALIZADO",1,0)</f>
        <v>1</v>
      </c>
      <c r="P174">
        <f>IF(Bandeja_SCTR[[#This Row],[CasoId]]="",0,IF(Bandeja_SCTR[[#This Row],[Estado]]="FINALIZADO",0,1))</f>
        <v>0</v>
      </c>
    </row>
    <row r="175" spans="1:16" hidden="1">
      <c r="A175" t="s">
        <v>759</v>
      </c>
      <c r="B175" t="s">
        <v>760</v>
      </c>
      <c r="C175" t="s">
        <v>761</v>
      </c>
      <c r="D175" s="1">
        <v>46311.374351851853</v>
      </c>
      <c r="E175" s="1">
        <v>46311.437648877312</v>
      </c>
      <c r="F175" s="1" t="s">
        <v>144</v>
      </c>
      <c r="G175" t="s">
        <v>30</v>
      </c>
      <c r="H175" s="1">
        <v>46311.437648877312</v>
      </c>
      <c r="I175" t="s">
        <v>757</v>
      </c>
      <c r="J175" t="s">
        <v>762</v>
      </c>
      <c r="K175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175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175" s="2">
        <f>IF(OR(Bandeja_SCTR[[#This Row],[FechaRecepcion]]="",Bandeja_SCTR[[#This Row],[FechaCierre]]=""),"",ROUND((Bandeja_SCTR[[#This Row],[FechaCierre]]-Bandeja_SCTR[[#This Row],[FechaRecepcion]])*24,1))</f>
        <v>1.5</v>
      </c>
      <c r="N175" s="3">
        <f>IF(Bandeja_SCTR[[#This Row],[FechaRecepcion]]="","",DATE(YEAR(Bandeja_SCTR[[#This Row],[FechaRecepcion]]),MONTH(Bandeja_SCTR[[#This Row],[FechaRecepcion]]),1))</f>
        <v>46296</v>
      </c>
      <c r="O175">
        <f>IF(Bandeja_SCTR[[#This Row],[Estado]]="FINALIZADO",1,0)</f>
        <v>1</v>
      </c>
      <c r="P175">
        <f>IF(Bandeja_SCTR[[#This Row],[CasoId]]="",0,IF(Bandeja_SCTR[[#This Row],[Estado]]="FINALIZADO",0,1))</f>
        <v>0</v>
      </c>
    </row>
    <row r="176" spans="1:16" hidden="1">
      <c r="A176" t="s">
        <v>763</v>
      </c>
      <c r="B176" t="s">
        <v>764</v>
      </c>
      <c r="C176" t="s">
        <v>765</v>
      </c>
      <c r="D176" s="1">
        <v>46311.384062500001</v>
      </c>
      <c r="E176" s="1">
        <v>46314.531504629631</v>
      </c>
      <c r="F176" s="1" t="s">
        <v>96</v>
      </c>
      <c r="G176" t="s">
        <v>30</v>
      </c>
      <c r="H176" s="1">
        <v>46314.531504629631</v>
      </c>
      <c r="I176" t="s">
        <v>97</v>
      </c>
      <c r="J176" t="s">
        <v>534</v>
      </c>
      <c r="K176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176">
        <f ca="1">IF(Bandeja_SCTR[[#This Row],[FechaRecepcion]]="","",NETWORKDAYS(INT(Bandeja_SCTR[[#This Row],[FechaRecepcion]]),IF(Bandeja_SCTR[[#This Row],[FechaCierre]]="",TODAY(),INT(Bandeja_SCTR[[#This Row],[FechaCierre]])),DIAS_NOLAB[Feriados]))</f>
        <v>2</v>
      </c>
      <c r="M176" s="2">
        <f>IF(OR(Bandeja_SCTR[[#This Row],[FechaRecepcion]]="",Bandeja_SCTR[[#This Row],[FechaCierre]]=""),"",ROUND((Bandeja_SCTR[[#This Row],[FechaCierre]]-Bandeja_SCTR[[#This Row],[FechaRecepcion]])*24,1))</f>
        <v>75.5</v>
      </c>
      <c r="N176" s="3">
        <f>IF(Bandeja_SCTR[[#This Row],[FechaRecepcion]]="","",DATE(YEAR(Bandeja_SCTR[[#This Row],[FechaRecepcion]]),MONTH(Bandeja_SCTR[[#This Row],[FechaRecepcion]]),1))</f>
        <v>46296</v>
      </c>
      <c r="O176">
        <f>IF(Bandeja_SCTR[[#This Row],[Estado]]="FINALIZADO",1,0)</f>
        <v>1</v>
      </c>
      <c r="P176">
        <f>IF(Bandeja_SCTR[[#This Row],[CasoId]]="",0,IF(Bandeja_SCTR[[#This Row],[Estado]]="FINALIZADO",0,1))</f>
        <v>0</v>
      </c>
    </row>
    <row r="177" spans="1:16" hidden="1">
      <c r="A177" t="s">
        <v>766</v>
      </c>
      <c r="B177" t="s">
        <v>767</v>
      </c>
      <c r="C177" t="s">
        <v>768</v>
      </c>
      <c r="D177" s="1">
        <v>46311.392083333332</v>
      </c>
      <c r="E177" s="1">
        <v>46311.550208333334</v>
      </c>
      <c r="F177" s="1" t="s">
        <v>96</v>
      </c>
      <c r="G177" t="s">
        <v>30</v>
      </c>
      <c r="H177" s="1">
        <v>46311.550208333334</v>
      </c>
      <c r="I177" t="s">
        <v>97</v>
      </c>
      <c r="K177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177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177" s="2">
        <f>IF(OR(Bandeja_SCTR[[#This Row],[FechaRecepcion]]="",Bandeja_SCTR[[#This Row],[FechaCierre]]=""),"",ROUND((Bandeja_SCTR[[#This Row],[FechaCierre]]-Bandeja_SCTR[[#This Row],[FechaRecepcion]])*24,1))</f>
        <v>3.8</v>
      </c>
      <c r="N177" s="3">
        <f>IF(Bandeja_SCTR[[#This Row],[FechaRecepcion]]="","",DATE(YEAR(Bandeja_SCTR[[#This Row],[FechaRecepcion]]),MONTH(Bandeja_SCTR[[#This Row],[FechaRecepcion]]),1))</f>
        <v>46296</v>
      </c>
      <c r="O177">
        <f>IF(Bandeja_SCTR[[#This Row],[Estado]]="FINALIZADO",1,0)</f>
        <v>1</v>
      </c>
      <c r="P177">
        <f>IF(Bandeja_SCTR[[#This Row],[CasoId]]="",0,IF(Bandeja_SCTR[[#This Row],[Estado]]="FINALIZADO",0,1))</f>
        <v>0</v>
      </c>
    </row>
    <row r="178" spans="1:16">
      <c r="A178" t="s">
        <v>769</v>
      </c>
      <c r="B178" t="s">
        <v>770</v>
      </c>
      <c r="C178" t="s">
        <v>771</v>
      </c>
      <c r="D178" s="1">
        <v>46311.397974537038</v>
      </c>
      <c r="E178" s="1">
        <v>46311.397974537038</v>
      </c>
      <c r="F178" s="1" t="s">
        <v>150</v>
      </c>
      <c r="H178" s="1"/>
      <c r="I178" t="s">
        <v>150</v>
      </c>
      <c r="J178" t="s">
        <v>772</v>
      </c>
      <c r="K178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3</v>
      </c>
      <c r="L178">
        <f ca="1">IF(Bandeja_SCTR[[#This Row],[FechaRecepcion]]="","",NETWORKDAYS(INT(Bandeja_SCTR[[#This Row],[FechaRecepcion]]),IF(Bandeja_SCTR[[#This Row],[FechaCierre]]="",TODAY(),INT(Bandeja_SCTR[[#This Row],[FechaCierre]])),DIAS_NOLAB[Feriados]))</f>
        <v>3</v>
      </c>
      <c r="M178" s="2" t="str">
        <f>IF(OR(Bandeja_SCTR[[#This Row],[FechaRecepcion]]="",Bandeja_SCTR[[#This Row],[FechaCierre]]=""),"",ROUND((Bandeja_SCTR[[#This Row],[FechaCierre]]-Bandeja_SCTR[[#This Row],[FechaRecepcion]])*24,1))</f>
        <v/>
      </c>
      <c r="N178" s="3">
        <f>IF(Bandeja_SCTR[[#This Row],[FechaRecepcion]]="","",DATE(YEAR(Bandeja_SCTR[[#This Row],[FechaRecepcion]]),MONTH(Bandeja_SCTR[[#This Row],[FechaRecepcion]]),1))</f>
        <v>46296</v>
      </c>
      <c r="O178">
        <f>IF(Bandeja_SCTR[[#This Row],[Estado]]="FINALIZADO",1,0)</f>
        <v>0</v>
      </c>
      <c r="P178">
        <f>IF(Bandeja_SCTR[[#This Row],[CasoId]]="",0,IF(Bandeja_SCTR[[#This Row],[Estado]]="FINALIZADO",0,1))</f>
        <v>1</v>
      </c>
    </row>
    <row r="179" spans="1:16">
      <c r="A179" t="s">
        <v>773</v>
      </c>
      <c r="B179" t="s">
        <v>774</v>
      </c>
      <c r="C179" t="s">
        <v>775</v>
      </c>
      <c r="D179" s="1">
        <v>46311.405104166668</v>
      </c>
      <c r="E179" s="1">
        <v>46314.427881944444</v>
      </c>
      <c r="F179" s="1" t="s">
        <v>145</v>
      </c>
      <c r="H179" s="1"/>
      <c r="I179" t="s">
        <v>145</v>
      </c>
      <c r="J179" t="s">
        <v>776</v>
      </c>
      <c r="K179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2</v>
      </c>
      <c r="L179">
        <f ca="1">IF(Bandeja_SCTR[[#This Row],[FechaRecepcion]]="","",NETWORKDAYS(INT(Bandeja_SCTR[[#This Row],[FechaRecepcion]]),IF(Bandeja_SCTR[[#This Row],[FechaCierre]]="",TODAY(),INT(Bandeja_SCTR[[#This Row],[FechaCierre]])),DIAS_NOLAB[Feriados]))</f>
        <v>3</v>
      </c>
      <c r="M179" s="2" t="str">
        <f>IF(OR(Bandeja_SCTR[[#This Row],[FechaRecepcion]]="",Bandeja_SCTR[[#This Row],[FechaCierre]]=""),"",ROUND((Bandeja_SCTR[[#This Row],[FechaCierre]]-Bandeja_SCTR[[#This Row],[FechaRecepcion]])*24,1))</f>
        <v/>
      </c>
      <c r="N179" s="3">
        <f>IF(Bandeja_SCTR[[#This Row],[FechaRecepcion]]="","",DATE(YEAR(Bandeja_SCTR[[#This Row],[FechaRecepcion]]),MONTH(Bandeja_SCTR[[#This Row],[FechaRecepcion]]),1))</f>
        <v>46296</v>
      </c>
      <c r="O179">
        <f>IF(Bandeja_SCTR[[#This Row],[Estado]]="FINALIZADO",1,0)</f>
        <v>0</v>
      </c>
      <c r="P179">
        <f>IF(Bandeja_SCTR[[#This Row],[CasoId]]="",0,IF(Bandeja_SCTR[[#This Row],[Estado]]="FINALIZADO",0,1))</f>
        <v>1</v>
      </c>
    </row>
    <row r="180" spans="1:16" hidden="1">
      <c r="A180" t="s">
        <v>777</v>
      </c>
      <c r="B180" t="s">
        <v>778</v>
      </c>
      <c r="C180" t="s">
        <v>779</v>
      </c>
      <c r="D180" s="1">
        <v>46311.410138888888</v>
      </c>
      <c r="E180" s="1">
        <v>46311.54887731481</v>
      </c>
      <c r="F180" s="1" t="s">
        <v>96</v>
      </c>
      <c r="G180" t="s">
        <v>30</v>
      </c>
      <c r="H180" s="1">
        <v>46311.54887731481</v>
      </c>
      <c r="I180" t="s">
        <v>97</v>
      </c>
      <c r="J180" t="s">
        <v>780</v>
      </c>
      <c r="K180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180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180" s="2">
        <f>IF(OR(Bandeja_SCTR[[#This Row],[FechaRecepcion]]="",Bandeja_SCTR[[#This Row],[FechaCierre]]=""),"",ROUND((Bandeja_SCTR[[#This Row],[FechaCierre]]-Bandeja_SCTR[[#This Row],[FechaRecepcion]])*24,1))</f>
        <v>3.3</v>
      </c>
      <c r="N180" s="3">
        <f>IF(Bandeja_SCTR[[#This Row],[FechaRecepcion]]="","",DATE(YEAR(Bandeja_SCTR[[#This Row],[FechaRecepcion]]),MONTH(Bandeja_SCTR[[#This Row],[FechaRecepcion]]),1))</f>
        <v>46296</v>
      </c>
      <c r="O180">
        <f>IF(Bandeja_SCTR[[#This Row],[Estado]]="FINALIZADO",1,0)</f>
        <v>1</v>
      </c>
      <c r="P180">
        <f>IF(Bandeja_SCTR[[#This Row],[CasoId]]="",0,IF(Bandeja_SCTR[[#This Row],[Estado]]="FINALIZADO",0,1))</f>
        <v>0</v>
      </c>
    </row>
    <row r="181" spans="1:16">
      <c r="A181" t="s">
        <v>781</v>
      </c>
      <c r="B181" t="s">
        <v>782</v>
      </c>
      <c r="C181" t="s">
        <v>783</v>
      </c>
      <c r="D181" s="1">
        <v>46311.414270833338</v>
      </c>
      <c r="E181" s="1">
        <v>46311.430937500001</v>
      </c>
      <c r="F181" s="1" t="s">
        <v>243</v>
      </c>
      <c r="H181" s="1"/>
      <c r="I181" t="s">
        <v>244</v>
      </c>
      <c r="J181" t="s">
        <v>784</v>
      </c>
      <c r="K181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3</v>
      </c>
      <c r="L181">
        <f ca="1">IF(Bandeja_SCTR[[#This Row],[FechaRecepcion]]="","",NETWORKDAYS(INT(Bandeja_SCTR[[#This Row],[FechaRecepcion]]),IF(Bandeja_SCTR[[#This Row],[FechaCierre]]="",TODAY(),INT(Bandeja_SCTR[[#This Row],[FechaCierre]])),DIAS_NOLAB[Feriados]))</f>
        <v>3</v>
      </c>
      <c r="M181" s="2" t="str">
        <f>IF(OR(Bandeja_SCTR[[#This Row],[FechaRecepcion]]="",Bandeja_SCTR[[#This Row],[FechaCierre]]=""),"",ROUND((Bandeja_SCTR[[#This Row],[FechaCierre]]-Bandeja_SCTR[[#This Row],[FechaRecepcion]])*24,1))</f>
        <v/>
      </c>
      <c r="N181" s="3">
        <f>IF(Bandeja_SCTR[[#This Row],[FechaRecepcion]]="","",DATE(YEAR(Bandeja_SCTR[[#This Row],[FechaRecepcion]]),MONTH(Bandeja_SCTR[[#This Row],[FechaRecepcion]]),1))</f>
        <v>46296</v>
      </c>
      <c r="O181">
        <f>IF(Bandeja_SCTR[[#This Row],[Estado]]="FINALIZADO",1,0)</f>
        <v>0</v>
      </c>
      <c r="P181">
        <f>IF(Bandeja_SCTR[[#This Row],[CasoId]]="",0,IF(Bandeja_SCTR[[#This Row],[Estado]]="FINALIZADO",0,1))</f>
        <v>1</v>
      </c>
    </row>
    <row r="182" spans="1:16">
      <c r="A182" t="s">
        <v>785</v>
      </c>
      <c r="B182" t="s">
        <v>665</v>
      </c>
      <c r="C182" t="s">
        <v>666</v>
      </c>
      <c r="D182" s="1">
        <v>46311.414479166662</v>
      </c>
      <c r="E182" s="1">
        <v>46311.414479166662</v>
      </c>
      <c r="F182" s="1" t="s">
        <v>786</v>
      </c>
      <c r="H182" s="1"/>
      <c r="I182" t="s">
        <v>97</v>
      </c>
      <c r="J182" t="s">
        <v>787</v>
      </c>
      <c r="K182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3</v>
      </c>
      <c r="L182">
        <f ca="1">IF(Bandeja_SCTR[[#This Row],[FechaRecepcion]]="","",NETWORKDAYS(INT(Bandeja_SCTR[[#This Row],[FechaRecepcion]]),IF(Bandeja_SCTR[[#This Row],[FechaCierre]]="",TODAY(),INT(Bandeja_SCTR[[#This Row],[FechaCierre]])),DIAS_NOLAB[Feriados]))</f>
        <v>3</v>
      </c>
      <c r="M182" s="2" t="str">
        <f>IF(OR(Bandeja_SCTR[[#This Row],[FechaRecepcion]]="",Bandeja_SCTR[[#This Row],[FechaCierre]]=""),"",ROUND((Bandeja_SCTR[[#This Row],[FechaCierre]]-Bandeja_SCTR[[#This Row],[FechaRecepcion]])*24,1))</f>
        <v/>
      </c>
      <c r="N182" s="3">
        <f>IF(Bandeja_SCTR[[#This Row],[FechaRecepcion]]="","",DATE(YEAR(Bandeja_SCTR[[#This Row],[FechaRecepcion]]),MONTH(Bandeja_SCTR[[#This Row],[FechaRecepcion]]),1))</f>
        <v>46296</v>
      </c>
      <c r="O182">
        <f>IF(Bandeja_SCTR[[#This Row],[Estado]]="FINALIZADO",1,0)</f>
        <v>0</v>
      </c>
      <c r="P182">
        <f>IF(Bandeja_SCTR[[#This Row],[CasoId]]="",0,IF(Bandeja_SCTR[[#This Row],[Estado]]="FINALIZADO",0,1))</f>
        <v>1</v>
      </c>
    </row>
    <row r="183" spans="1:16">
      <c r="A183" t="s">
        <v>788</v>
      </c>
      <c r="B183" t="s">
        <v>789</v>
      </c>
      <c r="C183" t="s">
        <v>790</v>
      </c>
      <c r="D183" s="1">
        <v>46311.419247685189</v>
      </c>
      <c r="E183" s="1">
        <v>46311.419247685189</v>
      </c>
      <c r="F183" s="1" t="s">
        <v>144</v>
      </c>
      <c r="H183" s="1"/>
      <c r="I183" t="s">
        <v>210</v>
      </c>
      <c r="J183" t="s">
        <v>677</v>
      </c>
      <c r="K183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3</v>
      </c>
      <c r="L183">
        <f ca="1">IF(Bandeja_SCTR[[#This Row],[FechaRecepcion]]="","",NETWORKDAYS(INT(Bandeja_SCTR[[#This Row],[FechaRecepcion]]),IF(Bandeja_SCTR[[#This Row],[FechaCierre]]="",TODAY(),INT(Bandeja_SCTR[[#This Row],[FechaCierre]])),DIAS_NOLAB[Feriados]))</f>
        <v>3</v>
      </c>
      <c r="M183" s="2" t="str">
        <f>IF(OR(Bandeja_SCTR[[#This Row],[FechaRecepcion]]="",Bandeja_SCTR[[#This Row],[FechaCierre]]=""),"",ROUND((Bandeja_SCTR[[#This Row],[FechaCierre]]-Bandeja_SCTR[[#This Row],[FechaRecepcion]])*24,1))</f>
        <v/>
      </c>
      <c r="N183" s="3">
        <f>IF(Bandeja_SCTR[[#This Row],[FechaRecepcion]]="","",DATE(YEAR(Bandeja_SCTR[[#This Row],[FechaRecepcion]]),MONTH(Bandeja_SCTR[[#This Row],[FechaRecepcion]]),1))</f>
        <v>46296</v>
      </c>
      <c r="O183">
        <f>IF(Bandeja_SCTR[[#This Row],[Estado]]="FINALIZADO",1,0)</f>
        <v>0</v>
      </c>
      <c r="P183">
        <f>IF(Bandeja_SCTR[[#This Row],[CasoId]]="",0,IF(Bandeja_SCTR[[#This Row],[Estado]]="FINALIZADO",0,1))</f>
        <v>1</v>
      </c>
    </row>
    <row r="184" spans="1:16">
      <c r="A184" t="s">
        <v>791</v>
      </c>
      <c r="B184" t="s">
        <v>792</v>
      </c>
      <c r="C184" t="s">
        <v>793</v>
      </c>
      <c r="D184" s="1">
        <v>46311.41988425926</v>
      </c>
      <c r="E184" s="1">
        <v>46311.41988425926</v>
      </c>
      <c r="F184" s="1" t="s">
        <v>549</v>
      </c>
      <c r="H184" s="1"/>
      <c r="I184" t="s">
        <v>550</v>
      </c>
      <c r="J184" t="s">
        <v>794</v>
      </c>
      <c r="K184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3</v>
      </c>
      <c r="L184">
        <f ca="1">IF(Bandeja_SCTR[[#This Row],[FechaRecepcion]]="","",NETWORKDAYS(INT(Bandeja_SCTR[[#This Row],[FechaRecepcion]]),IF(Bandeja_SCTR[[#This Row],[FechaCierre]]="",TODAY(),INT(Bandeja_SCTR[[#This Row],[FechaCierre]])),DIAS_NOLAB[Feriados]))</f>
        <v>3</v>
      </c>
      <c r="M184" s="2" t="str">
        <f>IF(OR(Bandeja_SCTR[[#This Row],[FechaRecepcion]]="",Bandeja_SCTR[[#This Row],[FechaCierre]]=""),"",ROUND((Bandeja_SCTR[[#This Row],[FechaCierre]]-Bandeja_SCTR[[#This Row],[FechaRecepcion]])*24,1))</f>
        <v/>
      </c>
      <c r="N184" s="3">
        <f>IF(Bandeja_SCTR[[#This Row],[FechaRecepcion]]="","",DATE(YEAR(Bandeja_SCTR[[#This Row],[FechaRecepcion]]),MONTH(Bandeja_SCTR[[#This Row],[FechaRecepcion]]),1))</f>
        <v>46296</v>
      </c>
      <c r="O184">
        <f>IF(Bandeja_SCTR[[#This Row],[Estado]]="FINALIZADO",1,0)</f>
        <v>0</v>
      </c>
      <c r="P184">
        <f>IF(Bandeja_SCTR[[#This Row],[CasoId]]="",0,IF(Bandeja_SCTR[[#This Row],[Estado]]="FINALIZADO",0,1))</f>
        <v>1</v>
      </c>
    </row>
    <row r="185" spans="1:16">
      <c r="A185" t="s">
        <v>795</v>
      </c>
      <c r="B185" t="s">
        <v>796</v>
      </c>
      <c r="C185" t="s">
        <v>797</v>
      </c>
      <c r="D185" s="1">
        <v>46311.420092592598</v>
      </c>
      <c r="E185" s="1">
        <v>46311.420092592598</v>
      </c>
      <c r="F185" s="1" t="s">
        <v>144</v>
      </c>
      <c r="H185" s="1"/>
      <c r="I185" t="s">
        <v>210</v>
      </c>
      <c r="K185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3</v>
      </c>
      <c r="L185">
        <f ca="1">IF(Bandeja_SCTR[[#This Row],[FechaRecepcion]]="","",NETWORKDAYS(INT(Bandeja_SCTR[[#This Row],[FechaRecepcion]]),IF(Bandeja_SCTR[[#This Row],[FechaCierre]]="",TODAY(),INT(Bandeja_SCTR[[#This Row],[FechaCierre]])),DIAS_NOLAB[Feriados]))</f>
        <v>3</v>
      </c>
      <c r="M185" s="2" t="str">
        <f>IF(OR(Bandeja_SCTR[[#This Row],[FechaRecepcion]]="",Bandeja_SCTR[[#This Row],[FechaCierre]]=""),"",ROUND((Bandeja_SCTR[[#This Row],[FechaCierre]]-Bandeja_SCTR[[#This Row],[FechaRecepcion]])*24,1))</f>
        <v/>
      </c>
      <c r="N185" s="3">
        <f>IF(Bandeja_SCTR[[#This Row],[FechaRecepcion]]="","",DATE(YEAR(Bandeja_SCTR[[#This Row],[FechaRecepcion]]),MONTH(Bandeja_SCTR[[#This Row],[FechaRecepcion]]),1))</f>
        <v>46296</v>
      </c>
      <c r="O185">
        <f>IF(Bandeja_SCTR[[#This Row],[Estado]]="FINALIZADO",1,0)</f>
        <v>0</v>
      </c>
      <c r="P185">
        <f>IF(Bandeja_SCTR[[#This Row],[CasoId]]="",0,IF(Bandeja_SCTR[[#This Row],[Estado]]="FINALIZADO",0,1))</f>
        <v>1</v>
      </c>
    </row>
    <row r="186" spans="1:16" hidden="1">
      <c r="A186" t="s">
        <v>798</v>
      </c>
      <c r="B186" t="s">
        <v>799</v>
      </c>
      <c r="C186" t="s">
        <v>800</v>
      </c>
      <c r="D186" s="1">
        <v>46311.420289351852</v>
      </c>
      <c r="E186" s="1">
        <v>46314.639085648145</v>
      </c>
      <c r="F186" s="1" t="s">
        <v>96</v>
      </c>
      <c r="G186" t="s">
        <v>30</v>
      </c>
      <c r="H186" s="1">
        <v>46314.639085648145</v>
      </c>
      <c r="I186" t="s">
        <v>268</v>
      </c>
      <c r="K186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186">
        <f ca="1">IF(Bandeja_SCTR[[#This Row],[FechaRecepcion]]="","",NETWORKDAYS(INT(Bandeja_SCTR[[#This Row],[FechaRecepcion]]),IF(Bandeja_SCTR[[#This Row],[FechaCierre]]="",TODAY(),INT(Bandeja_SCTR[[#This Row],[FechaCierre]])),DIAS_NOLAB[Feriados]))</f>
        <v>2</v>
      </c>
      <c r="M186" s="2">
        <f>IF(OR(Bandeja_SCTR[[#This Row],[FechaRecepcion]]="",Bandeja_SCTR[[#This Row],[FechaCierre]]=""),"",ROUND((Bandeja_SCTR[[#This Row],[FechaCierre]]-Bandeja_SCTR[[#This Row],[FechaRecepcion]])*24,1))</f>
        <v>77.3</v>
      </c>
      <c r="N186" s="3">
        <f>IF(Bandeja_SCTR[[#This Row],[FechaRecepcion]]="","",DATE(YEAR(Bandeja_SCTR[[#This Row],[FechaRecepcion]]),MONTH(Bandeja_SCTR[[#This Row],[FechaRecepcion]]),1))</f>
        <v>46296</v>
      </c>
      <c r="O186">
        <f>IF(Bandeja_SCTR[[#This Row],[Estado]]="FINALIZADO",1,0)</f>
        <v>1</v>
      </c>
      <c r="P186">
        <f>IF(Bandeja_SCTR[[#This Row],[CasoId]]="",0,IF(Bandeja_SCTR[[#This Row],[Estado]]="FINALIZADO",0,1))</f>
        <v>0</v>
      </c>
    </row>
    <row r="187" spans="1:16">
      <c r="A187" t="s">
        <v>801</v>
      </c>
      <c r="B187" t="s">
        <v>802</v>
      </c>
      <c r="C187" t="s">
        <v>803</v>
      </c>
      <c r="D187" s="1">
        <v>46311.422361111108</v>
      </c>
      <c r="E187" s="1">
        <v>46311.424224537041</v>
      </c>
      <c r="F187" s="1" t="s">
        <v>150</v>
      </c>
      <c r="H187" s="1"/>
      <c r="I187" t="s">
        <v>150</v>
      </c>
      <c r="K187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3</v>
      </c>
      <c r="L187">
        <f ca="1">IF(Bandeja_SCTR[[#This Row],[FechaRecepcion]]="","",NETWORKDAYS(INT(Bandeja_SCTR[[#This Row],[FechaRecepcion]]),IF(Bandeja_SCTR[[#This Row],[FechaCierre]]="",TODAY(),INT(Bandeja_SCTR[[#This Row],[FechaCierre]])),DIAS_NOLAB[Feriados]))</f>
        <v>3</v>
      </c>
      <c r="M187" s="2" t="str">
        <f>IF(OR(Bandeja_SCTR[[#This Row],[FechaRecepcion]]="",Bandeja_SCTR[[#This Row],[FechaCierre]]=""),"",ROUND((Bandeja_SCTR[[#This Row],[FechaCierre]]-Bandeja_SCTR[[#This Row],[FechaRecepcion]])*24,1))</f>
        <v/>
      </c>
      <c r="N187" s="3">
        <f>IF(Bandeja_SCTR[[#This Row],[FechaRecepcion]]="","",DATE(YEAR(Bandeja_SCTR[[#This Row],[FechaRecepcion]]),MONTH(Bandeja_SCTR[[#This Row],[FechaRecepcion]]),1))</f>
        <v>46296</v>
      </c>
      <c r="O187">
        <f>IF(Bandeja_SCTR[[#This Row],[Estado]]="FINALIZADO",1,0)</f>
        <v>0</v>
      </c>
      <c r="P187">
        <f>IF(Bandeja_SCTR[[#This Row],[CasoId]]="",0,IF(Bandeja_SCTR[[#This Row],[Estado]]="FINALIZADO",0,1))</f>
        <v>1</v>
      </c>
    </row>
    <row r="188" spans="1:16">
      <c r="A188" t="s">
        <v>804</v>
      </c>
      <c r="B188" t="s">
        <v>532</v>
      </c>
      <c r="C188" t="s">
        <v>805</v>
      </c>
      <c r="D188" s="1">
        <v>46311.426180555558</v>
      </c>
      <c r="E188" s="1">
        <v>46311.432800925926</v>
      </c>
      <c r="F188" s="1" t="s">
        <v>806</v>
      </c>
      <c r="H188" s="1"/>
      <c r="I188" t="s">
        <v>86</v>
      </c>
      <c r="J188" t="s">
        <v>807</v>
      </c>
      <c r="K188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3</v>
      </c>
      <c r="L188">
        <f ca="1">IF(Bandeja_SCTR[[#This Row],[FechaRecepcion]]="","",NETWORKDAYS(INT(Bandeja_SCTR[[#This Row],[FechaRecepcion]]),IF(Bandeja_SCTR[[#This Row],[FechaCierre]]="",TODAY(),INT(Bandeja_SCTR[[#This Row],[FechaCierre]])),DIAS_NOLAB[Feriados]))</f>
        <v>3</v>
      </c>
      <c r="M188" s="2" t="str">
        <f>IF(OR(Bandeja_SCTR[[#This Row],[FechaRecepcion]]="",Bandeja_SCTR[[#This Row],[FechaCierre]]=""),"",ROUND((Bandeja_SCTR[[#This Row],[FechaCierre]]-Bandeja_SCTR[[#This Row],[FechaRecepcion]])*24,1))</f>
        <v/>
      </c>
      <c r="N188" s="3">
        <f>IF(Bandeja_SCTR[[#This Row],[FechaRecepcion]]="","",DATE(YEAR(Bandeja_SCTR[[#This Row],[FechaRecepcion]]),MONTH(Bandeja_SCTR[[#This Row],[FechaRecepcion]]),1))</f>
        <v>46296</v>
      </c>
      <c r="O188">
        <f>IF(Bandeja_SCTR[[#This Row],[Estado]]="FINALIZADO",1,0)</f>
        <v>0</v>
      </c>
      <c r="P188">
        <f>IF(Bandeja_SCTR[[#This Row],[CasoId]]="",0,IF(Bandeja_SCTR[[#This Row],[Estado]]="FINALIZADO",0,1))</f>
        <v>1</v>
      </c>
    </row>
    <row r="189" spans="1:16" hidden="1">
      <c r="A189" t="s">
        <v>808</v>
      </c>
      <c r="B189" t="s">
        <v>809</v>
      </c>
      <c r="C189" t="s">
        <v>810</v>
      </c>
      <c r="D189" s="1">
        <v>46311.434004629627</v>
      </c>
      <c r="E189" s="1">
        <v>46314.504745370374</v>
      </c>
      <c r="F189" s="1" t="s">
        <v>96</v>
      </c>
      <c r="G189" t="s">
        <v>30</v>
      </c>
      <c r="H189" s="1">
        <v>46314.504745370374</v>
      </c>
      <c r="I189" t="s">
        <v>268</v>
      </c>
      <c r="K189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189">
        <f ca="1">IF(Bandeja_SCTR[[#This Row],[FechaRecepcion]]="","",NETWORKDAYS(INT(Bandeja_SCTR[[#This Row],[FechaRecepcion]]),IF(Bandeja_SCTR[[#This Row],[FechaCierre]]="",TODAY(),INT(Bandeja_SCTR[[#This Row],[FechaCierre]])),DIAS_NOLAB[Feriados]))</f>
        <v>2</v>
      </c>
      <c r="M189" s="2">
        <f>IF(OR(Bandeja_SCTR[[#This Row],[FechaRecepcion]]="",Bandeja_SCTR[[#This Row],[FechaCierre]]=""),"",ROUND((Bandeja_SCTR[[#This Row],[FechaCierre]]-Bandeja_SCTR[[#This Row],[FechaRecepcion]])*24,1))</f>
        <v>73.7</v>
      </c>
      <c r="N189" s="3">
        <f>IF(Bandeja_SCTR[[#This Row],[FechaRecepcion]]="","",DATE(YEAR(Bandeja_SCTR[[#This Row],[FechaRecepcion]]),MONTH(Bandeja_SCTR[[#This Row],[FechaRecepcion]]),1))</f>
        <v>46296</v>
      </c>
      <c r="O189">
        <f>IF(Bandeja_SCTR[[#This Row],[Estado]]="FINALIZADO",1,0)</f>
        <v>1</v>
      </c>
      <c r="P189">
        <f>IF(Bandeja_SCTR[[#This Row],[CasoId]]="",0,IF(Bandeja_SCTR[[#This Row],[Estado]]="FINALIZADO",0,1))</f>
        <v>0</v>
      </c>
    </row>
    <row r="190" spans="1:16" hidden="1">
      <c r="A190" t="s">
        <v>811</v>
      </c>
      <c r="B190" t="s">
        <v>812</v>
      </c>
      <c r="C190" t="s">
        <v>813</v>
      </c>
      <c r="D190" s="1">
        <v>46311.435300925921</v>
      </c>
      <c r="E190" s="1">
        <v>46311.534050925926</v>
      </c>
      <c r="F190" s="1" t="s">
        <v>96</v>
      </c>
      <c r="G190" t="s">
        <v>30</v>
      </c>
      <c r="H190" s="1">
        <v>46311.534050925926</v>
      </c>
      <c r="I190" t="s">
        <v>97</v>
      </c>
      <c r="J190" t="s">
        <v>814</v>
      </c>
      <c r="K190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190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190" s="2">
        <f>IF(OR(Bandeja_SCTR[[#This Row],[FechaRecepcion]]="",Bandeja_SCTR[[#This Row],[FechaCierre]]=""),"",ROUND((Bandeja_SCTR[[#This Row],[FechaCierre]]-Bandeja_SCTR[[#This Row],[FechaRecepcion]])*24,1))</f>
        <v>2.4</v>
      </c>
      <c r="N190" s="3">
        <f>IF(Bandeja_SCTR[[#This Row],[FechaRecepcion]]="","",DATE(YEAR(Bandeja_SCTR[[#This Row],[FechaRecepcion]]),MONTH(Bandeja_SCTR[[#This Row],[FechaRecepcion]]),1))</f>
        <v>46296</v>
      </c>
      <c r="O190">
        <f>IF(Bandeja_SCTR[[#This Row],[Estado]]="FINALIZADO",1,0)</f>
        <v>1</v>
      </c>
      <c r="P190">
        <f>IF(Bandeja_SCTR[[#This Row],[CasoId]]="",0,IF(Bandeja_SCTR[[#This Row],[Estado]]="FINALIZADO",0,1))</f>
        <v>0</v>
      </c>
    </row>
    <row r="191" spans="1:16">
      <c r="A191" t="s">
        <v>815</v>
      </c>
      <c r="B191" t="s">
        <v>816</v>
      </c>
      <c r="C191" t="s">
        <v>817</v>
      </c>
      <c r="D191" s="1">
        <v>46311.43822916667</v>
      </c>
      <c r="E191" s="1">
        <v>46311.43822916667</v>
      </c>
      <c r="F191" s="1" t="s">
        <v>91</v>
      </c>
      <c r="H191" s="1"/>
      <c r="I191" t="s">
        <v>91</v>
      </c>
      <c r="J191" t="s">
        <v>818</v>
      </c>
      <c r="K191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3</v>
      </c>
      <c r="L191">
        <f ca="1">IF(Bandeja_SCTR[[#This Row],[FechaRecepcion]]="","",NETWORKDAYS(INT(Bandeja_SCTR[[#This Row],[FechaRecepcion]]),IF(Bandeja_SCTR[[#This Row],[FechaCierre]]="",TODAY(),INT(Bandeja_SCTR[[#This Row],[FechaCierre]])),DIAS_NOLAB[Feriados]))</f>
        <v>3</v>
      </c>
      <c r="M191" s="2" t="str">
        <f>IF(OR(Bandeja_SCTR[[#This Row],[FechaRecepcion]]="",Bandeja_SCTR[[#This Row],[FechaCierre]]=""),"",ROUND((Bandeja_SCTR[[#This Row],[FechaCierre]]-Bandeja_SCTR[[#This Row],[FechaRecepcion]])*24,1))</f>
        <v/>
      </c>
      <c r="N191" s="3">
        <f>IF(Bandeja_SCTR[[#This Row],[FechaRecepcion]]="","",DATE(YEAR(Bandeja_SCTR[[#This Row],[FechaRecepcion]]),MONTH(Bandeja_SCTR[[#This Row],[FechaRecepcion]]),1))</f>
        <v>46296</v>
      </c>
      <c r="O191">
        <f>IF(Bandeja_SCTR[[#This Row],[Estado]]="FINALIZADO",1,0)</f>
        <v>0</v>
      </c>
      <c r="P191">
        <f>IF(Bandeja_SCTR[[#This Row],[CasoId]]="",0,IF(Bandeja_SCTR[[#This Row],[Estado]]="FINALIZADO",0,1))</f>
        <v>1</v>
      </c>
    </row>
    <row r="192" spans="1:16" hidden="1">
      <c r="A192" t="s">
        <v>819</v>
      </c>
      <c r="B192" t="s">
        <v>820</v>
      </c>
      <c r="C192" t="s">
        <v>821</v>
      </c>
      <c r="D192" s="1">
        <v>46311.448773148149</v>
      </c>
      <c r="E192" s="1">
        <v>46311.522847222222</v>
      </c>
      <c r="F192" s="1" t="s">
        <v>96</v>
      </c>
      <c r="G192" t="s">
        <v>30</v>
      </c>
      <c r="H192" s="1">
        <v>46311.522847222222</v>
      </c>
      <c r="I192" t="s">
        <v>97</v>
      </c>
      <c r="K192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192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192" s="2">
        <f>IF(OR(Bandeja_SCTR[[#This Row],[FechaRecepcion]]="",Bandeja_SCTR[[#This Row],[FechaCierre]]=""),"",ROUND((Bandeja_SCTR[[#This Row],[FechaCierre]]-Bandeja_SCTR[[#This Row],[FechaRecepcion]])*24,1))</f>
        <v>1.8</v>
      </c>
      <c r="N192" s="3">
        <f>IF(Bandeja_SCTR[[#This Row],[FechaRecepcion]]="","",DATE(YEAR(Bandeja_SCTR[[#This Row],[FechaRecepcion]]),MONTH(Bandeja_SCTR[[#This Row],[FechaRecepcion]]),1))</f>
        <v>46296</v>
      </c>
      <c r="O192">
        <f>IF(Bandeja_SCTR[[#This Row],[Estado]]="FINALIZADO",1,0)</f>
        <v>1</v>
      </c>
      <c r="P192">
        <f>IF(Bandeja_SCTR[[#This Row],[CasoId]]="",0,IF(Bandeja_SCTR[[#This Row],[Estado]]="FINALIZADO",0,1))</f>
        <v>0</v>
      </c>
    </row>
    <row r="193" spans="1:16">
      <c r="A193" t="s">
        <v>822</v>
      </c>
      <c r="B193" t="s">
        <v>823</v>
      </c>
      <c r="C193" t="s">
        <v>824</v>
      </c>
      <c r="D193" s="1">
        <v>46311.455682870372</v>
      </c>
      <c r="E193" s="1">
        <v>46311.455682870372</v>
      </c>
      <c r="F193" s="1" t="s">
        <v>144</v>
      </c>
      <c r="H193" s="1"/>
      <c r="I193" t="s">
        <v>210</v>
      </c>
      <c r="J193" t="s">
        <v>825</v>
      </c>
      <c r="K193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3</v>
      </c>
      <c r="L193">
        <f ca="1">IF(Bandeja_SCTR[[#This Row],[FechaRecepcion]]="","",NETWORKDAYS(INT(Bandeja_SCTR[[#This Row],[FechaRecepcion]]),IF(Bandeja_SCTR[[#This Row],[FechaCierre]]="",TODAY(),INT(Bandeja_SCTR[[#This Row],[FechaCierre]])),DIAS_NOLAB[Feriados]))</f>
        <v>3</v>
      </c>
      <c r="M193" s="2" t="str">
        <f>IF(OR(Bandeja_SCTR[[#This Row],[FechaRecepcion]]="",Bandeja_SCTR[[#This Row],[FechaCierre]]=""),"",ROUND((Bandeja_SCTR[[#This Row],[FechaCierre]]-Bandeja_SCTR[[#This Row],[FechaRecepcion]])*24,1))</f>
        <v/>
      </c>
      <c r="N193" s="3">
        <f>IF(Bandeja_SCTR[[#This Row],[FechaRecepcion]]="","",DATE(YEAR(Bandeja_SCTR[[#This Row],[FechaRecepcion]]),MONTH(Bandeja_SCTR[[#This Row],[FechaRecepcion]]),1))</f>
        <v>46296</v>
      </c>
      <c r="O193">
        <f>IF(Bandeja_SCTR[[#This Row],[Estado]]="FINALIZADO",1,0)</f>
        <v>0</v>
      </c>
      <c r="P193">
        <f>IF(Bandeja_SCTR[[#This Row],[CasoId]]="",0,IF(Bandeja_SCTR[[#This Row],[Estado]]="FINALIZADO",0,1))</f>
        <v>1</v>
      </c>
    </row>
    <row r="194" spans="1:16">
      <c r="A194" t="s">
        <v>826</v>
      </c>
      <c r="B194" t="s">
        <v>237</v>
      </c>
      <c r="C194" t="s">
        <v>238</v>
      </c>
      <c r="D194" s="1">
        <v>46311.45621527778</v>
      </c>
      <c r="E194" s="1">
        <v>46311.45621527778</v>
      </c>
      <c r="F194" s="1" t="s">
        <v>144</v>
      </c>
      <c r="H194" s="1"/>
      <c r="I194" t="s">
        <v>210</v>
      </c>
      <c r="J194" t="s">
        <v>827</v>
      </c>
      <c r="K194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3</v>
      </c>
      <c r="L194">
        <f ca="1">IF(Bandeja_SCTR[[#This Row],[FechaRecepcion]]="","",NETWORKDAYS(INT(Bandeja_SCTR[[#This Row],[FechaRecepcion]]),IF(Bandeja_SCTR[[#This Row],[FechaCierre]]="",TODAY(),INT(Bandeja_SCTR[[#This Row],[FechaCierre]])),DIAS_NOLAB[Feriados]))</f>
        <v>3</v>
      </c>
      <c r="M194" s="2" t="str">
        <f>IF(OR(Bandeja_SCTR[[#This Row],[FechaRecepcion]]="",Bandeja_SCTR[[#This Row],[FechaCierre]]=""),"",ROUND((Bandeja_SCTR[[#This Row],[FechaCierre]]-Bandeja_SCTR[[#This Row],[FechaRecepcion]])*24,1))</f>
        <v/>
      </c>
      <c r="N194" s="3">
        <f>IF(Bandeja_SCTR[[#This Row],[FechaRecepcion]]="","",DATE(YEAR(Bandeja_SCTR[[#This Row],[FechaRecepcion]]),MONTH(Bandeja_SCTR[[#This Row],[FechaRecepcion]]),1))</f>
        <v>46296</v>
      </c>
      <c r="O194">
        <f>IF(Bandeja_SCTR[[#This Row],[Estado]]="FINALIZADO",1,0)</f>
        <v>0</v>
      </c>
      <c r="P194">
        <f>IF(Bandeja_SCTR[[#This Row],[CasoId]]="",0,IF(Bandeja_SCTR[[#This Row],[Estado]]="FINALIZADO",0,1))</f>
        <v>1</v>
      </c>
    </row>
    <row r="195" spans="1:16">
      <c r="A195" t="s">
        <v>828</v>
      </c>
      <c r="B195" t="s">
        <v>829</v>
      </c>
      <c r="C195" t="s">
        <v>830</v>
      </c>
      <c r="D195" s="1">
        <v>46311.46092592593</v>
      </c>
      <c r="E195" s="1">
        <v>46311.46092592593</v>
      </c>
      <c r="F195" s="1" t="s">
        <v>831</v>
      </c>
      <c r="H195" s="1"/>
      <c r="I195" t="s">
        <v>268</v>
      </c>
      <c r="J195" t="s">
        <v>832</v>
      </c>
      <c r="K195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3</v>
      </c>
      <c r="L195">
        <f ca="1">IF(Bandeja_SCTR[[#This Row],[FechaRecepcion]]="","",NETWORKDAYS(INT(Bandeja_SCTR[[#This Row],[FechaRecepcion]]),IF(Bandeja_SCTR[[#This Row],[FechaCierre]]="",TODAY(),INT(Bandeja_SCTR[[#This Row],[FechaCierre]])),DIAS_NOLAB[Feriados]))</f>
        <v>3</v>
      </c>
      <c r="M195" s="2" t="str">
        <f>IF(OR(Bandeja_SCTR[[#This Row],[FechaRecepcion]]="",Bandeja_SCTR[[#This Row],[FechaCierre]]=""),"",ROUND((Bandeja_SCTR[[#This Row],[FechaCierre]]-Bandeja_SCTR[[#This Row],[FechaRecepcion]])*24,1))</f>
        <v/>
      </c>
      <c r="N195" s="3">
        <f>IF(Bandeja_SCTR[[#This Row],[FechaRecepcion]]="","",DATE(YEAR(Bandeja_SCTR[[#This Row],[FechaRecepcion]]),MONTH(Bandeja_SCTR[[#This Row],[FechaRecepcion]]),1))</f>
        <v>46296</v>
      </c>
      <c r="O195">
        <f>IF(Bandeja_SCTR[[#This Row],[Estado]]="FINALIZADO",1,0)</f>
        <v>0</v>
      </c>
      <c r="P195">
        <f>IF(Bandeja_SCTR[[#This Row],[CasoId]]="",0,IF(Bandeja_SCTR[[#This Row],[Estado]]="FINALIZADO",0,1))</f>
        <v>1</v>
      </c>
    </row>
    <row r="196" spans="1:16" hidden="1">
      <c r="A196" t="s">
        <v>833</v>
      </c>
      <c r="B196" t="s">
        <v>834</v>
      </c>
      <c r="C196" t="s">
        <v>835</v>
      </c>
      <c r="D196" s="1">
        <v>46311.465543981481</v>
      </c>
      <c r="E196" s="1">
        <v>46311.468298611115</v>
      </c>
      <c r="F196" s="1" t="s">
        <v>96</v>
      </c>
      <c r="G196" t="s">
        <v>30</v>
      </c>
      <c r="H196" s="1">
        <v>46311.468298611115</v>
      </c>
      <c r="I196" t="s">
        <v>97</v>
      </c>
      <c r="J196" t="s">
        <v>620</v>
      </c>
      <c r="K196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196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196" s="2">
        <f>IF(OR(Bandeja_SCTR[[#This Row],[FechaRecepcion]]="",Bandeja_SCTR[[#This Row],[FechaCierre]]=""),"",ROUND((Bandeja_SCTR[[#This Row],[FechaCierre]]-Bandeja_SCTR[[#This Row],[FechaRecepcion]])*24,1))</f>
        <v>0.1</v>
      </c>
      <c r="N196" s="3">
        <f>IF(Bandeja_SCTR[[#This Row],[FechaRecepcion]]="","",DATE(YEAR(Bandeja_SCTR[[#This Row],[FechaRecepcion]]),MONTH(Bandeja_SCTR[[#This Row],[FechaRecepcion]]),1))</f>
        <v>46296</v>
      </c>
      <c r="O196">
        <f>IF(Bandeja_SCTR[[#This Row],[Estado]]="FINALIZADO",1,0)</f>
        <v>1</v>
      </c>
      <c r="P196">
        <f>IF(Bandeja_SCTR[[#This Row],[CasoId]]="",0,IF(Bandeja_SCTR[[#This Row],[Estado]]="FINALIZADO",0,1))</f>
        <v>0</v>
      </c>
    </row>
    <row r="197" spans="1:16">
      <c r="A197" t="s">
        <v>836</v>
      </c>
      <c r="B197" t="s">
        <v>837</v>
      </c>
      <c r="C197" t="s">
        <v>838</v>
      </c>
      <c r="D197" s="1">
        <v>46311.465798611112</v>
      </c>
      <c r="E197" s="1">
        <v>46311.465798611112</v>
      </c>
      <c r="F197" s="1" t="s">
        <v>316</v>
      </c>
      <c r="H197" s="1"/>
      <c r="I197" t="s">
        <v>317</v>
      </c>
      <c r="J197" t="s">
        <v>839</v>
      </c>
      <c r="K197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3</v>
      </c>
      <c r="L197">
        <f ca="1">IF(Bandeja_SCTR[[#This Row],[FechaRecepcion]]="","",NETWORKDAYS(INT(Bandeja_SCTR[[#This Row],[FechaRecepcion]]),IF(Bandeja_SCTR[[#This Row],[FechaCierre]]="",TODAY(),INT(Bandeja_SCTR[[#This Row],[FechaCierre]])),DIAS_NOLAB[Feriados]))</f>
        <v>3</v>
      </c>
      <c r="M197" s="2" t="str">
        <f>IF(OR(Bandeja_SCTR[[#This Row],[FechaRecepcion]]="",Bandeja_SCTR[[#This Row],[FechaCierre]]=""),"",ROUND((Bandeja_SCTR[[#This Row],[FechaCierre]]-Bandeja_SCTR[[#This Row],[FechaRecepcion]])*24,1))</f>
        <v/>
      </c>
      <c r="N197" s="3">
        <f>IF(Bandeja_SCTR[[#This Row],[FechaRecepcion]]="","",DATE(YEAR(Bandeja_SCTR[[#This Row],[FechaRecepcion]]),MONTH(Bandeja_SCTR[[#This Row],[FechaRecepcion]]),1))</f>
        <v>46296</v>
      </c>
      <c r="O197">
        <f>IF(Bandeja_SCTR[[#This Row],[Estado]]="FINALIZADO",1,0)</f>
        <v>0</v>
      </c>
      <c r="P197">
        <f>IF(Bandeja_SCTR[[#This Row],[CasoId]]="",0,IF(Bandeja_SCTR[[#This Row],[Estado]]="FINALIZADO",0,1))</f>
        <v>1</v>
      </c>
    </row>
    <row r="198" spans="1:16" hidden="1">
      <c r="A198" t="s">
        <v>840</v>
      </c>
      <c r="B198" t="s">
        <v>841</v>
      </c>
      <c r="C198" t="s">
        <v>842</v>
      </c>
      <c r="D198" s="1">
        <v>46311.470439814817</v>
      </c>
      <c r="E198" s="1">
        <v>46314.731203703705</v>
      </c>
      <c r="F198" s="1" t="s">
        <v>96</v>
      </c>
      <c r="G198" t="s">
        <v>30</v>
      </c>
      <c r="H198" s="1">
        <v>46314.731203703705</v>
      </c>
      <c r="I198" t="s">
        <v>268</v>
      </c>
      <c r="K198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198">
        <f ca="1">IF(Bandeja_SCTR[[#This Row],[FechaRecepcion]]="","",NETWORKDAYS(INT(Bandeja_SCTR[[#This Row],[FechaRecepcion]]),IF(Bandeja_SCTR[[#This Row],[FechaCierre]]="",TODAY(),INT(Bandeja_SCTR[[#This Row],[FechaCierre]])),DIAS_NOLAB[Feriados]))</f>
        <v>2</v>
      </c>
      <c r="M198" s="2">
        <f>IF(OR(Bandeja_SCTR[[#This Row],[FechaRecepcion]]="",Bandeja_SCTR[[#This Row],[FechaCierre]]=""),"",ROUND((Bandeja_SCTR[[#This Row],[FechaCierre]]-Bandeja_SCTR[[#This Row],[FechaRecepcion]])*24,1))</f>
        <v>78.3</v>
      </c>
      <c r="N198" s="3">
        <f>IF(Bandeja_SCTR[[#This Row],[FechaRecepcion]]="","",DATE(YEAR(Bandeja_SCTR[[#This Row],[FechaRecepcion]]),MONTH(Bandeja_SCTR[[#This Row],[FechaRecepcion]]),1))</f>
        <v>46296</v>
      </c>
      <c r="O198">
        <f>IF(Bandeja_SCTR[[#This Row],[Estado]]="FINALIZADO",1,0)</f>
        <v>1</v>
      </c>
      <c r="P198">
        <f>IF(Bandeja_SCTR[[#This Row],[CasoId]]="",0,IF(Bandeja_SCTR[[#This Row],[Estado]]="FINALIZADO",0,1))</f>
        <v>0</v>
      </c>
    </row>
    <row r="199" spans="1:16">
      <c r="A199" t="s">
        <v>843</v>
      </c>
      <c r="B199" t="s">
        <v>646</v>
      </c>
      <c r="C199" t="s">
        <v>844</v>
      </c>
      <c r="D199" s="1">
        <v>46311.472824074073</v>
      </c>
      <c r="E199" s="1">
        <v>46311.487291666665</v>
      </c>
      <c r="F199" s="1" t="s">
        <v>316</v>
      </c>
      <c r="H199" s="1"/>
      <c r="I199" t="s">
        <v>317</v>
      </c>
      <c r="J199" t="s">
        <v>845</v>
      </c>
      <c r="K199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3</v>
      </c>
      <c r="L199">
        <f ca="1">IF(Bandeja_SCTR[[#This Row],[FechaRecepcion]]="","",NETWORKDAYS(INT(Bandeja_SCTR[[#This Row],[FechaRecepcion]]),IF(Bandeja_SCTR[[#This Row],[FechaCierre]]="",TODAY(),INT(Bandeja_SCTR[[#This Row],[FechaCierre]])),DIAS_NOLAB[Feriados]))</f>
        <v>3</v>
      </c>
      <c r="M199" s="2" t="str">
        <f>IF(OR(Bandeja_SCTR[[#This Row],[FechaRecepcion]]="",Bandeja_SCTR[[#This Row],[FechaCierre]]=""),"",ROUND((Bandeja_SCTR[[#This Row],[FechaCierre]]-Bandeja_SCTR[[#This Row],[FechaRecepcion]])*24,1))</f>
        <v/>
      </c>
      <c r="N199" s="3">
        <f>IF(Bandeja_SCTR[[#This Row],[FechaRecepcion]]="","",DATE(YEAR(Bandeja_SCTR[[#This Row],[FechaRecepcion]]),MONTH(Bandeja_SCTR[[#This Row],[FechaRecepcion]]),1))</f>
        <v>46296</v>
      </c>
      <c r="O199">
        <f>IF(Bandeja_SCTR[[#This Row],[Estado]]="FINALIZADO",1,0)</f>
        <v>0</v>
      </c>
      <c r="P199">
        <f>IF(Bandeja_SCTR[[#This Row],[CasoId]]="",0,IF(Bandeja_SCTR[[#This Row],[Estado]]="FINALIZADO",0,1))</f>
        <v>1</v>
      </c>
    </row>
    <row r="200" spans="1:16">
      <c r="A200" t="s">
        <v>846</v>
      </c>
      <c r="B200" t="s">
        <v>834</v>
      </c>
      <c r="C200" t="s">
        <v>835</v>
      </c>
      <c r="D200" s="1">
        <v>46311.472997685181</v>
      </c>
      <c r="E200" s="1">
        <v>46311.472997685181</v>
      </c>
      <c r="F200" s="1" t="s">
        <v>316</v>
      </c>
      <c r="H200" s="1"/>
      <c r="I200" t="s">
        <v>317</v>
      </c>
      <c r="J200" t="s">
        <v>847</v>
      </c>
      <c r="K200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3</v>
      </c>
      <c r="L200">
        <f ca="1">IF(Bandeja_SCTR[[#This Row],[FechaRecepcion]]="","",NETWORKDAYS(INT(Bandeja_SCTR[[#This Row],[FechaRecepcion]]),IF(Bandeja_SCTR[[#This Row],[FechaCierre]]="",TODAY(),INT(Bandeja_SCTR[[#This Row],[FechaCierre]])),DIAS_NOLAB[Feriados]))</f>
        <v>3</v>
      </c>
      <c r="M200" s="2" t="str">
        <f>IF(OR(Bandeja_SCTR[[#This Row],[FechaRecepcion]]="",Bandeja_SCTR[[#This Row],[FechaCierre]]=""),"",ROUND((Bandeja_SCTR[[#This Row],[FechaCierre]]-Bandeja_SCTR[[#This Row],[FechaRecepcion]])*24,1))</f>
        <v/>
      </c>
      <c r="N200" s="3">
        <f>IF(Bandeja_SCTR[[#This Row],[FechaRecepcion]]="","",DATE(YEAR(Bandeja_SCTR[[#This Row],[FechaRecepcion]]),MONTH(Bandeja_SCTR[[#This Row],[FechaRecepcion]]),1))</f>
        <v>46296</v>
      </c>
      <c r="O200">
        <f>IF(Bandeja_SCTR[[#This Row],[Estado]]="FINALIZADO",1,0)</f>
        <v>0</v>
      </c>
      <c r="P200">
        <f>IF(Bandeja_SCTR[[#This Row],[CasoId]]="",0,IF(Bandeja_SCTR[[#This Row],[Estado]]="FINALIZADO",0,1))</f>
        <v>1</v>
      </c>
    </row>
    <row r="201" spans="1:16">
      <c r="A201" t="s">
        <v>848</v>
      </c>
      <c r="B201" t="s">
        <v>849</v>
      </c>
      <c r="C201" t="s">
        <v>850</v>
      </c>
      <c r="D201" s="1">
        <v>46311.474282407406</v>
      </c>
      <c r="E201" s="1">
        <v>46311.474282407406</v>
      </c>
      <c r="F201" s="1" t="s">
        <v>562</v>
      </c>
      <c r="H201" s="1"/>
      <c r="I201" t="s">
        <v>563</v>
      </c>
      <c r="J201" t="s">
        <v>851</v>
      </c>
      <c r="K201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3</v>
      </c>
      <c r="L201">
        <f ca="1">IF(Bandeja_SCTR[[#This Row],[FechaRecepcion]]="","",NETWORKDAYS(INT(Bandeja_SCTR[[#This Row],[FechaRecepcion]]),IF(Bandeja_SCTR[[#This Row],[FechaCierre]]="",TODAY(),INT(Bandeja_SCTR[[#This Row],[FechaCierre]])),DIAS_NOLAB[Feriados]))</f>
        <v>3</v>
      </c>
      <c r="M201" s="2" t="str">
        <f>IF(OR(Bandeja_SCTR[[#This Row],[FechaRecepcion]]="",Bandeja_SCTR[[#This Row],[FechaCierre]]=""),"",ROUND((Bandeja_SCTR[[#This Row],[FechaCierre]]-Bandeja_SCTR[[#This Row],[FechaRecepcion]])*24,1))</f>
        <v/>
      </c>
      <c r="N201" s="3">
        <f>IF(Bandeja_SCTR[[#This Row],[FechaRecepcion]]="","",DATE(YEAR(Bandeja_SCTR[[#This Row],[FechaRecepcion]]),MONTH(Bandeja_SCTR[[#This Row],[FechaRecepcion]]),1))</f>
        <v>46296</v>
      </c>
      <c r="O201">
        <f>IF(Bandeja_SCTR[[#This Row],[Estado]]="FINALIZADO",1,0)</f>
        <v>0</v>
      </c>
      <c r="P201">
        <f>IF(Bandeja_SCTR[[#This Row],[CasoId]]="",0,IF(Bandeja_SCTR[[#This Row],[Estado]]="FINALIZADO",0,1))</f>
        <v>1</v>
      </c>
    </row>
    <row r="202" spans="1:16">
      <c r="A202" t="s">
        <v>852</v>
      </c>
      <c r="B202" t="s">
        <v>853</v>
      </c>
      <c r="C202" t="s">
        <v>854</v>
      </c>
      <c r="D202" s="1">
        <v>46311.477766203709</v>
      </c>
      <c r="E202" s="1">
        <v>46311.477766203709</v>
      </c>
      <c r="F202" s="1" t="s">
        <v>316</v>
      </c>
      <c r="H202" s="1"/>
      <c r="I202" t="s">
        <v>317</v>
      </c>
      <c r="J202" t="s">
        <v>855</v>
      </c>
      <c r="K202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3</v>
      </c>
      <c r="L202">
        <f ca="1">IF(Bandeja_SCTR[[#This Row],[FechaRecepcion]]="","",NETWORKDAYS(INT(Bandeja_SCTR[[#This Row],[FechaRecepcion]]),IF(Bandeja_SCTR[[#This Row],[FechaCierre]]="",TODAY(),INT(Bandeja_SCTR[[#This Row],[FechaCierre]])),DIAS_NOLAB[Feriados]))</f>
        <v>3</v>
      </c>
      <c r="M202" s="2" t="str">
        <f>IF(OR(Bandeja_SCTR[[#This Row],[FechaRecepcion]]="",Bandeja_SCTR[[#This Row],[FechaCierre]]=""),"",ROUND((Bandeja_SCTR[[#This Row],[FechaCierre]]-Bandeja_SCTR[[#This Row],[FechaRecepcion]])*24,1))</f>
        <v/>
      </c>
      <c r="N202" s="3">
        <f>IF(Bandeja_SCTR[[#This Row],[FechaRecepcion]]="","",DATE(YEAR(Bandeja_SCTR[[#This Row],[FechaRecepcion]]),MONTH(Bandeja_SCTR[[#This Row],[FechaRecepcion]]),1))</f>
        <v>46296</v>
      </c>
      <c r="O202">
        <f>IF(Bandeja_SCTR[[#This Row],[Estado]]="FINALIZADO",1,0)</f>
        <v>0</v>
      </c>
      <c r="P202">
        <f>IF(Bandeja_SCTR[[#This Row],[CasoId]]="",0,IF(Bandeja_SCTR[[#This Row],[Estado]]="FINALIZADO",0,1))</f>
        <v>1</v>
      </c>
    </row>
    <row r="203" spans="1:16" hidden="1">
      <c r="A203" t="s">
        <v>856</v>
      </c>
      <c r="B203" t="s">
        <v>857</v>
      </c>
      <c r="C203" t="s">
        <v>858</v>
      </c>
      <c r="D203" s="1">
        <v>46311.48028935185</v>
      </c>
      <c r="E203" s="1">
        <v>46311.497650462959</v>
      </c>
      <c r="F203" s="1" t="s">
        <v>96</v>
      </c>
      <c r="G203" t="s">
        <v>30</v>
      </c>
      <c r="H203" s="1">
        <v>46311.497650462959</v>
      </c>
      <c r="I203" t="s">
        <v>97</v>
      </c>
      <c r="J203" t="s">
        <v>859</v>
      </c>
      <c r="K203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203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203" s="2">
        <f>IF(OR(Bandeja_SCTR[[#This Row],[FechaRecepcion]]="",Bandeja_SCTR[[#This Row],[FechaCierre]]=""),"",ROUND((Bandeja_SCTR[[#This Row],[FechaCierre]]-Bandeja_SCTR[[#This Row],[FechaRecepcion]])*24,1))</f>
        <v>0.4</v>
      </c>
      <c r="N203" s="3">
        <f>IF(Bandeja_SCTR[[#This Row],[FechaRecepcion]]="","",DATE(YEAR(Bandeja_SCTR[[#This Row],[FechaRecepcion]]),MONTH(Bandeja_SCTR[[#This Row],[FechaRecepcion]]),1))</f>
        <v>46296</v>
      </c>
      <c r="O203">
        <f>IF(Bandeja_SCTR[[#This Row],[Estado]]="FINALIZADO",1,0)</f>
        <v>1</v>
      </c>
      <c r="P203">
        <f>IF(Bandeja_SCTR[[#This Row],[CasoId]]="",0,IF(Bandeja_SCTR[[#This Row],[Estado]]="FINALIZADO",0,1))</f>
        <v>0</v>
      </c>
    </row>
    <row r="204" spans="1:16" hidden="1">
      <c r="A204" t="s">
        <v>860</v>
      </c>
      <c r="B204" t="s">
        <v>861</v>
      </c>
      <c r="C204" t="s">
        <v>862</v>
      </c>
      <c r="D204" s="1">
        <v>46311.488449074073</v>
      </c>
      <c r="E204" s="1">
        <v>46311.503703703704</v>
      </c>
      <c r="F204" s="1" t="s">
        <v>96</v>
      </c>
      <c r="G204" t="s">
        <v>30</v>
      </c>
      <c r="H204" s="1">
        <v>46311.503703703704</v>
      </c>
      <c r="I204" t="s">
        <v>97</v>
      </c>
      <c r="K204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204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204" s="2">
        <f>IF(OR(Bandeja_SCTR[[#This Row],[FechaRecepcion]]="",Bandeja_SCTR[[#This Row],[FechaCierre]]=""),"",ROUND((Bandeja_SCTR[[#This Row],[FechaCierre]]-Bandeja_SCTR[[#This Row],[FechaRecepcion]])*24,1))</f>
        <v>0.4</v>
      </c>
      <c r="N204" s="3">
        <f>IF(Bandeja_SCTR[[#This Row],[FechaRecepcion]]="","",DATE(YEAR(Bandeja_SCTR[[#This Row],[FechaRecepcion]]),MONTH(Bandeja_SCTR[[#This Row],[FechaRecepcion]]),1))</f>
        <v>46296</v>
      </c>
      <c r="O204">
        <f>IF(Bandeja_SCTR[[#This Row],[Estado]]="FINALIZADO",1,0)</f>
        <v>1</v>
      </c>
      <c r="P204">
        <f>IF(Bandeja_SCTR[[#This Row],[CasoId]]="",0,IF(Bandeja_SCTR[[#This Row],[Estado]]="FINALIZADO",0,1))</f>
        <v>0</v>
      </c>
    </row>
    <row r="205" spans="1:16">
      <c r="A205" t="s">
        <v>863</v>
      </c>
      <c r="B205" t="s">
        <v>864</v>
      </c>
      <c r="C205" t="s">
        <v>865</v>
      </c>
      <c r="D205" s="1">
        <v>46311.493090277778</v>
      </c>
      <c r="E205" s="1">
        <v>46311.74600694445</v>
      </c>
      <c r="F205" s="1" t="s">
        <v>29</v>
      </c>
      <c r="H205" s="1"/>
      <c r="I205" t="s">
        <v>29</v>
      </c>
      <c r="K205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3</v>
      </c>
      <c r="L205">
        <f ca="1">IF(Bandeja_SCTR[[#This Row],[FechaRecepcion]]="","",NETWORKDAYS(INT(Bandeja_SCTR[[#This Row],[FechaRecepcion]]),IF(Bandeja_SCTR[[#This Row],[FechaCierre]]="",TODAY(),INT(Bandeja_SCTR[[#This Row],[FechaCierre]])),DIAS_NOLAB[Feriados]))</f>
        <v>3</v>
      </c>
      <c r="M205" s="2" t="str">
        <f>IF(OR(Bandeja_SCTR[[#This Row],[FechaRecepcion]]="",Bandeja_SCTR[[#This Row],[FechaCierre]]=""),"",ROUND((Bandeja_SCTR[[#This Row],[FechaCierre]]-Bandeja_SCTR[[#This Row],[FechaRecepcion]])*24,1))</f>
        <v/>
      </c>
      <c r="N205" s="3">
        <f>IF(Bandeja_SCTR[[#This Row],[FechaRecepcion]]="","",DATE(YEAR(Bandeja_SCTR[[#This Row],[FechaRecepcion]]),MONTH(Bandeja_SCTR[[#This Row],[FechaRecepcion]]),1))</f>
        <v>46296</v>
      </c>
      <c r="O205">
        <f>IF(Bandeja_SCTR[[#This Row],[Estado]]="FINALIZADO",1,0)</f>
        <v>0</v>
      </c>
      <c r="P205">
        <f>IF(Bandeja_SCTR[[#This Row],[CasoId]]="",0,IF(Bandeja_SCTR[[#This Row],[Estado]]="FINALIZADO",0,1))</f>
        <v>1</v>
      </c>
    </row>
    <row r="206" spans="1:16">
      <c r="A206" t="s">
        <v>866</v>
      </c>
      <c r="B206" t="s">
        <v>867</v>
      </c>
      <c r="C206" t="s">
        <v>868</v>
      </c>
      <c r="D206" s="1">
        <v>46311.500335648147</v>
      </c>
      <c r="E206" s="1">
        <v>46311.500335648147</v>
      </c>
      <c r="F206" s="1" t="s">
        <v>144</v>
      </c>
      <c r="H206" s="1"/>
      <c r="I206" t="s">
        <v>210</v>
      </c>
      <c r="K206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3</v>
      </c>
      <c r="L206">
        <f ca="1">IF(Bandeja_SCTR[[#This Row],[FechaRecepcion]]="","",NETWORKDAYS(INT(Bandeja_SCTR[[#This Row],[FechaRecepcion]]),IF(Bandeja_SCTR[[#This Row],[FechaCierre]]="",TODAY(),INT(Bandeja_SCTR[[#This Row],[FechaCierre]])),DIAS_NOLAB[Feriados]))</f>
        <v>3</v>
      </c>
      <c r="M206" s="2" t="str">
        <f>IF(OR(Bandeja_SCTR[[#This Row],[FechaRecepcion]]="",Bandeja_SCTR[[#This Row],[FechaCierre]]=""),"",ROUND((Bandeja_SCTR[[#This Row],[FechaCierre]]-Bandeja_SCTR[[#This Row],[FechaRecepcion]])*24,1))</f>
        <v/>
      </c>
      <c r="N206" s="3">
        <f>IF(Bandeja_SCTR[[#This Row],[FechaRecepcion]]="","",DATE(YEAR(Bandeja_SCTR[[#This Row],[FechaRecepcion]]),MONTH(Bandeja_SCTR[[#This Row],[FechaRecepcion]]),1))</f>
        <v>46296</v>
      </c>
      <c r="O206">
        <f>IF(Bandeja_SCTR[[#This Row],[Estado]]="FINALIZADO",1,0)</f>
        <v>0</v>
      </c>
      <c r="P206">
        <f>IF(Bandeja_SCTR[[#This Row],[CasoId]]="",0,IF(Bandeja_SCTR[[#This Row],[Estado]]="FINALIZADO",0,1))</f>
        <v>1</v>
      </c>
    </row>
    <row r="207" spans="1:16">
      <c r="A207" t="s">
        <v>869</v>
      </c>
      <c r="B207" t="s">
        <v>870</v>
      </c>
      <c r="C207" t="s">
        <v>871</v>
      </c>
      <c r="D207" s="1">
        <v>46311.500451388885</v>
      </c>
      <c r="E207" s="1">
        <v>46311.500451388885</v>
      </c>
      <c r="F207" s="1" t="s">
        <v>144</v>
      </c>
      <c r="H207" s="1"/>
      <c r="I207" t="s">
        <v>210</v>
      </c>
      <c r="J207" t="s">
        <v>677</v>
      </c>
      <c r="K207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3</v>
      </c>
      <c r="L207">
        <f ca="1">IF(Bandeja_SCTR[[#This Row],[FechaRecepcion]]="","",NETWORKDAYS(INT(Bandeja_SCTR[[#This Row],[FechaRecepcion]]),IF(Bandeja_SCTR[[#This Row],[FechaCierre]]="",TODAY(),INT(Bandeja_SCTR[[#This Row],[FechaCierre]])),DIAS_NOLAB[Feriados]))</f>
        <v>3</v>
      </c>
      <c r="M207" s="2" t="str">
        <f>IF(OR(Bandeja_SCTR[[#This Row],[FechaRecepcion]]="",Bandeja_SCTR[[#This Row],[FechaCierre]]=""),"",ROUND((Bandeja_SCTR[[#This Row],[FechaCierre]]-Bandeja_SCTR[[#This Row],[FechaRecepcion]])*24,1))</f>
        <v/>
      </c>
      <c r="N207" s="3">
        <f>IF(Bandeja_SCTR[[#This Row],[FechaRecepcion]]="","",DATE(YEAR(Bandeja_SCTR[[#This Row],[FechaRecepcion]]),MONTH(Bandeja_SCTR[[#This Row],[FechaRecepcion]]),1))</f>
        <v>46296</v>
      </c>
      <c r="O207">
        <f>IF(Bandeja_SCTR[[#This Row],[Estado]]="FINALIZADO",1,0)</f>
        <v>0</v>
      </c>
      <c r="P207">
        <f>IF(Bandeja_SCTR[[#This Row],[CasoId]]="",0,IF(Bandeja_SCTR[[#This Row],[Estado]]="FINALIZADO",0,1))</f>
        <v>1</v>
      </c>
    </row>
    <row r="208" spans="1:16">
      <c r="A208" t="s">
        <v>872</v>
      </c>
      <c r="B208" t="s">
        <v>180</v>
      </c>
      <c r="C208" t="s">
        <v>873</v>
      </c>
      <c r="D208" s="1">
        <v>46311.502974537041</v>
      </c>
      <c r="E208" s="1">
        <v>46311.502974537041</v>
      </c>
      <c r="F208" s="1" t="s">
        <v>24</v>
      </c>
      <c r="H208" s="1"/>
      <c r="I208" t="s">
        <v>24</v>
      </c>
      <c r="J208" t="s">
        <v>874</v>
      </c>
      <c r="K208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3</v>
      </c>
      <c r="L208">
        <f ca="1">IF(Bandeja_SCTR[[#This Row],[FechaRecepcion]]="","",NETWORKDAYS(INT(Bandeja_SCTR[[#This Row],[FechaRecepcion]]),IF(Bandeja_SCTR[[#This Row],[FechaCierre]]="",TODAY(),INT(Bandeja_SCTR[[#This Row],[FechaCierre]])),DIAS_NOLAB[Feriados]))</f>
        <v>3</v>
      </c>
      <c r="M208" s="2" t="str">
        <f>IF(OR(Bandeja_SCTR[[#This Row],[FechaRecepcion]]="",Bandeja_SCTR[[#This Row],[FechaCierre]]=""),"",ROUND((Bandeja_SCTR[[#This Row],[FechaCierre]]-Bandeja_SCTR[[#This Row],[FechaRecepcion]])*24,1))</f>
        <v/>
      </c>
      <c r="N208" s="3">
        <f>IF(Bandeja_SCTR[[#This Row],[FechaRecepcion]]="","",DATE(YEAR(Bandeja_SCTR[[#This Row],[FechaRecepcion]]),MONTH(Bandeja_SCTR[[#This Row],[FechaRecepcion]]),1))</f>
        <v>46296</v>
      </c>
      <c r="O208">
        <f>IF(Bandeja_SCTR[[#This Row],[Estado]]="FINALIZADO",1,0)</f>
        <v>0</v>
      </c>
      <c r="P208">
        <f>IF(Bandeja_SCTR[[#This Row],[CasoId]]="",0,IF(Bandeja_SCTR[[#This Row],[Estado]]="FINALIZADO",0,1))</f>
        <v>1</v>
      </c>
    </row>
    <row r="209" spans="1:16">
      <c r="A209" t="s">
        <v>875</v>
      </c>
      <c r="B209" t="s">
        <v>689</v>
      </c>
      <c r="C209" t="s">
        <v>690</v>
      </c>
      <c r="D209" s="1">
        <v>46311.506909722222</v>
      </c>
      <c r="E209" s="1">
        <v>46315.559074074074</v>
      </c>
      <c r="F209" s="1" t="s">
        <v>144</v>
      </c>
      <c r="H209" s="1"/>
      <c r="I209" t="s">
        <v>210</v>
      </c>
      <c r="J209" t="s">
        <v>876</v>
      </c>
      <c r="K209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1</v>
      </c>
      <c r="L209">
        <f ca="1">IF(Bandeja_SCTR[[#This Row],[FechaRecepcion]]="","",NETWORKDAYS(INT(Bandeja_SCTR[[#This Row],[FechaRecepcion]]),IF(Bandeja_SCTR[[#This Row],[FechaCierre]]="",TODAY(),INT(Bandeja_SCTR[[#This Row],[FechaCierre]])),DIAS_NOLAB[Feriados]))</f>
        <v>3</v>
      </c>
      <c r="M209" s="2" t="str">
        <f>IF(OR(Bandeja_SCTR[[#This Row],[FechaRecepcion]]="",Bandeja_SCTR[[#This Row],[FechaCierre]]=""),"",ROUND((Bandeja_SCTR[[#This Row],[FechaCierre]]-Bandeja_SCTR[[#This Row],[FechaRecepcion]])*24,1))</f>
        <v/>
      </c>
      <c r="N209" s="3">
        <f>IF(Bandeja_SCTR[[#This Row],[FechaRecepcion]]="","",DATE(YEAR(Bandeja_SCTR[[#This Row],[FechaRecepcion]]),MONTH(Bandeja_SCTR[[#This Row],[FechaRecepcion]]),1))</f>
        <v>46296</v>
      </c>
      <c r="O209">
        <f>IF(Bandeja_SCTR[[#This Row],[Estado]]="FINALIZADO",1,0)</f>
        <v>0</v>
      </c>
      <c r="P209">
        <f>IF(Bandeja_SCTR[[#This Row],[CasoId]]="",0,IF(Bandeja_SCTR[[#This Row],[Estado]]="FINALIZADO",0,1))</f>
        <v>1</v>
      </c>
    </row>
    <row r="210" spans="1:16">
      <c r="A210" t="s">
        <v>877</v>
      </c>
      <c r="B210" t="s">
        <v>878</v>
      </c>
      <c r="C210" t="s">
        <v>879</v>
      </c>
      <c r="D210" s="1">
        <v>46311.507754629631</v>
      </c>
      <c r="E210" s="1">
        <v>46311.507754629631</v>
      </c>
      <c r="F210" s="1" t="s">
        <v>144</v>
      </c>
      <c r="H210" s="1"/>
      <c r="I210" t="s">
        <v>210</v>
      </c>
      <c r="K210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3</v>
      </c>
      <c r="L210">
        <f ca="1">IF(Bandeja_SCTR[[#This Row],[FechaRecepcion]]="","",NETWORKDAYS(INT(Bandeja_SCTR[[#This Row],[FechaRecepcion]]),IF(Bandeja_SCTR[[#This Row],[FechaCierre]]="",TODAY(),INT(Bandeja_SCTR[[#This Row],[FechaCierre]])),DIAS_NOLAB[Feriados]))</f>
        <v>3</v>
      </c>
      <c r="M210" s="2" t="str">
        <f>IF(OR(Bandeja_SCTR[[#This Row],[FechaRecepcion]]="",Bandeja_SCTR[[#This Row],[FechaCierre]]=""),"",ROUND((Bandeja_SCTR[[#This Row],[FechaCierre]]-Bandeja_SCTR[[#This Row],[FechaRecepcion]])*24,1))</f>
        <v/>
      </c>
      <c r="N210" s="3">
        <f>IF(Bandeja_SCTR[[#This Row],[FechaRecepcion]]="","",DATE(YEAR(Bandeja_SCTR[[#This Row],[FechaRecepcion]]),MONTH(Bandeja_SCTR[[#This Row],[FechaRecepcion]]),1))</f>
        <v>46296</v>
      </c>
      <c r="O210">
        <f>IF(Bandeja_SCTR[[#This Row],[Estado]]="FINALIZADO",1,0)</f>
        <v>0</v>
      </c>
      <c r="P210">
        <f>IF(Bandeja_SCTR[[#This Row],[CasoId]]="",0,IF(Bandeja_SCTR[[#This Row],[Estado]]="FINALIZADO",0,1))</f>
        <v>1</v>
      </c>
    </row>
    <row r="211" spans="1:16">
      <c r="A211" t="s">
        <v>880</v>
      </c>
      <c r="B211" t="s">
        <v>881</v>
      </c>
      <c r="C211" t="s">
        <v>882</v>
      </c>
      <c r="D211" s="1">
        <v>46311.514074074075</v>
      </c>
      <c r="E211" s="1">
        <v>46311.514074074075</v>
      </c>
      <c r="F211" s="1" t="s">
        <v>335</v>
      </c>
      <c r="H211" s="1"/>
      <c r="I211" t="s">
        <v>883</v>
      </c>
      <c r="J211" t="s">
        <v>534</v>
      </c>
      <c r="K211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3</v>
      </c>
      <c r="L211">
        <f ca="1">IF(Bandeja_SCTR[[#This Row],[FechaRecepcion]]="","",NETWORKDAYS(INT(Bandeja_SCTR[[#This Row],[FechaRecepcion]]),IF(Bandeja_SCTR[[#This Row],[FechaCierre]]="",TODAY(),INT(Bandeja_SCTR[[#This Row],[FechaCierre]])),DIAS_NOLAB[Feriados]))</f>
        <v>3</v>
      </c>
      <c r="M211" s="2" t="str">
        <f>IF(OR(Bandeja_SCTR[[#This Row],[FechaRecepcion]]="",Bandeja_SCTR[[#This Row],[FechaCierre]]=""),"",ROUND((Bandeja_SCTR[[#This Row],[FechaCierre]]-Bandeja_SCTR[[#This Row],[FechaRecepcion]])*24,1))</f>
        <v/>
      </c>
      <c r="N211" s="3">
        <f>IF(Bandeja_SCTR[[#This Row],[FechaRecepcion]]="","",DATE(YEAR(Bandeja_SCTR[[#This Row],[FechaRecepcion]]),MONTH(Bandeja_SCTR[[#This Row],[FechaRecepcion]]),1))</f>
        <v>46296</v>
      </c>
      <c r="O211">
        <f>IF(Bandeja_SCTR[[#This Row],[Estado]]="FINALIZADO",1,0)</f>
        <v>0</v>
      </c>
      <c r="P211">
        <f>IF(Bandeja_SCTR[[#This Row],[CasoId]]="",0,IF(Bandeja_SCTR[[#This Row],[Estado]]="FINALIZADO",0,1))</f>
        <v>1</v>
      </c>
    </row>
    <row r="212" spans="1:16">
      <c r="A212" t="s">
        <v>884</v>
      </c>
      <c r="B212" t="s">
        <v>885</v>
      </c>
      <c r="C212" t="s">
        <v>886</v>
      </c>
      <c r="D212" s="1">
        <v>46311.518055555556</v>
      </c>
      <c r="E212" s="1">
        <v>46311.518055555556</v>
      </c>
      <c r="F212" s="1" t="s">
        <v>138</v>
      </c>
      <c r="H212" s="1"/>
      <c r="I212" t="s">
        <v>139</v>
      </c>
      <c r="J212" t="s">
        <v>887</v>
      </c>
      <c r="K212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3</v>
      </c>
      <c r="L212">
        <f ca="1">IF(Bandeja_SCTR[[#This Row],[FechaRecepcion]]="","",NETWORKDAYS(INT(Bandeja_SCTR[[#This Row],[FechaRecepcion]]),IF(Bandeja_SCTR[[#This Row],[FechaCierre]]="",TODAY(),INT(Bandeja_SCTR[[#This Row],[FechaCierre]])),DIAS_NOLAB[Feriados]))</f>
        <v>3</v>
      </c>
      <c r="M212" s="2" t="str">
        <f>IF(OR(Bandeja_SCTR[[#This Row],[FechaRecepcion]]="",Bandeja_SCTR[[#This Row],[FechaCierre]]=""),"",ROUND((Bandeja_SCTR[[#This Row],[FechaCierre]]-Bandeja_SCTR[[#This Row],[FechaRecepcion]])*24,1))</f>
        <v/>
      </c>
      <c r="N212" s="3">
        <f>IF(Bandeja_SCTR[[#This Row],[FechaRecepcion]]="","",DATE(YEAR(Bandeja_SCTR[[#This Row],[FechaRecepcion]]),MONTH(Bandeja_SCTR[[#This Row],[FechaRecepcion]]),1))</f>
        <v>46296</v>
      </c>
      <c r="O212">
        <f>IF(Bandeja_SCTR[[#This Row],[Estado]]="FINALIZADO",1,0)</f>
        <v>0</v>
      </c>
      <c r="P212">
        <f>IF(Bandeja_SCTR[[#This Row],[CasoId]]="",0,IF(Bandeja_SCTR[[#This Row],[Estado]]="FINALIZADO",0,1))</f>
        <v>1</v>
      </c>
    </row>
    <row r="213" spans="1:16">
      <c r="A213" t="s">
        <v>888</v>
      </c>
      <c r="B213" t="s">
        <v>889</v>
      </c>
      <c r="C213" t="s">
        <v>890</v>
      </c>
      <c r="D213" s="1">
        <v>46311.52008101852</v>
      </c>
      <c r="E213" s="1">
        <v>46311.52008101852</v>
      </c>
      <c r="F213" s="1" t="s">
        <v>144</v>
      </c>
      <c r="H213" s="1"/>
      <c r="I213" t="s">
        <v>210</v>
      </c>
      <c r="K213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3</v>
      </c>
      <c r="L213">
        <f ca="1">IF(Bandeja_SCTR[[#This Row],[FechaRecepcion]]="","",NETWORKDAYS(INT(Bandeja_SCTR[[#This Row],[FechaRecepcion]]),IF(Bandeja_SCTR[[#This Row],[FechaCierre]]="",TODAY(),INT(Bandeja_SCTR[[#This Row],[FechaCierre]])),DIAS_NOLAB[Feriados]))</f>
        <v>3</v>
      </c>
      <c r="M213" s="2" t="str">
        <f>IF(OR(Bandeja_SCTR[[#This Row],[FechaRecepcion]]="",Bandeja_SCTR[[#This Row],[FechaCierre]]=""),"",ROUND((Bandeja_SCTR[[#This Row],[FechaCierre]]-Bandeja_SCTR[[#This Row],[FechaRecepcion]])*24,1))</f>
        <v/>
      </c>
      <c r="N213" s="3">
        <f>IF(Bandeja_SCTR[[#This Row],[FechaRecepcion]]="","",DATE(YEAR(Bandeja_SCTR[[#This Row],[FechaRecepcion]]),MONTH(Bandeja_SCTR[[#This Row],[FechaRecepcion]]),1))</f>
        <v>46296</v>
      </c>
      <c r="O213">
        <f>IF(Bandeja_SCTR[[#This Row],[Estado]]="FINALIZADO",1,0)</f>
        <v>0</v>
      </c>
      <c r="P213">
        <f>IF(Bandeja_SCTR[[#This Row],[CasoId]]="",0,IF(Bandeja_SCTR[[#This Row],[Estado]]="FINALIZADO",0,1))</f>
        <v>1</v>
      </c>
    </row>
    <row r="214" spans="1:16">
      <c r="A214" t="s">
        <v>891</v>
      </c>
      <c r="B214" t="s">
        <v>892</v>
      </c>
      <c r="C214" t="s">
        <v>893</v>
      </c>
      <c r="D214" s="1">
        <v>46311.531585648147</v>
      </c>
      <c r="E214" s="1">
        <v>46311.531585648147</v>
      </c>
      <c r="F214" s="1" t="s">
        <v>144</v>
      </c>
      <c r="H214" s="1"/>
      <c r="I214" t="s">
        <v>210</v>
      </c>
      <c r="J214" t="s">
        <v>534</v>
      </c>
      <c r="K214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3</v>
      </c>
      <c r="L214">
        <f ca="1">IF(Bandeja_SCTR[[#This Row],[FechaRecepcion]]="","",NETWORKDAYS(INT(Bandeja_SCTR[[#This Row],[FechaRecepcion]]),IF(Bandeja_SCTR[[#This Row],[FechaCierre]]="",TODAY(),INT(Bandeja_SCTR[[#This Row],[FechaCierre]])),DIAS_NOLAB[Feriados]))</f>
        <v>3</v>
      </c>
      <c r="M214" s="2" t="str">
        <f>IF(OR(Bandeja_SCTR[[#This Row],[FechaRecepcion]]="",Bandeja_SCTR[[#This Row],[FechaCierre]]=""),"",ROUND((Bandeja_SCTR[[#This Row],[FechaCierre]]-Bandeja_SCTR[[#This Row],[FechaRecepcion]])*24,1))</f>
        <v/>
      </c>
      <c r="N214" s="3">
        <f>IF(Bandeja_SCTR[[#This Row],[FechaRecepcion]]="","",DATE(YEAR(Bandeja_SCTR[[#This Row],[FechaRecepcion]]),MONTH(Bandeja_SCTR[[#This Row],[FechaRecepcion]]),1))</f>
        <v>46296</v>
      </c>
      <c r="O214">
        <f>IF(Bandeja_SCTR[[#This Row],[Estado]]="FINALIZADO",1,0)</f>
        <v>0</v>
      </c>
      <c r="P214">
        <f>IF(Bandeja_SCTR[[#This Row],[CasoId]]="",0,IF(Bandeja_SCTR[[#This Row],[Estado]]="FINALIZADO",0,1))</f>
        <v>1</v>
      </c>
    </row>
    <row r="215" spans="1:16">
      <c r="A215" t="s">
        <v>894</v>
      </c>
      <c r="B215" t="s">
        <v>895</v>
      </c>
      <c r="C215" t="s">
        <v>896</v>
      </c>
      <c r="D215" s="1">
        <v>46311.534351851849</v>
      </c>
      <c r="E215" s="1">
        <v>46311.534351851849</v>
      </c>
      <c r="F215" s="1" t="s">
        <v>133</v>
      </c>
      <c r="H215" s="1"/>
      <c r="I215" t="s">
        <v>133</v>
      </c>
      <c r="J215" t="s">
        <v>897</v>
      </c>
      <c r="K215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3</v>
      </c>
      <c r="L215">
        <f ca="1">IF(Bandeja_SCTR[[#This Row],[FechaRecepcion]]="","",NETWORKDAYS(INT(Bandeja_SCTR[[#This Row],[FechaRecepcion]]),IF(Bandeja_SCTR[[#This Row],[FechaCierre]]="",TODAY(),INT(Bandeja_SCTR[[#This Row],[FechaCierre]])),DIAS_NOLAB[Feriados]))</f>
        <v>3</v>
      </c>
      <c r="M215" s="2" t="str">
        <f>IF(OR(Bandeja_SCTR[[#This Row],[FechaRecepcion]]="",Bandeja_SCTR[[#This Row],[FechaCierre]]=""),"",ROUND((Bandeja_SCTR[[#This Row],[FechaCierre]]-Bandeja_SCTR[[#This Row],[FechaRecepcion]])*24,1))</f>
        <v/>
      </c>
      <c r="N215" s="3">
        <f>IF(Bandeja_SCTR[[#This Row],[FechaRecepcion]]="","",DATE(YEAR(Bandeja_SCTR[[#This Row],[FechaRecepcion]]),MONTH(Bandeja_SCTR[[#This Row],[FechaRecepcion]]),1))</f>
        <v>46296</v>
      </c>
      <c r="O215">
        <f>IF(Bandeja_SCTR[[#This Row],[Estado]]="FINALIZADO",1,0)</f>
        <v>0</v>
      </c>
      <c r="P215">
        <f>IF(Bandeja_SCTR[[#This Row],[CasoId]]="",0,IF(Bandeja_SCTR[[#This Row],[Estado]]="FINALIZADO",0,1))</f>
        <v>1</v>
      </c>
    </row>
    <row r="216" spans="1:16">
      <c r="A216" t="s">
        <v>898</v>
      </c>
      <c r="B216" t="s">
        <v>899</v>
      </c>
      <c r="C216" t="s">
        <v>900</v>
      </c>
      <c r="D216" s="1">
        <v>46311.536192129628</v>
      </c>
      <c r="E216" s="1">
        <v>46311.536192129628</v>
      </c>
      <c r="F216" s="1" t="s">
        <v>144</v>
      </c>
      <c r="H216" s="1"/>
      <c r="I216" t="s">
        <v>210</v>
      </c>
      <c r="K216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3</v>
      </c>
      <c r="L216">
        <f ca="1">IF(Bandeja_SCTR[[#This Row],[FechaRecepcion]]="","",NETWORKDAYS(INT(Bandeja_SCTR[[#This Row],[FechaRecepcion]]),IF(Bandeja_SCTR[[#This Row],[FechaCierre]]="",TODAY(),INT(Bandeja_SCTR[[#This Row],[FechaCierre]])),DIAS_NOLAB[Feriados]))</f>
        <v>3</v>
      </c>
      <c r="M216" s="2" t="str">
        <f>IF(OR(Bandeja_SCTR[[#This Row],[FechaRecepcion]]="",Bandeja_SCTR[[#This Row],[FechaCierre]]=""),"",ROUND((Bandeja_SCTR[[#This Row],[FechaCierre]]-Bandeja_SCTR[[#This Row],[FechaRecepcion]])*24,1))</f>
        <v/>
      </c>
      <c r="N216" s="3">
        <f>IF(Bandeja_SCTR[[#This Row],[FechaRecepcion]]="","",DATE(YEAR(Bandeja_SCTR[[#This Row],[FechaRecepcion]]),MONTH(Bandeja_SCTR[[#This Row],[FechaRecepcion]]),1))</f>
        <v>46296</v>
      </c>
      <c r="O216">
        <f>IF(Bandeja_SCTR[[#This Row],[Estado]]="FINALIZADO",1,0)</f>
        <v>0</v>
      </c>
      <c r="P216">
        <f>IF(Bandeja_SCTR[[#This Row],[CasoId]]="",0,IF(Bandeja_SCTR[[#This Row],[Estado]]="FINALIZADO",0,1))</f>
        <v>1</v>
      </c>
    </row>
    <row r="217" spans="1:16">
      <c r="A217" t="s">
        <v>901</v>
      </c>
      <c r="B217" t="s">
        <v>902</v>
      </c>
      <c r="C217" t="s">
        <v>903</v>
      </c>
      <c r="D217" s="1">
        <v>46311.536724537036</v>
      </c>
      <c r="E217" s="1">
        <v>46314.588865740741</v>
      </c>
      <c r="F217" s="1" t="s">
        <v>91</v>
      </c>
      <c r="H217" s="1"/>
      <c r="I217" t="s">
        <v>91</v>
      </c>
      <c r="K217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2</v>
      </c>
      <c r="L217">
        <f ca="1">IF(Bandeja_SCTR[[#This Row],[FechaRecepcion]]="","",NETWORKDAYS(INT(Bandeja_SCTR[[#This Row],[FechaRecepcion]]),IF(Bandeja_SCTR[[#This Row],[FechaCierre]]="",TODAY(),INT(Bandeja_SCTR[[#This Row],[FechaCierre]])),DIAS_NOLAB[Feriados]))</f>
        <v>3</v>
      </c>
      <c r="M217" s="2" t="str">
        <f>IF(OR(Bandeja_SCTR[[#This Row],[FechaRecepcion]]="",Bandeja_SCTR[[#This Row],[FechaCierre]]=""),"",ROUND((Bandeja_SCTR[[#This Row],[FechaCierre]]-Bandeja_SCTR[[#This Row],[FechaRecepcion]])*24,1))</f>
        <v/>
      </c>
      <c r="N217" s="3">
        <f>IF(Bandeja_SCTR[[#This Row],[FechaRecepcion]]="","",DATE(YEAR(Bandeja_SCTR[[#This Row],[FechaRecepcion]]),MONTH(Bandeja_SCTR[[#This Row],[FechaRecepcion]]),1))</f>
        <v>46296</v>
      </c>
      <c r="O217">
        <f>IF(Bandeja_SCTR[[#This Row],[Estado]]="FINALIZADO",1,0)</f>
        <v>0</v>
      </c>
      <c r="P217">
        <f>IF(Bandeja_SCTR[[#This Row],[CasoId]]="",0,IF(Bandeja_SCTR[[#This Row],[Estado]]="FINALIZADO",0,1))</f>
        <v>1</v>
      </c>
    </row>
    <row r="218" spans="1:16">
      <c r="A218" t="s">
        <v>904</v>
      </c>
      <c r="B218" t="s">
        <v>905</v>
      </c>
      <c r="C218" t="s">
        <v>906</v>
      </c>
      <c r="D218" s="1">
        <v>46311.537164351852</v>
      </c>
      <c r="E218" s="1">
        <v>46311.537164351852</v>
      </c>
      <c r="F218" s="1" t="s">
        <v>335</v>
      </c>
      <c r="H218" s="1"/>
      <c r="I218" t="s">
        <v>883</v>
      </c>
      <c r="J218" t="s">
        <v>620</v>
      </c>
      <c r="K218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3</v>
      </c>
      <c r="L218">
        <f ca="1">IF(Bandeja_SCTR[[#This Row],[FechaRecepcion]]="","",NETWORKDAYS(INT(Bandeja_SCTR[[#This Row],[FechaRecepcion]]),IF(Bandeja_SCTR[[#This Row],[FechaCierre]]="",TODAY(),INT(Bandeja_SCTR[[#This Row],[FechaCierre]])),DIAS_NOLAB[Feriados]))</f>
        <v>3</v>
      </c>
      <c r="M218" s="2" t="str">
        <f>IF(OR(Bandeja_SCTR[[#This Row],[FechaRecepcion]]="",Bandeja_SCTR[[#This Row],[FechaCierre]]=""),"",ROUND((Bandeja_SCTR[[#This Row],[FechaCierre]]-Bandeja_SCTR[[#This Row],[FechaRecepcion]])*24,1))</f>
        <v/>
      </c>
      <c r="N218" s="3">
        <f>IF(Bandeja_SCTR[[#This Row],[FechaRecepcion]]="","",DATE(YEAR(Bandeja_SCTR[[#This Row],[FechaRecepcion]]),MONTH(Bandeja_SCTR[[#This Row],[FechaRecepcion]]),1))</f>
        <v>46296</v>
      </c>
      <c r="O218">
        <f>IF(Bandeja_SCTR[[#This Row],[Estado]]="FINALIZADO",1,0)</f>
        <v>0</v>
      </c>
      <c r="P218">
        <f>IF(Bandeja_SCTR[[#This Row],[CasoId]]="",0,IF(Bandeja_SCTR[[#This Row],[Estado]]="FINALIZADO",0,1))</f>
        <v>1</v>
      </c>
    </row>
    <row r="219" spans="1:16">
      <c r="A219" t="s">
        <v>907</v>
      </c>
      <c r="B219" t="s">
        <v>908</v>
      </c>
      <c r="C219" t="s">
        <v>909</v>
      </c>
      <c r="D219" s="1">
        <v>46311.54760416667</v>
      </c>
      <c r="E219" s="1">
        <v>46311.54760416667</v>
      </c>
      <c r="F219" s="1" t="s">
        <v>910</v>
      </c>
      <c r="H219" s="1"/>
      <c r="I219" t="s">
        <v>910</v>
      </c>
      <c r="K219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3</v>
      </c>
      <c r="L219">
        <f ca="1">IF(Bandeja_SCTR[[#This Row],[FechaRecepcion]]="","",NETWORKDAYS(INT(Bandeja_SCTR[[#This Row],[FechaRecepcion]]),IF(Bandeja_SCTR[[#This Row],[FechaCierre]]="",TODAY(),INT(Bandeja_SCTR[[#This Row],[FechaCierre]])),DIAS_NOLAB[Feriados]))</f>
        <v>3</v>
      </c>
      <c r="M219" s="2" t="str">
        <f>IF(OR(Bandeja_SCTR[[#This Row],[FechaRecepcion]]="",Bandeja_SCTR[[#This Row],[FechaCierre]]=""),"",ROUND((Bandeja_SCTR[[#This Row],[FechaCierre]]-Bandeja_SCTR[[#This Row],[FechaRecepcion]])*24,1))</f>
        <v/>
      </c>
      <c r="N219" s="3">
        <f>IF(Bandeja_SCTR[[#This Row],[FechaRecepcion]]="","",DATE(YEAR(Bandeja_SCTR[[#This Row],[FechaRecepcion]]),MONTH(Bandeja_SCTR[[#This Row],[FechaRecepcion]]),1))</f>
        <v>46296</v>
      </c>
      <c r="O219">
        <f>IF(Bandeja_SCTR[[#This Row],[Estado]]="FINALIZADO",1,0)</f>
        <v>0</v>
      </c>
      <c r="P219">
        <f>IF(Bandeja_SCTR[[#This Row],[CasoId]]="",0,IF(Bandeja_SCTR[[#This Row],[Estado]]="FINALIZADO",0,1))</f>
        <v>1</v>
      </c>
    </row>
    <row r="220" spans="1:16">
      <c r="A220" t="s">
        <v>911</v>
      </c>
      <c r="B220" t="s">
        <v>778</v>
      </c>
      <c r="C220" t="s">
        <v>912</v>
      </c>
      <c r="D220" s="1">
        <v>46311.549062499995</v>
      </c>
      <c r="E220" s="1">
        <v>46311.549062499995</v>
      </c>
      <c r="F220" s="1" t="s">
        <v>913</v>
      </c>
      <c r="H220" s="1"/>
      <c r="I220" t="s">
        <v>913</v>
      </c>
      <c r="J220" t="s">
        <v>914</v>
      </c>
      <c r="K220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3</v>
      </c>
      <c r="L220">
        <f ca="1">IF(Bandeja_SCTR[[#This Row],[FechaRecepcion]]="","",NETWORKDAYS(INT(Bandeja_SCTR[[#This Row],[FechaRecepcion]]),IF(Bandeja_SCTR[[#This Row],[FechaCierre]]="",TODAY(),INT(Bandeja_SCTR[[#This Row],[FechaCierre]])),DIAS_NOLAB[Feriados]))</f>
        <v>3</v>
      </c>
      <c r="M220" s="2" t="str">
        <f>IF(OR(Bandeja_SCTR[[#This Row],[FechaRecepcion]]="",Bandeja_SCTR[[#This Row],[FechaCierre]]=""),"",ROUND((Bandeja_SCTR[[#This Row],[FechaCierre]]-Bandeja_SCTR[[#This Row],[FechaRecepcion]])*24,1))</f>
        <v/>
      </c>
      <c r="N220" s="3">
        <f>IF(Bandeja_SCTR[[#This Row],[FechaRecepcion]]="","",DATE(YEAR(Bandeja_SCTR[[#This Row],[FechaRecepcion]]),MONTH(Bandeja_SCTR[[#This Row],[FechaRecepcion]]),1))</f>
        <v>46296</v>
      </c>
      <c r="O220">
        <f>IF(Bandeja_SCTR[[#This Row],[Estado]]="FINALIZADO",1,0)</f>
        <v>0</v>
      </c>
      <c r="P220">
        <f>IF(Bandeja_SCTR[[#This Row],[CasoId]]="",0,IF(Bandeja_SCTR[[#This Row],[Estado]]="FINALIZADO",0,1))</f>
        <v>1</v>
      </c>
    </row>
    <row r="221" spans="1:16" hidden="1">
      <c r="A221" t="s">
        <v>915</v>
      </c>
      <c r="B221" t="s">
        <v>213</v>
      </c>
      <c r="C221" t="s">
        <v>214</v>
      </c>
      <c r="D221" s="1">
        <v>46311.55300925926</v>
      </c>
      <c r="E221" s="1">
        <v>46311.586817129632</v>
      </c>
      <c r="F221" s="1" t="s">
        <v>96</v>
      </c>
      <c r="G221" t="s">
        <v>30</v>
      </c>
      <c r="H221" s="1">
        <v>46311.586817129632</v>
      </c>
      <c r="I221" t="s">
        <v>97</v>
      </c>
      <c r="J221" t="s">
        <v>916</v>
      </c>
      <c r="K221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221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221" s="2">
        <f>IF(OR(Bandeja_SCTR[[#This Row],[FechaRecepcion]]="",Bandeja_SCTR[[#This Row],[FechaCierre]]=""),"",ROUND((Bandeja_SCTR[[#This Row],[FechaCierre]]-Bandeja_SCTR[[#This Row],[FechaRecepcion]])*24,1))</f>
        <v>0.8</v>
      </c>
      <c r="N221" s="3">
        <f>IF(Bandeja_SCTR[[#This Row],[FechaRecepcion]]="","",DATE(YEAR(Bandeja_SCTR[[#This Row],[FechaRecepcion]]),MONTH(Bandeja_SCTR[[#This Row],[FechaRecepcion]]),1))</f>
        <v>46296</v>
      </c>
      <c r="O221">
        <f>IF(Bandeja_SCTR[[#This Row],[Estado]]="FINALIZADO",1,0)</f>
        <v>1</v>
      </c>
      <c r="P221">
        <f>IF(Bandeja_SCTR[[#This Row],[CasoId]]="",0,IF(Bandeja_SCTR[[#This Row],[Estado]]="FINALIZADO",0,1))</f>
        <v>0</v>
      </c>
    </row>
    <row r="222" spans="1:16">
      <c r="A222" t="s">
        <v>917</v>
      </c>
      <c r="B222" t="s">
        <v>767</v>
      </c>
      <c r="C222" t="s">
        <v>918</v>
      </c>
      <c r="D222" s="1">
        <v>46311.554259259261</v>
      </c>
      <c r="E222" s="1">
        <v>46315.632430555561</v>
      </c>
      <c r="F222" s="1" t="s">
        <v>919</v>
      </c>
      <c r="H222" s="1"/>
      <c r="I222" t="s">
        <v>920</v>
      </c>
      <c r="J222" t="s">
        <v>921</v>
      </c>
      <c r="K222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1</v>
      </c>
      <c r="L222">
        <f ca="1">IF(Bandeja_SCTR[[#This Row],[FechaRecepcion]]="","",NETWORKDAYS(INT(Bandeja_SCTR[[#This Row],[FechaRecepcion]]),IF(Bandeja_SCTR[[#This Row],[FechaCierre]]="",TODAY(),INT(Bandeja_SCTR[[#This Row],[FechaCierre]])),DIAS_NOLAB[Feriados]))</f>
        <v>3</v>
      </c>
      <c r="M222" s="2" t="str">
        <f>IF(OR(Bandeja_SCTR[[#This Row],[FechaRecepcion]]="",Bandeja_SCTR[[#This Row],[FechaCierre]]=""),"",ROUND((Bandeja_SCTR[[#This Row],[FechaCierre]]-Bandeja_SCTR[[#This Row],[FechaRecepcion]])*24,1))</f>
        <v/>
      </c>
      <c r="N222" s="3">
        <f>IF(Bandeja_SCTR[[#This Row],[FechaRecepcion]]="","",DATE(YEAR(Bandeja_SCTR[[#This Row],[FechaRecepcion]]),MONTH(Bandeja_SCTR[[#This Row],[FechaRecepcion]]),1))</f>
        <v>46296</v>
      </c>
      <c r="O222">
        <f>IF(Bandeja_SCTR[[#This Row],[Estado]]="FINALIZADO",1,0)</f>
        <v>0</v>
      </c>
      <c r="P222">
        <f>IF(Bandeja_SCTR[[#This Row],[CasoId]]="",0,IF(Bandeja_SCTR[[#This Row],[Estado]]="FINALIZADO",0,1))</f>
        <v>1</v>
      </c>
    </row>
    <row r="223" spans="1:16">
      <c r="A223" t="s">
        <v>922</v>
      </c>
      <c r="B223" t="s">
        <v>923</v>
      </c>
      <c r="C223" t="s">
        <v>924</v>
      </c>
      <c r="D223" s="1">
        <v>46311.562824074077</v>
      </c>
      <c r="E223" s="1">
        <v>46311.562824074077</v>
      </c>
      <c r="F223" s="1" t="s">
        <v>144</v>
      </c>
      <c r="H223" s="1"/>
      <c r="I223" t="s">
        <v>210</v>
      </c>
      <c r="J223" t="s">
        <v>925</v>
      </c>
      <c r="K223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3</v>
      </c>
      <c r="L223">
        <f ca="1">IF(Bandeja_SCTR[[#This Row],[FechaRecepcion]]="","",NETWORKDAYS(INT(Bandeja_SCTR[[#This Row],[FechaRecepcion]]),IF(Bandeja_SCTR[[#This Row],[FechaCierre]]="",TODAY(),INT(Bandeja_SCTR[[#This Row],[FechaCierre]])),DIAS_NOLAB[Feriados]))</f>
        <v>3</v>
      </c>
      <c r="M223" s="2" t="str">
        <f>IF(OR(Bandeja_SCTR[[#This Row],[FechaRecepcion]]="",Bandeja_SCTR[[#This Row],[FechaCierre]]=""),"",ROUND((Bandeja_SCTR[[#This Row],[FechaCierre]]-Bandeja_SCTR[[#This Row],[FechaRecepcion]])*24,1))</f>
        <v/>
      </c>
      <c r="N223" s="3">
        <f>IF(Bandeja_SCTR[[#This Row],[FechaRecepcion]]="","",DATE(YEAR(Bandeja_SCTR[[#This Row],[FechaRecepcion]]),MONTH(Bandeja_SCTR[[#This Row],[FechaRecepcion]]),1))</f>
        <v>46296</v>
      </c>
      <c r="O223">
        <f>IF(Bandeja_SCTR[[#This Row],[Estado]]="FINALIZADO",1,0)</f>
        <v>0</v>
      </c>
      <c r="P223">
        <f>IF(Bandeja_SCTR[[#This Row],[CasoId]]="",0,IF(Bandeja_SCTR[[#This Row],[Estado]]="FINALIZADO",0,1))</f>
        <v>1</v>
      </c>
    </row>
    <row r="224" spans="1:16">
      <c r="A224" t="s">
        <v>926</v>
      </c>
      <c r="B224" t="s">
        <v>927</v>
      </c>
      <c r="C224" t="s">
        <v>928</v>
      </c>
      <c r="D224" s="1">
        <v>46311.581620370373</v>
      </c>
      <c r="E224" s="1">
        <v>46315.402916666666</v>
      </c>
      <c r="F224" s="1" t="s">
        <v>144</v>
      </c>
      <c r="H224" s="1"/>
      <c r="I224" t="s">
        <v>210</v>
      </c>
      <c r="K224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1</v>
      </c>
      <c r="L224">
        <f ca="1">IF(Bandeja_SCTR[[#This Row],[FechaRecepcion]]="","",NETWORKDAYS(INT(Bandeja_SCTR[[#This Row],[FechaRecepcion]]),IF(Bandeja_SCTR[[#This Row],[FechaCierre]]="",TODAY(),INT(Bandeja_SCTR[[#This Row],[FechaCierre]])),DIAS_NOLAB[Feriados]))</f>
        <v>3</v>
      </c>
      <c r="M224" s="2" t="str">
        <f>IF(OR(Bandeja_SCTR[[#This Row],[FechaRecepcion]]="",Bandeja_SCTR[[#This Row],[FechaCierre]]=""),"",ROUND((Bandeja_SCTR[[#This Row],[FechaCierre]]-Bandeja_SCTR[[#This Row],[FechaRecepcion]])*24,1))</f>
        <v/>
      </c>
      <c r="N224" s="3">
        <f>IF(Bandeja_SCTR[[#This Row],[FechaRecepcion]]="","",DATE(YEAR(Bandeja_SCTR[[#This Row],[FechaRecepcion]]),MONTH(Bandeja_SCTR[[#This Row],[FechaRecepcion]]),1))</f>
        <v>46296</v>
      </c>
      <c r="O224">
        <f>IF(Bandeja_SCTR[[#This Row],[Estado]]="FINALIZADO",1,0)</f>
        <v>0</v>
      </c>
      <c r="P224">
        <f>IF(Bandeja_SCTR[[#This Row],[CasoId]]="",0,IF(Bandeja_SCTR[[#This Row],[Estado]]="FINALIZADO",0,1))</f>
        <v>1</v>
      </c>
    </row>
    <row r="225" spans="1:16" hidden="1">
      <c r="A225" t="s">
        <v>929</v>
      </c>
      <c r="B225" t="s">
        <v>930</v>
      </c>
      <c r="C225" t="s">
        <v>931</v>
      </c>
      <c r="D225" s="1">
        <v>46311.584444444445</v>
      </c>
      <c r="E225" s="1">
        <v>46311.588425925926</v>
      </c>
      <c r="F225" s="1" t="s">
        <v>96</v>
      </c>
      <c r="G225" t="s">
        <v>30</v>
      </c>
      <c r="H225" s="1">
        <v>46311.588425925926</v>
      </c>
      <c r="I225" t="s">
        <v>97</v>
      </c>
      <c r="K225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225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225" s="2">
        <f>IF(OR(Bandeja_SCTR[[#This Row],[FechaRecepcion]]="",Bandeja_SCTR[[#This Row],[FechaCierre]]=""),"",ROUND((Bandeja_SCTR[[#This Row],[FechaCierre]]-Bandeja_SCTR[[#This Row],[FechaRecepcion]])*24,1))</f>
        <v>0.1</v>
      </c>
      <c r="N225" s="3">
        <f>IF(Bandeja_SCTR[[#This Row],[FechaRecepcion]]="","",DATE(YEAR(Bandeja_SCTR[[#This Row],[FechaRecepcion]]),MONTH(Bandeja_SCTR[[#This Row],[FechaRecepcion]]),1))</f>
        <v>46296</v>
      </c>
      <c r="O225">
        <f>IF(Bandeja_SCTR[[#This Row],[Estado]]="FINALIZADO",1,0)</f>
        <v>1</v>
      </c>
      <c r="P225">
        <f>IF(Bandeja_SCTR[[#This Row],[CasoId]]="",0,IF(Bandeja_SCTR[[#This Row],[Estado]]="FINALIZADO",0,1))</f>
        <v>0</v>
      </c>
    </row>
    <row r="226" spans="1:16">
      <c r="A226" t="s">
        <v>932</v>
      </c>
      <c r="B226" t="s">
        <v>933</v>
      </c>
      <c r="C226" t="s">
        <v>934</v>
      </c>
      <c r="D226" s="1">
        <v>46311.605393518519</v>
      </c>
      <c r="E226" s="1">
        <v>46311.605393518519</v>
      </c>
      <c r="F226" s="1" t="s">
        <v>935</v>
      </c>
      <c r="H226" s="1"/>
      <c r="I226" t="s">
        <v>935</v>
      </c>
      <c r="K226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3</v>
      </c>
      <c r="L226">
        <f ca="1">IF(Bandeja_SCTR[[#This Row],[FechaRecepcion]]="","",NETWORKDAYS(INT(Bandeja_SCTR[[#This Row],[FechaRecepcion]]),IF(Bandeja_SCTR[[#This Row],[FechaCierre]]="",TODAY(),INT(Bandeja_SCTR[[#This Row],[FechaCierre]])),DIAS_NOLAB[Feriados]))</f>
        <v>3</v>
      </c>
      <c r="M226" s="2" t="str">
        <f>IF(OR(Bandeja_SCTR[[#This Row],[FechaRecepcion]]="",Bandeja_SCTR[[#This Row],[FechaCierre]]=""),"",ROUND((Bandeja_SCTR[[#This Row],[FechaCierre]]-Bandeja_SCTR[[#This Row],[FechaRecepcion]])*24,1))</f>
        <v/>
      </c>
      <c r="N226" s="3">
        <f>IF(Bandeja_SCTR[[#This Row],[FechaRecepcion]]="","",DATE(YEAR(Bandeja_SCTR[[#This Row],[FechaRecepcion]]),MONTH(Bandeja_SCTR[[#This Row],[FechaRecepcion]]),1))</f>
        <v>46296</v>
      </c>
      <c r="O226">
        <f>IF(Bandeja_SCTR[[#This Row],[Estado]]="FINALIZADO",1,0)</f>
        <v>0</v>
      </c>
      <c r="P226">
        <f>IF(Bandeja_SCTR[[#This Row],[CasoId]]="",0,IF(Bandeja_SCTR[[#This Row],[Estado]]="FINALIZADO",0,1))</f>
        <v>1</v>
      </c>
    </row>
    <row r="227" spans="1:16">
      <c r="A227" t="s">
        <v>936</v>
      </c>
      <c r="B227" t="s">
        <v>937</v>
      </c>
      <c r="C227" t="s">
        <v>934</v>
      </c>
      <c r="D227" s="1">
        <v>46311.605613425927</v>
      </c>
      <c r="E227" s="1">
        <v>46311.605613425927</v>
      </c>
      <c r="F227" s="1" t="s">
        <v>935</v>
      </c>
      <c r="H227" s="1"/>
      <c r="I227" t="s">
        <v>935</v>
      </c>
      <c r="K227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3</v>
      </c>
      <c r="L227">
        <f ca="1">IF(Bandeja_SCTR[[#This Row],[FechaRecepcion]]="","",NETWORKDAYS(INT(Bandeja_SCTR[[#This Row],[FechaRecepcion]]),IF(Bandeja_SCTR[[#This Row],[FechaCierre]]="",TODAY(),INT(Bandeja_SCTR[[#This Row],[FechaCierre]])),DIAS_NOLAB[Feriados]))</f>
        <v>3</v>
      </c>
      <c r="M227" s="2" t="str">
        <f>IF(OR(Bandeja_SCTR[[#This Row],[FechaRecepcion]]="",Bandeja_SCTR[[#This Row],[FechaCierre]]=""),"",ROUND((Bandeja_SCTR[[#This Row],[FechaCierre]]-Bandeja_SCTR[[#This Row],[FechaRecepcion]])*24,1))</f>
        <v/>
      </c>
      <c r="N227" s="3">
        <f>IF(Bandeja_SCTR[[#This Row],[FechaRecepcion]]="","",DATE(YEAR(Bandeja_SCTR[[#This Row],[FechaRecepcion]]),MONTH(Bandeja_SCTR[[#This Row],[FechaRecepcion]]),1))</f>
        <v>46296</v>
      </c>
      <c r="O227">
        <f>IF(Bandeja_SCTR[[#This Row],[Estado]]="FINALIZADO",1,0)</f>
        <v>0</v>
      </c>
      <c r="P227">
        <f>IF(Bandeja_SCTR[[#This Row],[CasoId]]="",0,IF(Bandeja_SCTR[[#This Row],[Estado]]="FINALIZADO",0,1))</f>
        <v>1</v>
      </c>
    </row>
    <row r="228" spans="1:16" hidden="1">
      <c r="A228" t="s">
        <v>938</v>
      </c>
      <c r="B228" t="s">
        <v>939</v>
      </c>
      <c r="C228" t="s">
        <v>940</v>
      </c>
      <c r="D228" s="1">
        <v>46311.61854166667</v>
      </c>
      <c r="E228" s="1">
        <v>46311.697013888886</v>
      </c>
      <c r="F228" s="1" t="s">
        <v>96</v>
      </c>
      <c r="G228" t="s">
        <v>30</v>
      </c>
      <c r="H228" s="1">
        <v>46311.697013888886</v>
      </c>
      <c r="I228" t="s">
        <v>97</v>
      </c>
      <c r="J228" t="s">
        <v>941</v>
      </c>
      <c r="K228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228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228" s="2">
        <f>IF(OR(Bandeja_SCTR[[#This Row],[FechaRecepcion]]="",Bandeja_SCTR[[#This Row],[FechaCierre]]=""),"",ROUND((Bandeja_SCTR[[#This Row],[FechaCierre]]-Bandeja_SCTR[[#This Row],[FechaRecepcion]])*24,1))</f>
        <v>1.9</v>
      </c>
      <c r="N228" s="3">
        <f>IF(Bandeja_SCTR[[#This Row],[FechaRecepcion]]="","",DATE(YEAR(Bandeja_SCTR[[#This Row],[FechaRecepcion]]),MONTH(Bandeja_SCTR[[#This Row],[FechaRecepcion]]),1))</f>
        <v>46296</v>
      </c>
      <c r="O228">
        <f>IF(Bandeja_SCTR[[#This Row],[Estado]]="FINALIZADO",1,0)</f>
        <v>1</v>
      </c>
      <c r="P228">
        <f>IF(Bandeja_SCTR[[#This Row],[CasoId]]="",0,IF(Bandeja_SCTR[[#This Row],[Estado]]="FINALIZADO",0,1))</f>
        <v>0</v>
      </c>
    </row>
    <row r="229" spans="1:16">
      <c r="A229" t="s">
        <v>942</v>
      </c>
      <c r="B229" t="s">
        <v>943</v>
      </c>
      <c r="C229" t="s">
        <v>944</v>
      </c>
      <c r="D229" s="1">
        <v>46311.619120370371</v>
      </c>
      <c r="E229" s="1">
        <v>46311.619120370371</v>
      </c>
      <c r="F229" s="1" t="s">
        <v>945</v>
      </c>
      <c r="H229" s="1"/>
      <c r="I229" t="s">
        <v>945</v>
      </c>
      <c r="K229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3</v>
      </c>
      <c r="L229">
        <f ca="1">IF(Bandeja_SCTR[[#This Row],[FechaRecepcion]]="","",NETWORKDAYS(INT(Bandeja_SCTR[[#This Row],[FechaRecepcion]]),IF(Bandeja_SCTR[[#This Row],[FechaCierre]]="",TODAY(),INT(Bandeja_SCTR[[#This Row],[FechaCierre]])),DIAS_NOLAB[Feriados]))</f>
        <v>3</v>
      </c>
      <c r="M229" s="2" t="str">
        <f>IF(OR(Bandeja_SCTR[[#This Row],[FechaRecepcion]]="",Bandeja_SCTR[[#This Row],[FechaCierre]]=""),"",ROUND((Bandeja_SCTR[[#This Row],[FechaCierre]]-Bandeja_SCTR[[#This Row],[FechaRecepcion]])*24,1))</f>
        <v/>
      </c>
      <c r="N229" s="3">
        <f>IF(Bandeja_SCTR[[#This Row],[FechaRecepcion]]="","",DATE(YEAR(Bandeja_SCTR[[#This Row],[FechaRecepcion]]),MONTH(Bandeja_SCTR[[#This Row],[FechaRecepcion]]),1))</f>
        <v>46296</v>
      </c>
      <c r="O229">
        <f>IF(Bandeja_SCTR[[#This Row],[Estado]]="FINALIZADO",1,0)</f>
        <v>0</v>
      </c>
      <c r="P229">
        <f>IF(Bandeja_SCTR[[#This Row],[CasoId]]="",0,IF(Bandeja_SCTR[[#This Row],[Estado]]="FINALIZADO",0,1))</f>
        <v>1</v>
      </c>
    </row>
    <row r="230" spans="1:16">
      <c r="A230" t="s">
        <v>946</v>
      </c>
      <c r="B230" t="s">
        <v>947</v>
      </c>
      <c r="C230" t="s">
        <v>948</v>
      </c>
      <c r="D230" s="1">
        <v>46311.636782407411</v>
      </c>
      <c r="E230" s="1">
        <v>46311.636782407411</v>
      </c>
      <c r="F230" s="1" t="s">
        <v>949</v>
      </c>
      <c r="H230" s="1"/>
      <c r="I230" t="s">
        <v>950</v>
      </c>
      <c r="K230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3</v>
      </c>
      <c r="L230">
        <f ca="1">IF(Bandeja_SCTR[[#This Row],[FechaRecepcion]]="","",NETWORKDAYS(INT(Bandeja_SCTR[[#This Row],[FechaRecepcion]]),IF(Bandeja_SCTR[[#This Row],[FechaCierre]]="",TODAY(),INT(Bandeja_SCTR[[#This Row],[FechaCierre]])),DIAS_NOLAB[Feriados]))</f>
        <v>3</v>
      </c>
      <c r="M230" s="2" t="str">
        <f>IF(OR(Bandeja_SCTR[[#This Row],[FechaRecepcion]]="",Bandeja_SCTR[[#This Row],[FechaCierre]]=""),"",ROUND((Bandeja_SCTR[[#This Row],[FechaCierre]]-Bandeja_SCTR[[#This Row],[FechaRecepcion]])*24,1))</f>
        <v/>
      </c>
      <c r="N230" s="3">
        <f>IF(Bandeja_SCTR[[#This Row],[FechaRecepcion]]="","",DATE(YEAR(Bandeja_SCTR[[#This Row],[FechaRecepcion]]),MONTH(Bandeja_SCTR[[#This Row],[FechaRecepcion]]),1))</f>
        <v>46296</v>
      </c>
      <c r="O230">
        <f>IF(Bandeja_SCTR[[#This Row],[Estado]]="FINALIZADO",1,0)</f>
        <v>0</v>
      </c>
      <c r="P230">
        <f>IF(Bandeja_SCTR[[#This Row],[CasoId]]="",0,IF(Bandeja_SCTR[[#This Row],[Estado]]="FINALIZADO",0,1))</f>
        <v>1</v>
      </c>
    </row>
    <row r="231" spans="1:16" hidden="1">
      <c r="A231" t="s">
        <v>951</v>
      </c>
      <c r="B231" t="s">
        <v>820</v>
      </c>
      <c r="C231" t="s">
        <v>952</v>
      </c>
      <c r="D231" s="1">
        <v>46311.638483796298</v>
      </c>
      <c r="E231" s="1">
        <v>46311.641608796301</v>
      </c>
      <c r="F231" s="1" t="s">
        <v>96</v>
      </c>
      <c r="G231" t="s">
        <v>30</v>
      </c>
      <c r="H231" s="1">
        <v>46311.641608796301</v>
      </c>
      <c r="I231" t="s">
        <v>97</v>
      </c>
      <c r="J231" t="s">
        <v>953</v>
      </c>
      <c r="K231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231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231" s="2">
        <f>IF(OR(Bandeja_SCTR[[#This Row],[FechaRecepcion]]="",Bandeja_SCTR[[#This Row],[FechaCierre]]=""),"",ROUND((Bandeja_SCTR[[#This Row],[FechaCierre]]-Bandeja_SCTR[[#This Row],[FechaRecepcion]])*24,1))</f>
        <v>0.1</v>
      </c>
      <c r="N231" s="3">
        <f>IF(Bandeja_SCTR[[#This Row],[FechaRecepcion]]="","",DATE(YEAR(Bandeja_SCTR[[#This Row],[FechaRecepcion]]),MONTH(Bandeja_SCTR[[#This Row],[FechaRecepcion]]),1))</f>
        <v>46296</v>
      </c>
      <c r="O231">
        <f>IF(Bandeja_SCTR[[#This Row],[Estado]]="FINALIZADO",1,0)</f>
        <v>1</v>
      </c>
      <c r="P231">
        <f>IF(Bandeja_SCTR[[#This Row],[CasoId]]="",0,IF(Bandeja_SCTR[[#This Row],[Estado]]="FINALIZADO",0,1))</f>
        <v>0</v>
      </c>
    </row>
    <row r="232" spans="1:16">
      <c r="A232" t="s">
        <v>954</v>
      </c>
      <c r="B232" t="s">
        <v>930</v>
      </c>
      <c r="C232" t="s">
        <v>955</v>
      </c>
      <c r="D232" s="1">
        <v>46311.677986111114</v>
      </c>
      <c r="E232" s="1">
        <v>46311.677986111114</v>
      </c>
      <c r="F232" s="1" t="s">
        <v>956</v>
      </c>
      <c r="H232" s="1"/>
      <c r="I232" t="s">
        <v>956</v>
      </c>
      <c r="J232" t="s">
        <v>957</v>
      </c>
      <c r="K232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3</v>
      </c>
      <c r="L232">
        <f ca="1">IF(Bandeja_SCTR[[#This Row],[FechaRecepcion]]="","",NETWORKDAYS(INT(Bandeja_SCTR[[#This Row],[FechaRecepcion]]),IF(Bandeja_SCTR[[#This Row],[FechaCierre]]="",TODAY(),INT(Bandeja_SCTR[[#This Row],[FechaCierre]])),DIAS_NOLAB[Feriados]))</f>
        <v>3</v>
      </c>
      <c r="M232" s="2" t="str">
        <f>IF(OR(Bandeja_SCTR[[#This Row],[FechaRecepcion]]="",Bandeja_SCTR[[#This Row],[FechaCierre]]=""),"",ROUND((Bandeja_SCTR[[#This Row],[FechaCierre]]-Bandeja_SCTR[[#This Row],[FechaRecepcion]])*24,1))</f>
        <v/>
      </c>
      <c r="N232" s="3">
        <f>IF(Bandeja_SCTR[[#This Row],[FechaRecepcion]]="","",DATE(YEAR(Bandeja_SCTR[[#This Row],[FechaRecepcion]]),MONTH(Bandeja_SCTR[[#This Row],[FechaRecepcion]]),1))</f>
        <v>46296</v>
      </c>
      <c r="O232">
        <f>IF(Bandeja_SCTR[[#This Row],[Estado]]="FINALIZADO",1,0)</f>
        <v>0</v>
      </c>
      <c r="P232">
        <f>IF(Bandeja_SCTR[[#This Row],[CasoId]]="",0,IF(Bandeja_SCTR[[#This Row],[Estado]]="FINALIZADO",0,1))</f>
        <v>1</v>
      </c>
    </row>
    <row r="233" spans="1:16" hidden="1">
      <c r="A233" t="s">
        <v>958</v>
      </c>
      <c r="B233" t="s">
        <v>959</v>
      </c>
      <c r="C233" t="s">
        <v>960</v>
      </c>
      <c r="D233" s="1">
        <v>46311.68005787037</v>
      </c>
      <c r="E233" s="1">
        <v>46315.487361111111</v>
      </c>
      <c r="F233" s="1" t="s">
        <v>96</v>
      </c>
      <c r="G233" t="s">
        <v>30</v>
      </c>
      <c r="H233" s="1">
        <v>46315.487361111111</v>
      </c>
      <c r="I233" t="s">
        <v>268</v>
      </c>
      <c r="J233" t="s">
        <v>961</v>
      </c>
      <c r="K233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233">
        <f ca="1">IF(Bandeja_SCTR[[#This Row],[FechaRecepcion]]="","",NETWORKDAYS(INT(Bandeja_SCTR[[#This Row],[FechaRecepcion]]),IF(Bandeja_SCTR[[#This Row],[FechaCierre]]="",TODAY(),INT(Bandeja_SCTR[[#This Row],[FechaCierre]])),DIAS_NOLAB[Feriados]))</f>
        <v>3</v>
      </c>
      <c r="M233" s="2">
        <f>IF(OR(Bandeja_SCTR[[#This Row],[FechaRecepcion]]="",Bandeja_SCTR[[#This Row],[FechaCierre]]=""),"",ROUND((Bandeja_SCTR[[#This Row],[FechaCierre]]-Bandeja_SCTR[[#This Row],[FechaRecepcion]])*24,1))</f>
        <v>91.4</v>
      </c>
      <c r="N233" s="3">
        <f>IF(Bandeja_SCTR[[#This Row],[FechaRecepcion]]="","",DATE(YEAR(Bandeja_SCTR[[#This Row],[FechaRecepcion]]),MONTH(Bandeja_SCTR[[#This Row],[FechaRecepcion]]),1))</f>
        <v>46296</v>
      </c>
      <c r="O233">
        <f>IF(Bandeja_SCTR[[#This Row],[Estado]]="FINALIZADO",1,0)</f>
        <v>1</v>
      </c>
      <c r="P233">
        <f>IF(Bandeja_SCTR[[#This Row],[CasoId]]="",0,IF(Bandeja_SCTR[[#This Row],[Estado]]="FINALIZADO",0,1))</f>
        <v>0</v>
      </c>
    </row>
    <row r="234" spans="1:16" hidden="1">
      <c r="A234" t="s">
        <v>962</v>
      </c>
      <c r="B234" t="s">
        <v>820</v>
      </c>
      <c r="C234" t="s">
        <v>952</v>
      </c>
      <c r="D234" s="1">
        <v>46311.688472222224</v>
      </c>
      <c r="E234" s="1">
        <v>46314.527997685189</v>
      </c>
      <c r="F234" s="1" t="s">
        <v>96</v>
      </c>
      <c r="G234" t="s">
        <v>30</v>
      </c>
      <c r="H234" s="1">
        <v>46314.527997685189</v>
      </c>
      <c r="I234" t="s">
        <v>268</v>
      </c>
      <c r="J234" t="s">
        <v>963</v>
      </c>
      <c r="K234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234">
        <f ca="1">IF(Bandeja_SCTR[[#This Row],[FechaRecepcion]]="","",NETWORKDAYS(INT(Bandeja_SCTR[[#This Row],[FechaRecepcion]]),IF(Bandeja_SCTR[[#This Row],[FechaCierre]]="",TODAY(),INT(Bandeja_SCTR[[#This Row],[FechaCierre]])),DIAS_NOLAB[Feriados]))</f>
        <v>2</v>
      </c>
      <c r="M234" s="2">
        <f>IF(OR(Bandeja_SCTR[[#This Row],[FechaRecepcion]]="",Bandeja_SCTR[[#This Row],[FechaCierre]]=""),"",ROUND((Bandeja_SCTR[[#This Row],[FechaCierre]]-Bandeja_SCTR[[#This Row],[FechaRecepcion]])*24,1))</f>
        <v>68.099999999999994</v>
      </c>
      <c r="N234" s="3">
        <f>IF(Bandeja_SCTR[[#This Row],[FechaRecepcion]]="","",DATE(YEAR(Bandeja_SCTR[[#This Row],[FechaRecepcion]]),MONTH(Bandeja_SCTR[[#This Row],[FechaRecepcion]]),1))</f>
        <v>46296</v>
      </c>
      <c r="O234">
        <f>IF(Bandeja_SCTR[[#This Row],[Estado]]="FINALIZADO",1,0)</f>
        <v>1</v>
      </c>
      <c r="P234">
        <f>IF(Bandeja_SCTR[[#This Row],[CasoId]]="",0,IF(Bandeja_SCTR[[#This Row],[Estado]]="FINALIZADO",0,1))</f>
        <v>0</v>
      </c>
    </row>
    <row r="235" spans="1:16">
      <c r="A235" t="s">
        <v>964</v>
      </c>
      <c r="B235" t="s">
        <v>965</v>
      </c>
      <c r="C235" t="s">
        <v>966</v>
      </c>
      <c r="D235" s="1">
        <v>46311.712407407409</v>
      </c>
      <c r="E235" s="1">
        <v>46311.712407407409</v>
      </c>
      <c r="F235" s="1" t="s">
        <v>197</v>
      </c>
      <c r="H235" s="1"/>
      <c r="I235" t="s">
        <v>311</v>
      </c>
      <c r="J235" t="s">
        <v>620</v>
      </c>
      <c r="K235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3</v>
      </c>
      <c r="L235">
        <f ca="1">IF(Bandeja_SCTR[[#This Row],[FechaRecepcion]]="","",NETWORKDAYS(INT(Bandeja_SCTR[[#This Row],[FechaRecepcion]]),IF(Bandeja_SCTR[[#This Row],[FechaCierre]]="",TODAY(),INT(Bandeja_SCTR[[#This Row],[FechaCierre]])),DIAS_NOLAB[Feriados]))</f>
        <v>3</v>
      </c>
      <c r="M235" s="2" t="str">
        <f>IF(OR(Bandeja_SCTR[[#This Row],[FechaRecepcion]]="",Bandeja_SCTR[[#This Row],[FechaCierre]]=""),"",ROUND((Bandeja_SCTR[[#This Row],[FechaCierre]]-Bandeja_SCTR[[#This Row],[FechaRecepcion]])*24,1))</f>
        <v/>
      </c>
      <c r="N235" s="3">
        <f>IF(Bandeja_SCTR[[#This Row],[FechaRecepcion]]="","",DATE(YEAR(Bandeja_SCTR[[#This Row],[FechaRecepcion]]),MONTH(Bandeja_SCTR[[#This Row],[FechaRecepcion]]),1))</f>
        <v>46296</v>
      </c>
      <c r="O235">
        <f>IF(Bandeja_SCTR[[#This Row],[Estado]]="FINALIZADO",1,0)</f>
        <v>0</v>
      </c>
      <c r="P235">
        <f>IF(Bandeja_SCTR[[#This Row],[CasoId]]="",0,IF(Bandeja_SCTR[[#This Row],[Estado]]="FINALIZADO",0,1))</f>
        <v>1</v>
      </c>
    </row>
    <row r="236" spans="1:16" hidden="1">
      <c r="A236" t="s">
        <v>967</v>
      </c>
      <c r="B236" t="s">
        <v>968</v>
      </c>
      <c r="C236" t="s">
        <v>969</v>
      </c>
      <c r="D236" s="1">
        <v>46311.715486111112</v>
      </c>
      <c r="E236" s="1">
        <v>46314.510983796295</v>
      </c>
      <c r="F236" s="1" t="s">
        <v>96</v>
      </c>
      <c r="G236" t="s">
        <v>30</v>
      </c>
      <c r="H236" s="1">
        <v>46314.510983796295</v>
      </c>
      <c r="I236" t="s">
        <v>268</v>
      </c>
      <c r="J236" t="s">
        <v>970</v>
      </c>
      <c r="K236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236">
        <f ca="1">IF(Bandeja_SCTR[[#This Row],[FechaRecepcion]]="","",NETWORKDAYS(INT(Bandeja_SCTR[[#This Row],[FechaRecepcion]]),IF(Bandeja_SCTR[[#This Row],[FechaCierre]]="",TODAY(),INT(Bandeja_SCTR[[#This Row],[FechaCierre]])),DIAS_NOLAB[Feriados]))</f>
        <v>2</v>
      </c>
      <c r="M236" s="2">
        <f>IF(OR(Bandeja_SCTR[[#This Row],[FechaRecepcion]]="",Bandeja_SCTR[[#This Row],[FechaCierre]]=""),"",ROUND((Bandeja_SCTR[[#This Row],[FechaCierre]]-Bandeja_SCTR[[#This Row],[FechaRecepcion]])*24,1))</f>
        <v>67.099999999999994</v>
      </c>
      <c r="N236" s="3">
        <f>IF(Bandeja_SCTR[[#This Row],[FechaRecepcion]]="","",DATE(YEAR(Bandeja_SCTR[[#This Row],[FechaRecepcion]]),MONTH(Bandeja_SCTR[[#This Row],[FechaRecepcion]]),1))</f>
        <v>46296</v>
      </c>
      <c r="O236">
        <f>IF(Bandeja_SCTR[[#This Row],[Estado]]="FINALIZADO",1,0)</f>
        <v>1</v>
      </c>
      <c r="P236">
        <f>IF(Bandeja_SCTR[[#This Row],[CasoId]]="",0,IF(Bandeja_SCTR[[#This Row],[Estado]]="FINALIZADO",0,1))</f>
        <v>0</v>
      </c>
    </row>
    <row r="237" spans="1:16">
      <c r="A237" t="s">
        <v>971</v>
      </c>
      <c r="B237" t="s">
        <v>972</v>
      </c>
      <c r="C237" t="s">
        <v>973</v>
      </c>
      <c r="D237" s="1">
        <v>46311.719444444447</v>
      </c>
      <c r="E237" s="1">
        <v>46314.343796296293</v>
      </c>
      <c r="F237" s="1" t="s">
        <v>150</v>
      </c>
      <c r="H237" s="1"/>
      <c r="I237" t="s">
        <v>150</v>
      </c>
      <c r="J237" t="s">
        <v>974</v>
      </c>
      <c r="K237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2</v>
      </c>
      <c r="L237">
        <f ca="1">IF(Bandeja_SCTR[[#This Row],[FechaRecepcion]]="","",NETWORKDAYS(INT(Bandeja_SCTR[[#This Row],[FechaRecepcion]]),IF(Bandeja_SCTR[[#This Row],[FechaCierre]]="",TODAY(),INT(Bandeja_SCTR[[#This Row],[FechaCierre]])),DIAS_NOLAB[Feriados]))</f>
        <v>3</v>
      </c>
      <c r="M237" s="2" t="str">
        <f>IF(OR(Bandeja_SCTR[[#This Row],[FechaRecepcion]]="",Bandeja_SCTR[[#This Row],[FechaCierre]]=""),"",ROUND((Bandeja_SCTR[[#This Row],[FechaCierre]]-Bandeja_SCTR[[#This Row],[FechaRecepcion]])*24,1))</f>
        <v/>
      </c>
      <c r="N237" s="3">
        <f>IF(Bandeja_SCTR[[#This Row],[FechaRecepcion]]="","",DATE(YEAR(Bandeja_SCTR[[#This Row],[FechaRecepcion]]),MONTH(Bandeja_SCTR[[#This Row],[FechaRecepcion]]),1))</f>
        <v>46296</v>
      </c>
      <c r="O237">
        <f>IF(Bandeja_SCTR[[#This Row],[Estado]]="FINALIZADO",1,0)</f>
        <v>0</v>
      </c>
      <c r="P237">
        <f>IF(Bandeja_SCTR[[#This Row],[CasoId]]="",0,IF(Bandeja_SCTR[[#This Row],[Estado]]="FINALIZADO",0,1))</f>
        <v>1</v>
      </c>
    </row>
    <row r="238" spans="1:16">
      <c r="A238" t="s">
        <v>975</v>
      </c>
      <c r="B238" t="s">
        <v>976</v>
      </c>
      <c r="C238" t="s">
        <v>977</v>
      </c>
      <c r="D238" s="1">
        <v>46311.726585648154</v>
      </c>
      <c r="E238" s="1">
        <v>46311.726585648154</v>
      </c>
      <c r="F238" s="1" t="s">
        <v>978</v>
      </c>
      <c r="H238" s="1"/>
      <c r="I238" t="s">
        <v>978</v>
      </c>
      <c r="J238" t="s">
        <v>979</v>
      </c>
      <c r="K238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3</v>
      </c>
      <c r="L238">
        <f ca="1">IF(Bandeja_SCTR[[#This Row],[FechaRecepcion]]="","",NETWORKDAYS(INT(Bandeja_SCTR[[#This Row],[FechaRecepcion]]),IF(Bandeja_SCTR[[#This Row],[FechaCierre]]="",TODAY(),INT(Bandeja_SCTR[[#This Row],[FechaCierre]])),DIAS_NOLAB[Feriados]))</f>
        <v>3</v>
      </c>
      <c r="M238" s="2" t="str">
        <f>IF(OR(Bandeja_SCTR[[#This Row],[FechaRecepcion]]="",Bandeja_SCTR[[#This Row],[FechaCierre]]=""),"",ROUND((Bandeja_SCTR[[#This Row],[FechaCierre]]-Bandeja_SCTR[[#This Row],[FechaRecepcion]])*24,1))</f>
        <v/>
      </c>
      <c r="N238" s="3">
        <f>IF(Bandeja_SCTR[[#This Row],[FechaRecepcion]]="","",DATE(YEAR(Bandeja_SCTR[[#This Row],[FechaRecepcion]]),MONTH(Bandeja_SCTR[[#This Row],[FechaRecepcion]]),1))</f>
        <v>46296</v>
      </c>
      <c r="O238">
        <f>IF(Bandeja_SCTR[[#This Row],[Estado]]="FINALIZADO",1,0)</f>
        <v>0</v>
      </c>
      <c r="P238">
        <f>IF(Bandeja_SCTR[[#This Row],[CasoId]]="",0,IF(Bandeja_SCTR[[#This Row],[Estado]]="FINALIZADO",0,1))</f>
        <v>1</v>
      </c>
    </row>
    <row r="239" spans="1:16">
      <c r="A239" t="s">
        <v>980</v>
      </c>
      <c r="B239" t="s">
        <v>981</v>
      </c>
      <c r="C239" t="s">
        <v>982</v>
      </c>
      <c r="D239" s="1">
        <v>46311.730706018519</v>
      </c>
      <c r="E239" s="1">
        <v>46311.730706018519</v>
      </c>
      <c r="F239" s="1" t="s">
        <v>983</v>
      </c>
      <c r="H239" s="1"/>
      <c r="I239" t="s">
        <v>984</v>
      </c>
      <c r="J239" t="s">
        <v>620</v>
      </c>
      <c r="K239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3</v>
      </c>
      <c r="L239">
        <f ca="1">IF(Bandeja_SCTR[[#This Row],[FechaRecepcion]]="","",NETWORKDAYS(INT(Bandeja_SCTR[[#This Row],[FechaRecepcion]]),IF(Bandeja_SCTR[[#This Row],[FechaCierre]]="",TODAY(),INT(Bandeja_SCTR[[#This Row],[FechaCierre]])),DIAS_NOLAB[Feriados]))</f>
        <v>3</v>
      </c>
      <c r="M239" s="2" t="str">
        <f>IF(OR(Bandeja_SCTR[[#This Row],[FechaRecepcion]]="",Bandeja_SCTR[[#This Row],[FechaCierre]]=""),"",ROUND((Bandeja_SCTR[[#This Row],[FechaCierre]]-Bandeja_SCTR[[#This Row],[FechaRecepcion]])*24,1))</f>
        <v/>
      </c>
      <c r="N239" s="3">
        <f>IF(Bandeja_SCTR[[#This Row],[FechaRecepcion]]="","",DATE(YEAR(Bandeja_SCTR[[#This Row],[FechaRecepcion]]),MONTH(Bandeja_SCTR[[#This Row],[FechaRecepcion]]),1))</f>
        <v>46296</v>
      </c>
      <c r="O239">
        <f>IF(Bandeja_SCTR[[#This Row],[Estado]]="FINALIZADO",1,0)</f>
        <v>0</v>
      </c>
      <c r="P239">
        <f>IF(Bandeja_SCTR[[#This Row],[CasoId]]="",0,IF(Bandeja_SCTR[[#This Row],[Estado]]="FINALIZADO",0,1))</f>
        <v>1</v>
      </c>
    </row>
    <row r="240" spans="1:16">
      <c r="A240" t="s">
        <v>985</v>
      </c>
      <c r="B240" t="s">
        <v>986</v>
      </c>
      <c r="C240" t="s">
        <v>987</v>
      </c>
      <c r="D240" s="1">
        <v>46311.734699074077</v>
      </c>
      <c r="E240" s="1">
        <v>46311.734699074077</v>
      </c>
      <c r="F240" s="1" t="s">
        <v>988</v>
      </c>
      <c r="H240" s="1"/>
      <c r="I240" t="s">
        <v>988</v>
      </c>
      <c r="K240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3</v>
      </c>
      <c r="L240">
        <f ca="1">IF(Bandeja_SCTR[[#This Row],[FechaRecepcion]]="","",NETWORKDAYS(INT(Bandeja_SCTR[[#This Row],[FechaRecepcion]]),IF(Bandeja_SCTR[[#This Row],[FechaCierre]]="",TODAY(),INT(Bandeja_SCTR[[#This Row],[FechaCierre]])),DIAS_NOLAB[Feriados]))</f>
        <v>3</v>
      </c>
      <c r="M240" s="2" t="str">
        <f>IF(OR(Bandeja_SCTR[[#This Row],[FechaRecepcion]]="",Bandeja_SCTR[[#This Row],[FechaCierre]]=""),"",ROUND((Bandeja_SCTR[[#This Row],[FechaCierre]]-Bandeja_SCTR[[#This Row],[FechaRecepcion]])*24,1))</f>
        <v/>
      </c>
      <c r="N240" s="3">
        <f>IF(Bandeja_SCTR[[#This Row],[FechaRecepcion]]="","",DATE(YEAR(Bandeja_SCTR[[#This Row],[FechaRecepcion]]),MONTH(Bandeja_SCTR[[#This Row],[FechaRecepcion]]),1))</f>
        <v>46296</v>
      </c>
      <c r="O240">
        <f>IF(Bandeja_SCTR[[#This Row],[Estado]]="FINALIZADO",1,0)</f>
        <v>0</v>
      </c>
      <c r="P240">
        <f>IF(Bandeja_SCTR[[#This Row],[CasoId]]="",0,IF(Bandeja_SCTR[[#This Row],[Estado]]="FINALIZADO",0,1))</f>
        <v>1</v>
      </c>
    </row>
    <row r="241" spans="1:16" hidden="1">
      <c r="A241" t="s">
        <v>989</v>
      </c>
      <c r="B241" t="s">
        <v>990</v>
      </c>
      <c r="C241" t="s">
        <v>991</v>
      </c>
      <c r="D241" s="1">
        <v>46311.745439814811</v>
      </c>
      <c r="E241" s="1">
        <v>46314.708344907413</v>
      </c>
      <c r="F241" s="1" t="s">
        <v>96</v>
      </c>
      <c r="G241" t="s">
        <v>30</v>
      </c>
      <c r="H241" s="1">
        <v>46314.708344907413</v>
      </c>
      <c r="I241" t="s">
        <v>268</v>
      </c>
      <c r="K241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241">
        <f ca="1">IF(Bandeja_SCTR[[#This Row],[FechaRecepcion]]="","",NETWORKDAYS(INT(Bandeja_SCTR[[#This Row],[FechaRecepcion]]),IF(Bandeja_SCTR[[#This Row],[FechaCierre]]="",TODAY(),INT(Bandeja_SCTR[[#This Row],[FechaCierre]])),DIAS_NOLAB[Feriados]))</f>
        <v>2</v>
      </c>
      <c r="M241" s="2">
        <f>IF(OR(Bandeja_SCTR[[#This Row],[FechaRecepcion]]="",Bandeja_SCTR[[#This Row],[FechaCierre]]=""),"",ROUND((Bandeja_SCTR[[#This Row],[FechaCierre]]-Bandeja_SCTR[[#This Row],[FechaRecepcion]])*24,1))</f>
        <v>71.099999999999994</v>
      </c>
      <c r="N241" s="3">
        <f>IF(Bandeja_SCTR[[#This Row],[FechaRecepcion]]="","",DATE(YEAR(Bandeja_SCTR[[#This Row],[FechaRecepcion]]),MONTH(Bandeja_SCTR[[#This Row],[FechaRecepcion]]),1))</f>
        <v>46296</v>
      </c>
      <c r="O241">
        <f>IF(Bandeja_SCTR[[#This Row],[Estado]]="FINALIZADO",1,0)</f>
        <v>1</v>
      </c>
      <c r="P241">
        <f>IF(Bandeja_SCTR[[#This Row],[CasoId]]="",0,IF(Bandeja_SCTR[[#This Row],[Estado]]="FINALIZADO",0,1))</f>
        <v>0</v>
      </c>
    </row>
    <row r="242" spans="1:16" hidden="1">
      <c r="A242" t="s">
        <v>992</v>
      </c>
      <c r="B242" t="s">
        <v>993</v>
      </c>
      <c r="C242" t="s">
        <v>994</v>
      </c>
      <c r="D242" s="1">
        <v>46311.783229166671</v>
      </c>
      <c r="E242" s="1">
        <v>46314.371111111112</v>
      </c>
      <c r="F242" s="1" t="s">
        <v>96</v>
      </c>
      <c r="G242" t="s">
        <v>30</v>
      </c>
      <c r="H242" s="1">
        <v>46314.371111111112</v>
      </c>
      <c r="I242" t="s">
        <v>97</v>
      </c>
      <c r="J242" t="s">
        <v>620</v>
      </c>
      <c r="K242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242">
        <f ca="1">IF(Bandeja_SCTR[[#This Row],[FechaRecepcion]]="","",NETWORKDAYS(INT(Bandeja_SCTR[[#This Row],[FechaRecepcion]]),IF(Bandeja_SCTR[[#This Row],[FechaCierre]]="",TODAY(),INT(Bandeja_SCTR[[#This Row],[FechaCierre]])),DIAS_NOLAB[Feriados]))</f>
        <v>2</v>
      </c>
      <c r="M242" s="2">
        <f>IF(OR(Bandeja_SCTR[[#This Row],[FechaRecepcion]]="",Bandeja_SCTR[[#This Row],[FechaCierre]]=""),"",ROUND((Bandeja_SCTR[[#This Row],[FechaCierre]]-Bandeja_SCTR[[#This Row],[FechaRecepcion]])*24,1))</f>
        <v>62.1</v>
      </c>
      <c r="N242" s="3">
        <f>IF(Bandeja_SCTR[[#This Row],[FechaRecepcion]]="","",DATE(YEAR(Bandeja_SCTR[[#This Row],[FechaRecepcion]]),MONTH(Bandeja_SCTR[[#This Row],[FechaRecepcion]]),1))</f>
        <v>46296</v>
      </c>
      <c r="O242">
        <f>IF(Bandeja_SCTR[[#This Row],[Estado]]="FINALIZADO",1,0)</f>
        <v>1</v>
      </c>
      <c r="P242">
        <f>IF(Bandeja_SCTR[[#This Row],[CasoId]]="",0,IF(Bandeja_SCTR[[#This Row],[Estado]]="FINALIZADO",0,1))</f>
        <v>0</v>
      </c>
    </row>
    <row r="243" spans="1:16" hidden="1">
      <c r="A243" t="s">
        <v>995</v>
      </c>
      <c r="B243" t="s">
        <v>996</v>
      </c>
      <c r="C243" t="s">
        <v>997</v>
      </c>
      <c r="D243" s="1">
        <v>46311.81863425926</v>
      </c>
      <c r="E243" s="1">
        <v>46314.539293981477</v>
      </c>
      <c r="F243" s="1" t="s">
        <v>96</v>
      </c>
      <c r="G243" t="s">
        <v>30</v>
      </c>
      <c r="H243" s="1">
        <v>46314.539293981477</v>
      </c>
      <c r="I243" t="s">
        <v>268</v>
      </c>
      <c r="K243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243">
        <f ca="1">IF(Bandeja_SCTR[[#This Row],[FechaRecepcion]]="","",NETWORKDAYS(INT(Bandeja_SCTR[[#This Row],[FechaRecepcion]]),IF(Bandeja_SCTR[[#This Row],[FechaCierre]]="",TODAY(),INT(Bandeja_SCTR[[#This Row],[FechaCierre]])),DIAS_NOLAB[Feriados]))</f>
        <v>2</v>
      </c>
      <c r="M243" s="2">
        <f>IF(OR(Bandeja_SCTR[[#This Row],[FechaRecepcion]]="",Bandeja_SCTR[[#This Row],[FechaCierre]]=""),"",ROUND((Bandeja_SCTR[[#This Row],[FechaCierre]]-Bandeja_SCTR[[#This Row],[FechaRecepcion]])*24,1))</f>
        <v>65.3</v>
      </c>
      <c r="N243" s="3">
        <f>IF(Bandeja_SCTR[[#This Row],[FechaRecepcion]]="","",DATE(YEAR(Bandeja_SCTR[[#This Row],[FechaRecepcion]]),MONTH(Bandeja_SCTR[[#This Row],[FechaRecepcion]]),1))</f>
        <v>46296</v>
      </c>
      <c r="O243">
        <f>IF(Bandeja_SCTR[[#This Row],[Estado]]="FINALIZADO",1,0)</f>
        <v>1</v>
      </c>
      <c r="P243">
        <f>IF(Bandeja_SCTR[[#This Row],[CasoId]]="",0,IF(Bandeja_SCTR[[#This Row],[Estado]]="FINALIZADO",0,1))</f>
        <v>0</v>
      </c>
    </row>
    <row r="244" spans="1:16" hidden="1">
      <c r="A244" t="s">
        <v>998</v>
      </c>
      <c r="B244" t="s">
        <v>999</v>
      </c>
      <c r="C244" t="s">
        <v>1000</v>
      </c>
      <c r="D244" s="1">
        <v>46312.339131944449</v>
      </c>
      <c r="E244" s="1">
        <v>46314.781342592592</v>
      </c>
      <c r="F244" s="1" t="s">
        <v>96</v>
      </c>
      <c r="G244" t="s">
        <v>30</v>
      </c>
      <c r="H244" s="1">
        <v>46314.781342592592</v>
      </c>
      <c r="I244" t="s">
        <v>268</v>
      </c>
      <c r="K244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244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244" s="2">
        <f>IF(OR(Bandeja_SCTR[[#This Row],[FechaRecepcion]]="",Bandeja_SCTR[[#This Row],[FechaCierre]]=""),"",ROUND((Bandeja_SCTR[[#This Row],[FechaCierre]]-Bandeja_SCTR[[#This Row],[FechaRecepcion]])*24,1))</f>
        <v>58.6</v>
      </c>
      <c r="N244" s="3">
        <f>IF(Bandeja_SCTR[[#This Row],[FechaRecepcion]]="","",DATE(YEAR(Bandeja_SCTR[[#This Row],[FechaRecepcion]]),MONTH(Bandeja_SCTR[[#This Row],[FechaRecepcion]]),1))</f>
        <v>46296</v>
      </c>
      <c r="O244">
        <f>IF(Bandeja_SCTR[[#This Row],[Estado]]="FINALIZADO",1,0)</f>
        <v>1</v>
      </c>
      <c r="P244">
        <f>IF(Bandeja_SCTR[[#This Row],[CasoId]]="",0,IF(Bandeja_SCTR[[#This Row],[Estado]]="FINALIZADO",0,1))</f>
        <v>0</v>
      </c>
    </row>
    <row r="245" spans="1:16">
      <c r="A245" t="s">
        <v>1001</v>
      </c>
      <c r="B245" t="s">
        <v>1002</v>
      </c>
      <c r="C245" t="s">
        <v>1003</v>
      </c>
      <c r="D245" s="1">
        <v>46312.339791666665</v>
      </c>
      <c r="E245" s="1">
        <v>46312.339791666665</v>
      </c>
      <c r="F245" s="1" t="s">
        <v>1004</v>
      </c>
      <c r="H245" s="1"/>
      <c r="I245" t="s">
        <v>1004</v>
      </c>
      <c r="K245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2</v>
      </c>
      <c r="L245">
        <f ca="1">IF(Bandeja_SCTR[[#This Row],[FechaRecepcion]]="","",NETWORKDAYS(INT(Bandeja_SCTR[[#This Row],[FechaRecepcion]]),IF(Bandeja_SCTR[[#This Row],[FechaCierre]]="",TODAY(),INT(Bandeja_SCTR[[#This Row],[FechaCierre]])),DIAS_NOLAB[Feriados]))</f>
        <v>2</v>
      </c>
      <c r="M245" s="2" t="str">
        <f>IF(OR(Bandeja_SCTR[[#This Row],[FechaRecepcion]]="",Bandeja_SCTR[[#This Row],[FechaCierre]]=""),"",ROUND((Bandeja_SCTR[[#This Row],[FechaCierre]]-Bandeja_SCTR[[#This Row],[FechaRecepcion]])*24,1))</f>
        <v/>
      </c>
      <c r="N245" s="3">
        <f>IF(Bandeja_SCTR[[#This Row],[FechaRecepcion]]="","",DATE(YEAR(Bandeja_SCTR[[#This Row],[FechaRecepcion]]),MONTH(Bandeja_SCTR[[#This Row],[FechaRecepcion]]),1))</f>
        <v>46296</v>
      </c>
      <c r="O245">
        <f>IF(Bandeja_SCTR[[#This Row],[Estado]]="FINALIZADO",1,0)</f>
        <v>0</v>
      </c>
      <c r="P245">
        <f>IF(Bandeja_SCTR[[#This Row],[CasoId]]="",0,IF(Bandeja_SCTR[[#This Row],[Estado]]="FINALIZADO",0,1))</f>
        <v>1</v>
      </c>
    </row>
    <row r="246" spans="1:16">
      <c r="A246" t="s">
        <v>1005</v>
      </c>
      <c r="B246" t="s">
        <v>1006</v>
      </c>
      <c r="C246" t="s">
        <v>1007</v>
      </c>
      <c r="D246" s="1">
        <v>46312.349409722221</v>
      </c>
      <c r="E246" s="1">
        <v>46314.345729166671</v>
      </c>
      <c r="F246" s="1" t="s">
        <v>150</v>
      </c>
      <c r="H246" s="1"/>
      <c r="I246" t="s">
        <v>150</v>
      </c>
      <c r="J246" t="s">
        <v>705</v>
      </c>
      <c r="K246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2</v>
      </c>
      <c r="L246">
        <f ca="1">IF(Bandeja_SCTR[[#This Row],[FechaRecepcion]]="","",NETWORKDAYS(INT(Bandeja_SCTR[[#This Row],[FechaRecepcion]]),IF(Bandeja_SCTR[[#This Row],[FechaCierre]]="",TODAY(),INT(Bandeja_SCTR[[#This Row],[FechaCierre]])),DIAS_NOLAB[Feriados]))</f>
        <v>2</v>
      </c>
      <c r="M246" s="2" t="str">
        <f>IF(OR(Bandeja_SCTR[[#This Row],[FechaRecepcion]]="",Bandeja_SCTR[[#This Row],[FechaCierre]]=""),"",ROUND((Bandeja_SCTR[[#This Row],[FechaCierre]]-Bandeja_SCTR[[#This Row],[FechaRecepcion]])*24,1))</f>
        <v/>
      </c>
      <c r="N246" s="3">
        <f>IF(Bandeja_SCTR[[#This Row],[FechaRecepcion]]="","",DATE(YEAR(Bandeja_SCTR[[#This Row],[FechaRecepcion]]),MONTH(Bandeja_SCTR[[#This Row],[FechaRecepcion]]),1))</f>
        <v>46296</v>
      </c>
      <c r="O246">
        <f>IF(Bandeja_SCTR[[#This Row],[Estado]]="FINALIZADO",1,0)</f>
        <v>0</v>
      </c>
      <c r="P246">
        <f>IF(Bandeja_SCTR[[#This Row],[CasoId]]="",0,IF(Bandeja_SCTR[[#This Row],[Estado]]="FINALIZADO",0,1))</f>
        <v>1</v>
      </c>
    </row>
    <row r="247" spans="1:16">
      <c r="A247" t="s">
        <v>1008</v>
      </c>
      <c r="B247" t="s">
        <v>1009</v>
      </c>
      <c r="C247" t="s">
        <v>1010</v>
      </c>
      <c r="D247" s="1">
        <v>46312.356747685189</v>
      </c>
      <c r="E247" s="1">
        <v>46312.356747685189</v>
      </c>
      <c r="F247" s="1" t="s">
        <v>316</v>
      </c>
      <c r="H247" s="1"/>
      <c r="I247" t="s">
        <v>317</v>
      </c>
      <c r="J247" t="s">
        <v>620</v>
      </c>
      <c r="K247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2</v>
      </c>
      <c r="L247">
        <f ca="1">IF(Bandeja_SCTR[[#This Row],[FechaRecepcion]]="","",NETWORKDAYS(INT(Bandeja_SCTR[[#This Row],[FechaRecepcion]]),IF(Bandeja_SCTR[[#This Row],[FechaCierre]]="",TODAY(),INT(Bandeja_SCTR[[#This Row],[FechaCierre]])),DIAS_NOLAB[Feriados]))</f>
        <v>2</v>
      </c>
      <c r="M247" s="2" t="str">
        <f>IF(OR(Bandeja_SCTR[[#This Row],[FechaRecepcion]]="",Bandeja_SCTR[[#This Row],[FechaCierre]]=""),"",ROUND((Bandeja_SCTR[[#This Row],[FechaCierre]]-Bandeja_SCTR[[#This Row],[FechaRecepcion]])*24,1))</f>
        <v/>
      </c>
      <c r="N247" s="3">
        <f>IF(Bandeja_SCTR[[#This Row],[FechaRecepcion]]="","",DATE(YEAR(Bandeja_SCTR[[#This Row],[FechaRecepcion]]),MONTH(Bandeja_SCTR[[#This Row],[FechaRecepcion]]),1))</f>
        <v>46296</v>
      </c>
      <c r="O247">
        <f>IF(Bandeja_SCTR[[#This Row],[Estado]]="FINALIZADO",1,0)</f>
        <v>0</v>
      </c>
      <c r="P247">
        <f>IF(Bandeja_SCTR[[#This Row],[CasoId]]="",0,IF(Bandeja_SCTR[[#This Row],[Estado]]="FINALIZADO",0,1))</f>
        <v>1</v>
      </c>
    </row>
    <row r="248" spans="1:16">
      <c r="A248" t="s">
        <v>1011</v>
      </c>
      <c r="B248" t="s">
        <v>1012</v>
      </c>
      <c r="C248" t="s">
        <v>1013</v>
      </c>
      <c r="D248" s="1">
        <v>46312.362407407403</v>
      </c>
      <c r="E248" s="1">
        <v>46312.362407407403</v>
      </c>
      <c r="F248" s="1" t="s">
        <v>316</v>
      </c>
      <c r="H248" s="1"/>
      <c r="I248" t="s">
        <v>317</v>
      </c>
      <c r="J248" t="s">
        <v>604</v>
      </c>
      <c r="K248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2</v>
      </c>
      <c r="L248">
        <f ca="1">IF(Bandeja_SCTR[[#This Row],[FechaRecepcion]]="","",NETWORKDAYS(INT(Bandeja_SCTR[[#This Row],[FechaRecepcion]]),IF(Bandeja_SCTR[[#This Row],[FechaCierre]]="",TODAY(),INT(Bandeja_SCTR[[#This Row],[FechaCierre]])),DIAS_NOLAB[Feriados]))</f>
        <v>2</v>
      </c>
      <c r="M248" s="2" t="str">
        <f>IF(OR(Bandeja_SCTR[[#This Row],[FechaRecepcion]]="",Bandeja_SCTR[[#This Row],[FechaCierre]]=""),"",ROUND((Bandeja_SCTR[[#This Row],[FechaCierre]]-Bandeja_SCTR[[#This Row],[FechaRecepcion]])*24,1))</f>
        <v/>
      </c>
      <c r="N248" s="3">
        <f>IF(Bandeja_SCTR[[#This Row],[FechaRecepcion]]="","",DATE(YEAR(Bandeja_SCTR[[#This Row],[FechaRecepcion]]),MONTH(Bandeja_SCTR[[#This Row],[FechaRecepcion]]),1))</f>
        <v>46296</v>
      </c>
      <c r="O248">
        <f>IF(Bandeja_SCTR[[#This Row],[Estado]]="FINALIZADO",1,0)</f>
        <v>0</v>
      </c>
      <c r="P248">
        <f>IF(Bandeja_SCTR[[#This Row],[CasoId]]="",0,IF(Bandeja_SCTR[[#This Row],[Estado]]="FINALIZADO",0,1))</f>
        <v>1</v>
      </c>
    </row>
    <row r="249" spans="1:16">
      <c r="A249" t="s">
        <v>1014</v>
      </c>
      <c r="B249" t="s">
        <v>1015</v>
      </c>
      <c r="C249" t="s">
        <v>1016</v>
      </c>
      <c r="D249" s="1">
        <v>46312.364849537036</v>
      </c>
      <c r="E249" s="1">
        <v>46312.364849537036</v>
      </c>
      <c r="F249" s="1" t="s">
        <v>1017</v>
      </c>
      <c r="H249" s="1"/>
      <c r="I249" t="s">
        <v>1018</v>
      </c>
      <c r="K249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2</v>
      </c>
      <c r="L249">
        <f ca="1">IF(Bandeja_SCTR[[#This Row],[FechaRecepcion]]="","",NETWORKDAYS(INT(Bandeja_SCTR[[#This Row],[FechaRecepcion]]),IF(Bandeja_SCTR[[#This Row],[FechaCierre]]="",TODAY(),INT(Bandeja_SCTR[[#This Row],[FechaCierre]])),DIAS_NOLAB[Feriados]))</f>
        <v>2</v>
      </c>
      <c r="M249" s="2" t="str">
        <f>IF(OR(Bandeja_SCTR[[#This Row],[FechaRecepcion]]="",Bandeja_SCTR[[#This Row],[FechaCierre]]=""),"",ROUND((Bandeja_SCTR[[#This Row],[FechaCierre]]-Bandeja_SCTR[[#This Row],[FechaRecepcion]])*24,1))</f>
        <v/>
      </c>
      <c r="N249" s="3">
        <f>IF(Bandeja_SCTR[[#This Row],[FechaRecepcion]]="","",DATE(YEAR(Bandeja_SCTR[[#This Row],[FechaRecepcion]]),MONTH(Bandeja_SCTR[[#This Row],[FechaRecepcion]]),1))</f>
        <v>46296</v>
      </c>
      <c r="O249">
        <f>IF(Bandeja_SCTR[[#This Row],[Estado]]="FINALIZADO",1,0)</f>
        <v>0</v>
      </c>
      <c r="P249">
        <f>IF(Bandeja_SCTR[[#This Row],[CasoId]]="",0,IF(Bandeja_SCTR[[#This Row],[Estado]]="FINALIZADO",0,1))</f>
        <v>1</v>
      </c>
    </row>
    <row r="250" spans="1:16" hidden="1">
      <c r="A250" t="s">
        <v>1019</v>
      </c>
      <c r="B250" t="s">
        <v>1020</v>
      </c>
      <c r="C250" t="s">
        <v>1021</v>
      </c>
      <c r="D250" s="1">
        <v>46312.367372685185</v>
      </c>
      <c r="E250" s="1">
        <v>46314.543622685189</v>
      </c>
      <c r="F250" s="1" t="s">
        <v>96</v>
      </c>
      <c r="G250" t="s">
        <v>30</v>
      </c>
      <c r="H250" s="1">
        <v>46314.543622685189</v>
      </c>
      <c r="I250" t="s">
        <v>268</v>
      </c>
      <c r="J250" t="s">
        <v>1022</v>
      </c>
      <c r="K250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250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250" s="2">
        <f>IF(OR(Bandeja_SCTR[[#This Row],[FechaRecepcion]]="",Bandeja_SCTR[[#This Row],[FechaCierre]]=""),"",ROUND((Bandeja_SCTR[[#This Row],[FechaCierre]]-Bandeja_SCTR[[#This Row],[FechaRecepcion]])*24,1))</f>
        <v>52.2</v>
      </c>
      <c r="N250" s="3">
        <f>IF(Bandeja_SCTR[[#This Row],[FechaRecepcion]]="","",DATE(YEAR(Bandeja_SCTR[[#This Row],[FechaRecepcion]]),MONTH(Bandeja_SCTR[[#This Row],[FechaRecepcion]]),1))</f>
        <v>46296</v>
      </c>
      <c r="O250">
        <f>IF(Bandeja_SCTR[[#This Row],[Estado]]="FINALIZADO",1,0)</f>
        <v>1</v>
      </c>
      <c r="P250">
        <f>IF(Bandeja_SCTR[[#This Row],[CasoId]]="",0,IF(Bandeja_SCTR[[#This Row],[Estado]]="FINALIZADO",0,1))</f>
        <v>0</v>
      </c>
    </row>
    <row r="251" spans="1:16" hidden="1">
      <c r="A251" t="s">
        <v>1023</v>
      </c>
      <c r="B251" t="s">
        <v>1024</v>
      </c>
      <c r="C251" t="s">
        <v>1025</v>
      </c>
      <c r="D251" s="1">
        <v>46312.375173611115</v>
      </c>
      <c r="E251" s="1">
        <v>46314.490717592591</v>
      </c>
      <c r="F251" s="1" t="s">
        <v>96</v>
      </c>
      <c r="G251" t="s">
        <v>30</v>
      </c>
      <c r="H251" s="1">
        <v>46314.490717592591</v>
      </c>
      <c r="I251" t="s">
        <v>268</v>
      </c>
      <c r="J251" t="s">
        <v>1026</v>
      </c>
      <c r="K251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251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251" s="2">
        <f>IF(OR(Bandeja_SCTR[[#This Row],[FechaRecepcion]]="",Bandeja_SCTR[[#This Row],[FechaCierre]]=""),"",ROUND((Bandeja_SCTR[[#This Row],[FechaCierre]]-Bandeja_SCTR[[#This Row],[FechaRecepcion]])*24,1))</f>
        <v>50.8</v>
      </c>
      <c r="N251" s="3">
        <f>IF(Bandeja_SCTR[[#This Row],[FechaRecepcion]]="","",DATE(YEAR(Bandeja_SCTR[[#This Row],[FechaRecepcion]]),MONTH(Bandeja_SCTR[[#This Row],[FechaRecepcion]]),1))</f>
        <v>46296</v>
      </c>
      <c r="O251">
        <f>IF(Bandeja_SCTR[[#This Row],[Estado]]="FINALIZADO",1,0)</f>
        <v>1</v>
      </c>
      <c r="P251">
        <f>IF(Bandeja_SCTR[[#This Row],[CasoId]]="",0,IF(Bandeja_SCTR[[#This Row],[Estado]]="FINALIZADO",0,1))</f>
        <v>0</v>
      </c>
    </row>
    <row r="252" spans="1:16">
      <c r="A252" t="s">
        <v>1027</v>
      </c>
      <c r="B252" t="s">
        <v>1028</v>
      </c>
      <c r="C252" t="s">
        <v>1029</v>
      </c>
      <c r="D252" s="1">
        <v>46312.398113425923</v>
      </c>
      <c r="E252" s="1">
        <v>46312.412858796291</v>
      </c>
      <c r="F252" s="1" t="s">
        <v>1030</v>
      </c>
      <c r="H252" s="1"/>
      <c r="I252" t="s">
        <v>1030</v>
      </c>
      <c r="K252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2</v>
      </c>
      <c r="L252">
        <f ca="1">IF(Bandeja_SCTR[[#This Row],[FechaRecepcion]]="","",NETWORKDAYS(INT(Bandeja_SCTR[[#This Row],[FechaRecepcion]]),IF(Bandeja_SCTR[[#This Row],[FechaCierre]]="",TODAY(),INT(Bandeja_SCTR[[#This Row],[FechaCierre]])),DIAS_NOLAB[Feriados]))</f>
        <v>2</v>
      </c>
      <c r="M252" s="2" t="str">
        <f>IF(OR(Bandeja_SCTR[[#This Row],[FechaRecepcion]]="",Bandeja_SCTR[[#This Row],[FechaCierre]]=""),"",ROUND((Bandeja_SCTR[[#This Row],[FechaCierre]]-Bandeja_SCTR[[#This Row],[FechaRecepcion]])*24,1))</f>
        <v/>
      </c>
      <c r="N252" s="3">
        <f>IF(Bandeja_SCTR[[#This Row],[FechaRecepcion]]="","",DATE(YEAR(Bandeja_SCTR[[#This Row],[FechaRecepcion]]),MONTH(Bandeja_SCTR[[#This Row],[FechaRecepcion]]),1))</f>
        <v>46296</v>
      </c>
      <c r="O252">
        <f>IF(Bandeja_SCTR[[#This Row],[Estado]]="FINALIZADO",1,0)</f>
        <v>0</v>
      </c>
      <c r="P252">
        <f>IF(Bandeja_SCTR[[#This Row],[CasoId]]="",0,IF(Bandeja_SCTR[[#This Row],[Estado]]="FINALIZADO",0,1))</f>
        <v>1</v>
      </c>
    </row>
    <row r="253" spans="1:16">
      <c r="A253" t="s">
        <v>1031</v>
      </c>
      <c r="B253" t="s">
        <v>1032</v>
      </c>
      <c r="C253" t="s">
        <v>1033</v>
      </c>
      <c r="D253" s="1">
        <v>46312.428576388891</v>
      </c>
      <c r="E253" s="1">
        <v>46312.428576388891</v>
      </c>
      <c r="F253" s="1" t="s">
        <v>1034</v>
      </c>
      <c r="H253" s="1"/>
      <c r="I253" t="s">
        <v>1034</v>
      </c>
      <c r="K253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2</v>
      </c>
      <c r="L253">
        <f ca="1">IF(Bandeja_SCTR[[#This Row],[FechaRecepcion]]="","",NETWORKDAYS(INT(Bandeja_SCTR[[#This Row],[FechaRecepcion]]),IF(Bandeja_SCTR[[#This Row],[FechaCierre]]="",TODAY(),INT(Bandeja_SCTR[[#This Row],[FechaCierre]])),DIAS_NOLAB[Feriados]))</f>
        <v>2</v>
      </c>
      <c r="M253" s="2" t="str">
        <f>IF(OR(Bandeja_SCTR[[#This Row],[FechaRecepcion]]="",Bandeja_SCTR[[#This Row],[FechaCierre]]=""),"",ROUND((Bandeja_SCTR[[#This Row],[FechaCierre]]-Bandeja_SCTR[[#This Row],[FechaRecepcion]])*24,1))</f>
        <v/>
      </c>
      <c r="N253" s="3">
        <f>IF(Bandeja_SCTR[[#This Row],[FechaRecepcion]]="","",DATE(YEAR(Bandeja_SCTR[[#This Row],[FechaRecepcion]]),MONTH(Bandeja_SCTR[[#This Row],[FechaRecepcion]]),1))</f>
        <v>46296</v>
      </c>
      <c r="O253">
        <f>IF(Bandeja_SCTR[[#This Row],[Estado]]="FINALIZADO",1,0)</f>
        <v>0</v>
      </c>
      <c r="P253">
        <f>IF(Bandeja_SCTR[[#This Row],[CasoId]]="",0,IF(Bandeja_SCTR[[#This Row],[Estado]]="FINALIZADO",0,1))</f>
        <v>1</v>
      </c>
    </row>
    <row r="254" spans="1:16">
      <c r="A254" t="s">
        <v>1035</v>
      </c>
      <c r="B254" t="s">
        <v>1036</v>
      </c>
      <c r="C254" t="s">
        <v>1037</v>
      </c>
      <c r="D254" s="1">
        <v>46312.435960648145</v>
      </c>
      <c r="E254" s="1">
        <v>46312.435960648145</v>
      </c>
      <c r="F254" s="1" t="s">
        <v>1038</v>
      </c>
      <c r="H254" s="1"/>
      <c r="I254" t="s">
        <v>1039</v>
      </c>
      <c r="J254" t="s">
        <v>534</v>
      </c>
      <c r="K254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2</v>
      </c>
      <c r="L254">
        <f ca="1">IF(Bandeja_SCTR[[#This Row],[FechaRecepcion]]="","",NETWORKDAYS(INT(Bandeja_SCTR[[#This Row],[FechaRecepcion]]),IF(Bandeja_SCTR[[#This Row],[FechaCierre]]="",TODAY(),INT(Bandeja_SCTR[[#This Row],[FechaCierre]])),DIAS_NOLAB[Feriados]))</f>
        <v>2</v>
      </c>
      <c r="M254" s="2" t="str">
        <f>IF(OR(Bandeja_SCTR[[#This Row],[FechaRecepcion]]="",Bandeja_SCTR[[#This Row],[FechaCierre]]=""),"",ROUND((Bandeja_SCTR[[#This Row],[FechaCierre]]-Bandeja_SCTR[[#This Row],[FechaRecepcion]])*24,1))</f>
        <v/>
      </c>
      <c r="N254" s="3">
        <f>IF(Bandeja_SCTR[[#This Row],[FechaRecepcion]]="","",DATE(YEAR(Bandeja_SCTR[[#This Row],[FechaRecepcion]]),MONTH(Bandeja_SCTR[[#This Row],[FechaRecepcion]]),1))</f>
        <v>46296</v>
      </c>
      <c r="O254">
        <f>IF(Bandeja_SCTR[[#This Row],[Estado]]="FINALIZADO",1,0)</f>
        <v>0</v>
      </c>
      <c r="P254">
        <f>IF(Bandeja_SCTR[[#This Row],[CasoId]]="",0,IF(Bandeja_SCTR[[#This Row],[Estado]]="FINALIZADO",0,1))</f>
        <v>1</v>
      </c>
    </row>
    <row r="255" spans="1:16">
      <c r="A255" t="s">
        <v>1040</v>
      </c>
      <c r="B255" t="s">
        <v>1041</v>
      </c>
      <c r="C255" t="s">
        <v>1042</v>
      </c>
      <c r="D255" s="1">
        <v>46312.465844907405</v>
      </c>
      <c r="E255" s="1">
        <v>46312.465844907405</v>
      </c>
      <c r="F255" s="1" t="s">
        <v>197</v>
      </c>
      <c r="H255" s="1"/>
      <c r="I255" t="s">
        <v>311</v>
      </c>
      <c r="K255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2</v>
      </c>
      <c r="L255">
        <f ca="1">IF(Bandeja_SCTR[[#This Row],[FechaRecepcion]]="","",NETWORKDAYS(INT(Bandeja_SCTR[[#This Row],[FechaRecepcion]]),IF(Bandeja_SCTR[[#This Row],[FechaCierre]]="",TODAY(),INT(Bandeja_SCTR[[#This Row],[FechaCierre]])),DIAS_NOLAB[Feriados]))</f>
        <v>2</v>
      </c>
      <c r="M255" s="2" t="str">
        <f>IF(OR(Bandeja_SCTR[[#This Row],[FechaRecepcion]]="",Bandeja_SCTR[[#This Row],[FechaCierre]]=""),"",ROUND((Bandeja_SCTR[[#This Row],[FechaCierre]]-Bandeja_SCTR[[#This Row],[FechaRecepcion]])*24,1))</f>
        <v/>
      </c>
      <c r="N255" s="3">
        <f>IF(Bandeja_SCTR[[#This Row],[FechaRecepcion]]="","",DATE(YEAR(Bandeja_SCTR[[#This Row],[FechaRecepcion]]),MONTH(Bandeja_SCTR[[#This Row],[FechaRecepcion]]),1))</f>
        <v>46296</v>
      </c>
      <c r="O255">
        <f>IF(Bandeja_SCTR[[#This Row],[Estado]]="FINALIZADO",1,0)</f>
        <v>0</v>
      </c>
      <c r="P255">
        <f>IF(Bandeja_SCTR[[#This Row],[CasoId]]="",0,IF(Bandeja_SCTR[[#This Row],[Estado]]="FINALIZADO",0,1))</f>
        <v>1</v>
      </c>
    </row>
    <row r="256" spans="1:16" hidden="1">
      <c r="A256" t="s">
        <v>1043</v>
      </c>
      <c r="B256" t="s">
        <v>1044</v>
      </c>
      <c r="C256" t="s">
        <v>1045</v>
      </c>
      <c r="D256" s="1">
        <v>46312.47247685185</v>
      </c>
      <c r="E256" s="1">
        <v>46314.446122685185</v>
      </c>
      <c r="F256" s="1" t="s">
        <v>96</v>
      </c>
      <c r="G256" t="s">
        <v>30</v>
      </c>
      <c r="H256" s="1">
        <v>46314.446122685185</v>
      </c>
      <c r="I256" t="s">
        <v>97</v>
      </c>
      <c r="K256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256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256" s="2">
        <f>IF(OR(Bandeja_SCTR[[#This Row],[FechaRecepcion]]="",Bandeja_SCTR[[#This Row],[FechaCierre]]=""),"",ROUND((Bandeja_SCTR[[#This Row],[FechaCierre]]-Bandeja_SCTR[[#This Row],[FechaRecepcion]])*24,1))</f>
        <v>47.4</v>
      </c>
      <c r="N256" s="3">
        <f>IF(Bandeja_SCTR[[#This Row],[FechaRecepcion]]="","",DATE(YEAR(Bandeja_SCTR[[#This Row],[FechaRecepcion]]),MONTH(Bandeja_SCTR[[#This Row],[FechaRecepcion]]),1))</f>
        <v>46296</v>
      </c>
      <c r="O256">
        <f>IF(Bandeja_SCTR[[#This Row],[Estado]]="FINALIZADO",1,0)</f>
        <v>1</v>
      </c>
      <c r="P256">
        <f>IF(Bandeja_SCTR[[#This Row],[CasoId]]="",0,IF(Bandeja_SCTR[[#This Row],[Estado]]="FINALIZADO",0,1))</f>
        <v>0</v>
      </c>
    </row>
    <row r="257" spans="1:16" hidden="1">
      <c r="A257" t="s">
        <v>1046</v>
      </c>
      <c r="B257" t="s">
        <v>1047</v>
      </c>
      <c r="C257" t="s">
        <v>1048</v>
      </c>
      <c r="D257" s="1">
        <v>46312.483425925922</v>
      </c>
      <c r="E257" s="1">
        <v>46314.528749999998</v>
      </c>
      <c r="F257" s="1" t="s">
        <v>96</v>
      </c>
      <c r="G257" t="s">
        <v>30</v>
      </c>
      <c r="H257" s="1">
        <v>46314.528749999998</v>
      </c>
      <c r="I257" t="s">
        <v>268</v>
      </c>
      <c r="K257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257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257" s="2">
        <f>IF(OR(Bandeja_SCTR[[#This Row],[FechaRecepcion]]="",Bandeja_SCTR[[#This Row],[FechaCierre]]=""),"",ROUND((Bandeja_SCTR[[#This Row],[FechaCierre]]-Bandeja_SCTR[[#This Row],[FechaRecepcion]])*24,1))</f>
        <v>49.1</v>
      </c>
      <c r="N257" s="3">
        <f>IF(Bandeja_SCTR[[#This Row],[FechaRecepcion]]="","",DATE(YEAR(Bandeja_SCTR[[#This Row],[FechaRecepcion]]),MONTH(Bandeja_SCTR[[#This Row],[FechaRecepcion]]),1))</f>
        <v>46296</v>
      </c>
      <c r="O257">
        <f>IF(Bandeja_SCTR[[#This Row],[Estado]]="FINALIZADO",1,0)</f>
        <v>1</v>
      </c>
      <c r="P257">
        <f>IF(Bandeja_SCTR[[#This Row],[CasoId]]="",0,IF(Bandeja_SCTR[[#This Row],[Estado]]="FINALIZADO",0,1))</f>
        <v>0</v>
      </c>
    </row>
    <row r="258" spans="1:16">
      <c r="A258" t="s">
        <v>1049</v>
      </c>
      <c r="B258" t="s">
        <v>1050</v>
      </c>
      <c r="C258" t="s">
        <v>1051</v>
      </c>
      <c r="D258" s="1">
        <v>46312.491203703699</v>
      </c>
      <c r="E258" s="1">
        <v>46314.552650462967</v>
      </c>
      <c r="F258" s="1" t="s">
        <v>316</v>
      </c>
      <c r="H258" s="1"/>
      <c r="I258" t="s">
        <v>317</v>
      </c>
      <c r="K258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2</v>
      </c>
      <c r="L258">
        <f ca="1">IF(Bandeja_SCTR[[#This Row],[FechaRecepcion]]="","",NETWORKDAYS(INT(Bandeja_SCTR[[#This Row],[FechaRecepcion]]),IF(Bandeja_SCTR[[#This Row],[FechaCierre]]="",TODAY(),INT(Bandeja_SCTR[[#This Row],[FechaCierre]])),DIAS_NOLAB[Feriados]))</f>
        <v>2</v>
      </c>
      <c r="M258" s="2" t="str">
        <f>IF(OR(Bandeja_SCTR[[#This Row],[FechaRecepcion]]="",Bandeja_SCTR[[#This Row],[FechaCierre]]=""),"",ROUND((Bandeja_SCTR[[#This Row],[FechaCierre]]-Bandeja_SCTR[[#This Row],[FechaRecepcion]])*24,1))</f>
        <v/>
      </c>
      <c r="N258" s="3">
        <f>IF(Bandeja_SCTR[[#This Row],[FechaRecepcion]]="","",DATE(YEAR(Bandeja_SCTR[[#This Row],[FechaRecepcion]]),MONTH(Bandeja_SCTR[[#This Row],[FechaRecepcion]]),1))</f>
        <v>46296</v>
      </c>
      <c r="O258">
        <f>IF(Bandeja_SCTR[[#This Row],[Estado]]="FINALIZADO",1,0)</f>
        <v>0</v>
      </c>
      <c r="P258">
        <f>IF(Bandeja_SCTR[[#This Row],[CasoId]]="",0,IF(Bandeja_SCTR[[#This Row],[Estado]]="FINALIZADO",0,1))</f>
        <v>1</v>
      </c>
    </row>
    <row r="259" spans="1:16" hidden="1">
      <c r="A259" t="s">
        <v>1052</v>
      </c>
      <c r="B259" t="s">
        <v>1053</v>
      </c>
      <c r="C259" t="s">
        <v>1054</v>
      </c>
      <c r="D259" s="1">
        <v>46312.531342592592</v>
      </c>
      <c r="E259" s="1">
        <v>46314.432268518518</v>
      </c>
      <c r="F259" s="1" t="s">
        <v>96</v>
      </c>
      <c r="G259" t="s">
        <v>30</v>
      </c>
      <c r="H259" s="1">
        <v>46314.432268518518</v>
      </c>
      <c r="I259" t="s">
        <v>97</v>
      </c>
      <c r="K259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259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259" s="2">
        <f>IF(OR(Bandeja_SCTR[[#This Row],[FechaRecepcion]]="",Bandeja_SCTR[[#This Row],[FechaCierre]]=""),"",ROUND((Bandeja_SCTR[[#This Row],[FechaCierre]]-Bandeja_SCTR[[#This Row],[FechaRecepcion]])*24,1))</f>
        <v>45.6</v>
      </c>
      <c r="N259" s="3">
        <f>IF(Bandeja_SCTR[[#This Row],[FechaRecepcion]]="","",DATE(YEAR(Bandeja_SCTR[[#This Row],[FechaRecepcion]]),MONTH(Bandeja_SCTR[[#This Row],[FechaRecepcion]]),1))</f>
        <v>46296</v>
      </c>
      <c r="O259">
        <f>IF(Bandeja_SCTR[[#This Row],[Estado]]="FINALIZADO",1,0)</f>
        <v>1</v>
      </c>
      <c r="P259">
        <f>IF(Bandeja_SCTR[[#This Row],[CasoId]]="",0,IF(Bandeja_SCTR[[#This Row],[Estado]]="FINALIZADO",0,1))</f>
        <v>0</v>
      </c>
    </row>
    <row r="260" spans="1:16" hidden="1">
      <c r="A260" t="s">
        <v>1055</v>
      </c>
      <c r="B260" t="s">
        <v>1056</v>
      </c>
      <c r="C260" t="s">
        <v>1057</v>
      </c>
      <c r="D260" s="1">
        <v>46312.643217592587</v>
      </c>
      <c r="E260" s="1">
        <v>46314.526932870373</v>
      </c>
      <c r="F260" s="1" t="s">
        <v>96</v>
      </c>
      <c r="G260" t="s">
        <v>30</v>
      </c>
      <c r="H260" s="1">
        <v>46314.526932870373</v>
      </c>
      <c r="I260" t="s">
        <v>268</v>
      </c>
      <c r="J260" t="s">
        <v>1058</v>
      </c>
      <c r="K260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260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260" s="2">
        <f>IF(OR(Bandeja_SCTR[[#This Row],[FechaRecepcion]]="",Bandeja_SCTR[[#This Row],[FechaCierre]]=""),"",ROUND((Bandeja_SCTR[[#This Row],[FechaCierre]]-Bandeja_SCTR[[#This Row],[FechaRecepcion]])*24,1))</f>
        <v>45.2</v>
      </c>
      <c r="N260" s="3">
        <f>IF(Bandeja_SCTR[[#This Row],[FechaRecepcion]]="","",DATE(YEAR(Bandeja_SCTR[[#This Row],[FechaRecepcion]]),MONTH(Bandeja_SCTR[[#This Row],[FechaRecepcion]]),1))</f>
        <v>46296</v>
      </c>
      <c r="O260">
        <f>IF(Bandeja_SCTR[[#This Row],[Estado]]="FINALIZADO",1,0)</f>
        <v>1</v>
      </c>
      <c r="P260">
        <f>IF(Bandeja_SCTR[[#This Row],[CasoId]]="",0,IF(Bandeja_SCTR[[#This Row],[Estado]]="FINALIZADO",0,1))</f>
        <v>0</v>
      </c>
    </row>
    <row r="261" spans="1:16">
      <c r="A261" t="s">
        <v>1059</v>
      </c>
      <c r="B261" t="s">
        <v>571</v>
      </c>
      <c r="C261" t="s">
        <v>1060</v>
      </c>
      <c r="D261" s="1">
        <v>46312.657511574071</v>
      </c>
      <c r="E261" s="1">
        <v>46314.497106481482</v>
      </c>
      <c r="F261" s="1" t="s">
        <v>91</v>
      </c>
      <c r="H261" s="1"/>
      <c r="I261" t="s">
        <v>91</v>
      </c>
      <c r="J261" t="s">
        <v>1061</v>
      </c>
      <c r="K261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2</v>
      </c>
      <c r="L261">
        <f ca="1">IF(Bandeja_SCTR[[#This Row],[FechaRecepcion]]="","",NETWORKDAYS(INT(Bandeja_SCTR[[#This Row],[FechaRecepcion]]),IF(Bandeja_SCTR[[#This Row],[FechaCierre]]="",TODAY(),INT(Bandeja_SCTR[[#This Row],[FechaCierre]])),DIAS_NOLAB[Feriados]))</f>
        <v>2</v>
      </c>
      <c r="M261" s="2" t="str">
        <f>IF(OR(Bandeja_SCTR[[#This Row],[FechaRecepcion]]="",Bandeja_SCTR[[#This Row],[FechaCierre]]=""),"",ROUND((Bandeja_SCTR[[#This Row],[FechaCierre]]-Bandeja_SCTR[[#This Row],[FechaRecepcion]])*24,1))</f>
        <v/>
      </c>
      <c r="N261" s="3">
        <f>IF(Bandeja_SCTR[[#This Row],[FechaRecepcion]]="","",DATE(YEAR(Bandeja_SCTR[[#This Row],[FechaRecepcion]]),MONTH(Bandeja_SCTR[[#This Row],[FechaRecepcion]]),1))</f>
        <v>46296</v>
      </c>
      <c r="O261">
        <f>IF(Bandeja_SCTR[[#This Row],[Estado]]="FINALIZADO",1,0)</f>
        <v>0</v>
      </c>
      <c r="P261">
        <f>IF(Bandeja_SCTR[[#This Row],[CasoId]]="",0,IF(Bandeja_SCTR[[#This Row],[Estado]]="FINALIZADO",0,1))</f>
        <v>1</v>
      </c>
    </row>
    <row r="262" spans="1:16">
      <c r="A262" t="s">
        <v>1062</v>
      </c>
      <c r="B262" t="s">
        <v>1063</v>
      </c>
      <c r="C262" t="s">
        <v>1064</v>
      </c>
      <c r="D262" s="1">
        <v>46312.911724537036</v>
      </c>
      <c r="E262" s="1">
        <v>46312.911724537036</v>
      </c>
      <c r="F262" s="1" t="s">
        <v>1065</v>
      </c>
      <c r="H262" s="1"/>
      <c r="I262" t="s">
        <v>1065</v>
      </c>
      <c r="J262" t="s">
        <v>772</v>
      </c>
      <c r="K262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2</v>
      </c>
      <c r="L262">
        <f ca="1">IF(Bandeja_SCTR[[#This Row],[FechaRecepcion]]="","",NETWORKDAYS(INT(Bandeja_SCTR[[#This Row],[FechaRecepcion]]),IF(Bandeja_SCTR[[#This Row],[FechaCierre]]="",TODAY(),INT(Bandeja_SCTR[[#This Row],[FechaCierre]])),DIAS_NOLAB[Feriados]))</f>
        <v>2</v>
      </c>
      <c r="M262" s="2" t="str">
        <f>IF(OR(Bandeja_SCTR[[#This Row],[FechaRecepcion]]="",Bandeja_SCTR[[#This Row],[FechaCierre]]=""),"",ROUND((Bandeja_SCTR[[#This Row],[FechaCierre]]-Bandeja_SCTR[[#This Row],[FechaRecepcion]])*24,1))</f>
        <v/>
      </c>
      <c r="N262" s="3">
        <f>IF(Bandeja_SCTR[[#This Row],[FechaRecepcion]]="","",DATE(YEAR(Bandeja_SCTR[[#This Row],[FechaRecepcion]]),MONTH(Bandeja_SCTR[[#This Row],[FechaRecepcion]]),1))</f>
        <v>46296</v>
      </c>
      <c r="O262">
        <f>IF(Bandeja_SCTR[[#This Row],[Estado]]="FINALIZADO",1,0)</f>
        <v>0</v>
      </c>
      <c r="P262">
        <f>IF(Bandeja_SCTR[[#This Row],[CasoId]]="",0,IF(Bandeja_SCTR[[#This Row],[Estado]]="FINALIZADO",0,1))</f>
        <v>1</v>
      </c>
    </row>
    <row r="263" spans="1:16" hidden="1">
      <c r="A263" t="s">
        <v>1066</v>
      </c>
      <c r="B263" t="s">
        <v>1067</v>
      </c>
      <c r="C263" t="s">
        <v>1068</v>
      </c>
      <c r="D263" s="1">
        <v>46312.925671296296</v>
      </c>
      <c r="E263" s="1">
        <v>46314.511724537035</v>
      </c>
      <c r="F263" s="1" t="s">
        <v>96</v>
      </c>
      <c r="G263" t="s">
        <v>30</v>
      </c>
      <c r="H263" s="1">
        <v>46314.511724537035</v>
      </c>
      <c r="I263" t="s">
        <v>268</v>
      </c>
      <c r="J263" t="s">
        <v>1069</v>
      </c>
      <c r="K263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263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263" s="2">
        <f>IF(OR(Bandeja_SCTR[[#This Row],[FechaRecepcion]]="",Bandeja_SCTR[[#This Row],[FechaCierre]]=""),"",ROUND((Bandeja_SCTR[[#This Row],[FechaCierre]]-Bandeja_SCTR[[#This Row],[FechaRecepcion]])*24,1))</f>
        <v>38.1</v>
      </c>
      <c r="N263" s="3">
        <f>IF(Bandeja_SCTR[[#This Row],[FechaRecepcion]]="","",DATE(YEAR(Bandeja_SCTR[[#This Row],[FechaRecepcion]]),MONTH(Bandeja_SCTR[[#This Row],[FechaRecepcion]]),1))</f>
        <v>46296</v>
      </c>
      <c r="O263">
        <f>IF(Bandeja_SCTR[[#This Row],[Estado]]="FINALIZADO",1,0)</f>
        <v>1</v>
      </c>
      <c r="P263">
        <f>IF(Bandeja_SCTR[[#This Row],[CasoId]]="",0,IF(Bandeja_SCTR[[#This Row],[Estado]]="FINALIZADO",0,1))</f>
        <v>0</v>
      </c>
    </row>
    <row r="264" spans="1:16" hidden="1">
      <c r="A264" t="s">
        <v>1070</v>
      </c>
      <c r="B264" t="s">
        <v>1071</v>
      </c>
      <c r="C264" t="s">
        <v>1072</v>
      </c>
      <c r="D264" s="1">
        <v>46312.932604166665</v>
      </c>
      <c r="E264" s="1">
        <v>46314.508912037039</v>
      </c>
      <c r="F264" s="1" t="s">
        <v>96</v>
      </c>
      <c r="G264" t="s">
        <v>30</v>
      </c>
      <c r="H264" s="1">
        <v>46314.508912037039</v>
      </c>
      <c r="I264" t="s">
        <v>268</v>
      </c>
      <c r="J264" t="s">
        <v>1073</v>
      </c>
      <c r="K264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264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264" s="2">
        <f>IF(OR(Bandeja_SCTR[[#This Row],[FechaRecepcion]]="",Bandeja_SCTR[[#This Row],[FechaCierre]]=""),"",ROUND((Bandeja_SCTR[[#This Row],[FechaCierre]]-Bandeja_SCTR[[#This Row],[FechaRecepcion]])*24,1))</f>
        <v>37.799999999999997</v>
      </c>
      <c r="N264" s="3">
        <f>IF(Bandeja_SCTR[[#This Row],[FechaRecepcion]]="","",DATE(YEAR(Bandeja_SCTR[[#This Row],[FechaRecepcion]]),MONTH(Bandeja_SCTR[[#This Row],[FechaRecepcion]]),1))</f>
        <v>46296</v>
      </c>
      <c r="O264">
        <f>IF(Bandeja_SCTR[[#This Row],[Estado]]="FINALIZADO",1,0)</f>
        <v>1</v>
      </c>
      <c r="P264">
        <f>IF(Bandeja_SCTR[[#This Row],[CasoId]]="",0,IF(Bandeja_SCTR[[#This Row],[Estado]]="FINALIZADO",0,1))</f>
        <v>0</v>
      </c>
    </row>
    <row r="265" spans="1:16">
      <c r="A265" t="s">
        <v>1074</v>
      </c>
      <c r="B265" t="s">
        <v>1075</v>
      </c>
      <c r="C265" t="s">
        <v>1076</v>
      </c>
      <c r="D265" s="1">
        <v>46312.939513888894</v>
      </c>
      <c r="E265" s="1">
        <v>46312.939513888894</v>
      </c>
      <c r="F265" s="1" t="s">
        <v>1077</v>
      </c>
      <c r="H265" s="1"/>
      <c r="I265" t="s">
        <v>1077</v>
      </c>
      <c r="K265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2</v>
      </c>
      <c r="L265">
        <f ca="1">IF(Bandeja_SCTR[[#This Row],[FechaRecepcion]]="","",NETWORKDAYS(INT(Bandeja_SCTR[[#This Row],[FechaRecepcion]]),IF(Bandeja_SCTR[[#This Row],[FechaCierre]]="",TODAY(),INT(Bandeja_SCTR[[#This Row],[FechaCierre]])),DIAS_NOLAB[Feriados]))</f>
        <v>2</v>
      </c>
      <c r="M265" s="2" t="str">
        <f>IF(OR(Bandeja_SCTR[[#This Row],[FechaRecepcion]]="",Bandeja_SCTR[[#This Row],[FechaCierre]]=""),"",ROUND((Bandeja_SCTR[[#This Row],[FechaCierre]]-Bandeja_SCTR[[#This Row],[FechaRecepcion]])*24,1))</f>
        <v/>
      </c>
      <c r="N265" s="3">
        <f>IF(Bandeja_SCTR[[#This Row],[FechaRecepcion]]="","",DATE(YEAR(Bandeja_SCTR[[#This Row],[FechaRecepcion]]),MONTH(Bandeja_SCTR[[#This Row],[FechaRecepcion]]),1))</f>
        <v>46296</v>
      </c>
      <c r="O265">
        <f>IF(Bandeja_SCTR[[#This Row],[Estado]]="FINALIZADO",1,0)</f>
        <v>0</v>
      </c>
      <c r="P265">
        <f>IF(Bandeja_SCTR[[#This Row],[CasoId]]="",0,IF(Bandeja_SCTR[[#This Row],[Estado]]="FINALIZADO",0,1))</f>
        <v>1</v>
      </c>
    </row>
    <row r="266" spans="1:16">
      <c r="A266" t="s">
        <v>1078</v>
      </c>
      <c r="B266" t="s">
        <v>1079</v>
      </c>
      <c r="C266" t="s">
        <v>1080</v>
      </c>
      <c r="D266" s="1">
        <v>46313.358171296291</v>
      </c>
      <c r="E266" s="1">
        <v>46313.358171296291</v>
      </c>
      <c r="F266" s="1" t="s">
        <v>144</v>
      </c>
      <c r="H266" s="1"/>
      <c r="I266" t="s">
        <v>210</v>
      </c>
      <c r="J266" t="s">
        <v>1081</v>
      </c>
      <c r="K266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2</v>
      </c>
      <c r="L266">
        <f ca="1">IF(Bandeja_SCTR[[#This Row],[FechaRecepcion]]="","",NETWORKDAYS(INT(Bandeja_SCTR[[#This Row],[FechaRecepcion]]),IF(Bandeja_SCTR[[#This Row],[FechaCierre]]="",TODAY(),INT(Bandeja_SCTR[[#This Row],[FechaCierre]])),DIAS_NOLAB[Feriados]))</f>
        <v>2</v>
      </c>
      <c r="M266" s="2" t="str">
        <f>IF(OR(Bandeja_SCTR[[#This Row],[FechaRecepcion]]="",Bandeja_SCTR[[#This Row],[FechaCierre]]=""),"",ROUND((Bandeja_SCTR[[#This Row],[FechaCierre]]-Bandeja_SCTR[[#This Row],[FechaRecepcion]])*24,1))</f>
        <v/>
      </c>
      <c r="N266" s="3">
        <f>IF(Bandeja_SCTR[[#This Row],[FechaRecepcion]]="","",DATE(YEAR(Bandeja_SCTR[[#This Row],[FechaRecepcion]]),MONTH(Bandeja_SCTR[[#This Row],[FechaRecepcion]]),1))</f>
        <v>46296</v>
      </c>
      <c r="O266">
        <f>IF(Bandeja_SCTR[[#This Row],[Estado]]="FINALIZADO",1,0)</f>
        <v>0</v>
      </c>
      <c r="P266">
        <f>IF(Bandeja_SCTR[[#This Row],[CasoId]]="",0,IF(Bandeja_SCTR[[#This Row],[Estado]]="FINALIZADO",0,1))</f>
        <v>1</v>
      </c>
    </row>
    <row r="267" spans="1:16">
      <c r="A267" t="s">
        <v>1082</v>
      </c>
      <c r="B267" t="s">
        <v>1083</v>
      </c>
      <c r="C267" t="s">
        <v>1084</v>
      </c>
      <c r="D267" s="1">
        <v>46313.361076388886</v>
      </c>
      <c r="E267" s="1">
        <v>46313.361076388886</v>
      </c>
      <c r="F267" s="1" t="s">
        <v>144</v>
      </c>
      <c r="H267" s="1"/>
      <c r="I267" t="s">
        <v>210</v>
      </c>
      <c r="J267" t="s">
        <v>534</v>
      </c>
      <c r="K267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2</v>
      </c>
      <c r="L267">
        <f ca="1">IF(Bandeja_SCTR[[#This Row],[FechaRecepcion]]="","",NETWORKDAYS(INT(Bandeja_SCTR[[#This Row],[FechaRecepcion]]),IF(Bandeja_SCTR[[#This Row],[FechaCierre]]="",TODAY(),INT(Bandeja_SCTR[[#This Row],[FechaCierre]])),DIAS_NOLAB[Feriados]))</f>
        <v>2</v>
      </c>
      <c r="M267" s="2" t="str">
        <f>IF(OR(Bandeja_SCTR[[#This Row],[FechaRecepcion]]="",Bandeja_SCTR[[#This Row],[FechaCierre]]=""),"",ROUND((Bandeja_SCTR[[#This Row],[FechaCierre]]-Bandeja_SCTR[[#This Row],[FechaRecepcion]])*24,1))</f>
        <v/>
      </c>
      <c r="N267" s="3">
        <f>IF(Bandeja_SCTR[[#This Row],[FechaRecepcion]]="","",DATE(YEAR(Bandeja_SCTR[[#This Row],[FechaRecepcion]]),MONTH(Bandeja_SCTR[[#This Row],[FechaRecepcion]]),1))</f>
        <v>46296</v>
      </c>
      <c r="O267">
        <f>IF(Bandeja_SCTR[[#This Row],[Estado]]="FINALIZADO",1,0)</f>
        <v>0</v>
      </c>
      <c r="P267">
        <f>IF(Bandeja_SCTR[[#This Row],[CasoId]]="",0,IF(Bandeja_SCTR[[#This Row],[Estado]]="FINALIZADO",0,1))</f>
        <v>1</v>
      </c>
    </row>
    <row r="268" spans="1:16">
      <c r="A268" t="s">
        <v>1085</v>
      </c>
      <c r="B268" t="s">
        <v>1086</v>
      </c>
      <c r="C268" t="s">
        <v>1087</v>
      </c>
      <c r="D268" s="1">
        <v>46313.369641203702</v>
      </c>
      <c r="E268" s="1">
        <v>46313.369641203702</v>
      </c>
      <c r="F268" s="1" t="s">
        <v>144</v>
      </c>
      <c r="H268" s="1"/>
      <c r="I268" t="s">
        <v>210</v>
      </c>
      <c r="J268" t="s">
        <v>677</v>
      </c>
      <c r="K268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2</v>
      </c>
      <c r="L268">
        <f ca="1">IF(Bandeja_SCTR[[#This Row],[FechaRecepcion]]="","",NETWORKDAYS(INT(Bandeja_SCTR[[#This Row],[FechaRecepcion]]),IF(Bandeja_SCTR[[#This Row],[FechaCierre]]="",TODAY(),INT(Bandeja_SCTR[[#This Row],[FechaCierre]])),DIAS_NOLAB[Feriados]))</f>
        <v>2</v>
      </c>
      <c r="M268" s="2" t="str">
        <f>IF(OR(Bandeja_SCTR[[#This Row],[FechaRecepcion]]="",Bandeja_SCTR[[#This Row],[FechaCierre]]=""),"",ROUND((Bandeja_SCTR[[#This Row],[FechaCierre]]-Bandeja_SCTR[[#This Row],[FechaRecepcion]])*24,1))</f>
        <v/>
      </c>
      <c r="N268" s="3">
        <f>IF(Bandeja_SCTR[[#This Row],[FechaRecepcion]]="","",DATE(YEAR(Bandeja_SCTR[[#This Row],[FechaRecepcion]]),MONTH(Bandeja_SCTR[[#This Row],[FechaRecepcion]]),1))</f>
        <v>46296</v>
      </c>
      <c r="O268">
        <f>IF(Bandeja_SCTR[[#This Row],[Estado]]="FINALIZADO",1,0)</f>
        <v>0</v>
      </c>
      <c r="P268">
        <f>IF(Bandeja_SCTR[[#This Row],[CasoId]]="",0,IF(Bandeja_SCTR[[#This Row],[Estado]]="FINALIZADO",0,1))</f>
        <v>1</v>
      </c>
    </row>
    <row r="269" spans="1:16" hidden="1">
      <c r="A269" t="s">
        <v>1088</v>
      </c>
      <c r="B269" t="s">
        <v>857</v>
      </c>
      <c r="C269" t="s">
        <v>858</v>
      </c>
      <c r="D269" s="1">
        <v>46313.462719907402</v>
      </c>
      <c r="E269" s="1">
        <v>46314.505277777775</v>
      </c>
      <c r="F269" s="1" t="s">
        <v>96</v>
      </c>
      <c r="G269" t="s">
        <v>30</v>
      </c>
      <c r="H269" s="1">
        <v>46314.505277777775</v>
      </c>
      <c r="I269" t="s">
        <v>268</v>
      </c>
      <c r="J269" t="s">
        <v>1089</v>
      </c>
      <c r="K269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269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269" s="2">
        <f>IF(OR(Bandeja_SCTR[[#This Row],[FechaRecepcion]]="",Bandeja_SCTR[[#This Row],[FechaCierre]]=""),"",ROUND((Bandeja_SCTR[[#This Row],[FechaCierre]]-Bandeja_SCTR[[#This Row],[FechaRecepcion]])*24,1))</f>
        <v>25</v>
      </c>
      <c r="N269" s="3">
        <f>IF(Bandeja_SCTR[[#This Row],[FechaRecepcion]]="","",DATE(YEAR(Bandeja_SCTR[[#This Row],[FechaRecepcion]]),MONTH(Bandeja_SCTR[[#This Row],[FechaRecepcion]]),1))</f>
        <v>46296</v>
      </c>
      <c r="O269">
        <f>IF(Bandeja_SCTR[[#This Row],[Estado]]="FINALIZADO",1,0)</f>
        <v>1</v>
      </c>
      <c r="P269">
        <f>IF(Bandeja_SCTR[[#This Row],[CasoId]]="",0,IF(Bandeja_SCTR[[#This Row],[Estado]]="FINALIZADO",0,1))</f>
        <v>0</v>
      </c>
    </row>
    <row r="270" spans="1:16">
      <c r="A270" t="s">
        <v>1090</v>
      </c>
      <c r="B270" t="s">
        <v>1091</v>
      </c>
      <c r="C270" t="s">
        <v>1092</v>
      </c>
      <c r="D270" s="1">
        <v>46313.567870370374</v>
      </c>
      <c r="E270" s="1">
        <v>46313.567870370374</v>
      </c>
      <c r="F270" s="1" t="s">
        <v>263</v>
      </c>
      <c r="H270" s="1"/>
      <c r="I270" t="s">
        <v>263</v>
      </c>
      <c r="K270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2</v>
      </c>
      <c r="L270">
        <f ca="1">IF(Bandeja_SCTR[[#This Row],[FechaRecepcion]]="","",NETWORKDAYS(INT(Bandeja_SCTR[[#This Row],[FechaRecepcion]]),IF(Bandeja_SCTR[[#This Row],[FechaCierre]]="",TODAY(),INT(Bandeja_SCTR[[#This Row],[FechaCierre]])),DIAS_NOLAB[Feriados]))</f>
        <v>2</v>
      </c>
      <c r="M270" s="2" t="str">
        <f>IF(OR(Bandeja_SCTR[[#This Row],[FechaRecepcion]]="",Bandeja_SCTR[[#This Row],[FechaCierre]]=""),"",ROUND((Bandeja_SCTR[[#This Row],[FechaCierre]]-Bandeja_SCTR[[#This Row],[FechaRecepcion]])*24,1))</f>
        <v/>
      </c>
      <c r="N270" s="3">
        <f>IF(Bandeja_SCTR[[#This Row],[FechaRecepcion]]="","",DATE(YEAR(Bandeja_SCTR[[#This Row],[FechaRecepcion]]),MONTH(Bandeja_SCTR[[#This Row],[FechaRecepcion]]),1))</f>
        <v>46296</v>
      </c>
      <c r="O270">
        <f>IF(Bandeja_SCTR[[#This Row],[Estado]]="FINALIZADO",1,0)</f>
        <v>0</v>
      </c>
      <c r="P270">
        <f>IF(Bandeja_SCTR[[#This Row],[CasoId]]="",0,IF(Bandeja_SCTR[[#This Row],[Estado]]="FINALIZADO",0,1))</f>
        <v>1</v>
      </c>
    </row>
    <row r="271" spans="1:16" hidden="1">
      <c r="A271" t="s">
        <v>1093</v>
      </c>
      <c r="B271" t="s">
        <v>1094</v>
      </c>
      <c r="C271" t="s">
        <v>1095</v>
      </c>
      <c r="D271" s="1">
        <v>46313.755312499998</v>
      </c>
      <c r="E271" s="1">
        <v>46314.503796296296</v>
      </c>
      <c r="F271" s="1" t="s">
        <v>96</v>
      </c>
      <c r="G271" t="s">
        <v>30</v>
      </c>
      <c r="H271" s="1">
        <v>46314.503796296296</v>
      </c>
      <c r="I271" t="s">
        <v>268</v>
      </c>
      <c r="K271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271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271" s="2">
        <f>IF(OR(Bandeja_SCTR[[#This Row],[FechaRecepcion]]="",Bandeja_SCTR[[#This Row],[FechaCierre]]=""),"",ROUND((Bandeja_SCTR[[#This Row],[FechaCierre]]-Bandeja_SCTR[[#This Row],[FechaRecepcion]])*24,1))</f>
        <v>18</v>
      </c>
      <c r="N271" s="3">
        <f>IF(Bandeja_SCTR[[#This Row],[FechaRecepcion]]="","",DATE(YEAR(Bandeja_SCTR[[#This Row],[FechaRecepcion]]),MONTH(Bandeja_SCTR[[#This Row],[FechaRecepcion]]),1))</f>
        <v>46296</v>
      </c>
      <c r="O271">
        <f>IF(Bandeja_SCTR[[#This Row],[Estado]]="FINALIZADO",1,0)</f>
        <v>1</v>
      </c>
      <c r="P271">
        <f>IF(Bandeja_SCTR[[#This Row],[CasoId]]="",0,IF(Bandeja_SCTR[[#This Row],[Estado]]="FINALIZADO",0,1))</f>
        <v>0</v>
      </c>
    </row>
    <row r="272" spans="1:16">
      <c r="A272" t="s">
        <v>1096</v>
      </c>
      <c r="B272" t="s">
        <v>1097</v>
      </c>
      <c r="C272" t="s">
        <v>1098</v>
      </c>
      <c r="D272" s="1">
        <v>46314.090069444443</v>
      </c>
      <c r="E272" s="1">
        <v>46315.468310185184</v>
      </c>
      <c r="F272" s="1" t="s">
        <v>80</v>
      </c>
      <c r="H272" s="1"/>
      <c r="I272" t="s">
        <v>80</v>
      </c>
      <c r="J272" t="s">
        <v>1099</v>
      </c>
      <c r="K272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1</v>
      </c>
      <c r="L272">
        <f ca="1">IF(Bandeja_SCTR[[#This Row],[FechaRecepcion]]="","",NETWORKDAYS(INT(Bandeja_SCTR[[#This Row],[FechaRecepcion]]),IF(Bandeja_SCTR[[#This Row],[FechaCierre]]="",TODAY(),INT(Bandeja_SCTR[[#This Row],[FechaCierre]])),DIAS_NOLAB[Feriados]))</f>
        <v>2</v>
      </c>
      <c r="M272" s="2" t="str">
        <f>IF(OR(Bandeja_SCTR[[#This Row],[FechaRecepcion]]="",Bandeja_SCTR[[#This Row],[FechaCierre]]=""),"",ROUND((Bandeja_SCTR[[#This Row],[FechaCierre]]-Bandeja_SCTR[[#This Row],[FechaRecepcion]])*24,1))</f>
        <v/>
      </c>
      <c r="N272" s="3">
        <f>IF(Bandeja_SCTR[[#This Row],[FechaRecepcion]]="","",DATE(YEAR(Bandeja_SCTR[[#This Row],[FechaRecepcion]]),MONTH(Bandeja_SCTR[[#This Row],[FechaRecepcion]]),1))</f>
        <v>46296</v>
      </c>
      <c r="O272">
        <f>IF(Bandeja_SCTR[[#This Row],[Estado]]="FINALIZADO",1,0)</f>
        <v>0</v>
      </c>
      <c r="P272">
        <f>IF(Bandeja_SCTR[[#This Row],[CasoId]]="",0,IF(Bandeja_SCTR[[#This Row],[Estado]]="FINALIZADO",0,1))</f>
        <v>1</v>
      </c>
    </row>
    <row r="273" spans="1:16">
      <c r="A273" t="s">
        <v>1100</v>
      </c>
      <c r="B273" t="s">
        <v>1101</v>
      </c>
      <c r="C273" t="s">
        <v>1102</v>
      </c>
      <c r="D273" s="1">
        <v>46314.107893518521</v>
      </c>
      <c r="E273" s="1">
        <v>46314.107893518521</v>
      </c>
      <c r="F273" s="1" t="s">
        <v>1103</v>
      </c>
      <c r="H273" s="1"/>
      <c r="I273" t="s">
        <v>1104</v>
      </c>
      <c r="J273" t="s">
        <v>530</v>
      </c>
      <c r="K273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2</v>
      </c>
      <c r="L273">
        <f ca="1">IF(Bandeja_SCTR[[#This Row],[FechaRecepcion]]="","",NETWORKDAYS(INT(Bandeja_SCTR[[#This Row],[FechaRecepcion]]),IF(Bandeja_SCTR[[#This Row],[FechaCierre]]="",TODAY(),INT(Bandeja_SCTR[[#This Row],[FechaCierre]])),DIAS_NOLAB[Feriados]))</f>
        <v>2</v>
      </c>
      <c r="M273" s="2" t="str">
        <f>IF(OR(Bandeja_SCTR[[#This Row],[FechaRecepcion]]="",Bandeja_SCTR[[#This Row],[FechaCierre]]=""),"",ROUND((Bandeja_SCTR[[#This Row],[FechaCierre]]-Bandeja_SCTR[[#This Row],[FechaRecepcion]])*24,1))</f>
        <v/>
      </c>
      <c r="N273" s="3">
        <f>IF(Bandeja_SCTR[[#This Row],[FechaRecepcion]]="","",DATE(YEAR(Bandeja_SCTR[[#This Row],[FechaRecepcion]]),MONTH(Bandeja_SCTR[[#This Row],[FechaRecepcion]]),1))</f>
        <v>46296</v>
      </c>
      <c r="O273">
        <f>IF(Bandeja_SCTR[[#This Row],[Estado]]="FINALIZADO",1,0)</f>
        <v>0</v>
      </c>
      <c r="P273">
        <f>IF(Bandeja_SCTR[[#This Row],[CasoId]]="",0,IF(Bandeja_SCTR[[#This Row],[Estado]]="FINALIZADO",0,1))</f>
        <v>1</v>
      </c>
    </row>
    <row r="274" spans="1:16" hidden="1">
      <c r="A274" t="s">
        <v>1105</v>
      </c>
      <c r="B274" t="s">
        <v>1106</v>
      </c>
      <c r="C274" t="s">
        <v>1107</v>
      </c>
      <c r="D274" s="1">
        <v>46314.343935185185</v>
      </c>
      <c r="E274" s="1">
        <v>46314.500752314816</v>
      </c>
      <c r="F274" s="1" t="s">
        <v>96</v>
      </c>
      <c r="G274" t="s">
        <v>30</v>
      </c>
      <c r="H274" s="1">
        <v>46314.500752314816</v>
      </c>
      <c r="I274" t="s">
        <v>268</v>
      </c>
      <c r="J274" t="s">
        <v>1108</v>
      </c>
      <c r="K274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274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274" s="2">
        <f>IF(OR(Bandeja_SCTR[[#This Row],[FechaRecepcion]]="",Bandeja_SCTR[[#This Row],[FechaCierre]]=""),"",ROUND((Bandeja_SCTR[[#This Row],[FechaCierre]]-Bandeja_SCTR[[#This Row],[FechaRecepcion]])*24,1))</f>
        <v>3.8</v>
      </c>
      <c r="N274" s="3">
        <f>IF(Bandeja_SCTR[[#This Row],[FechaRecepcion]]="","",DATE(YEAR(Bandeja_SCTR[[#This Row],[FechaRecepcion]]),MONTH(Bandeja_SCTR[[#This Row],[FechaRecepcion]]),1))</f>
        <v>46296</v>
      </c>
      <c r="O274">
        <f>IF(Bandeja_SCTR[[#This Row],[Estado]]="FINALIZADO",1,0)</f>
        <v>1</v>
      </c>
      <c r="P274">
        <f>IF(Bandeja_SCTR[[#This Row],[CasoId]]="",0,IF(Bandeja_SCTR[[#This Row],[Estado]]="FINALIZADO",0,1))</f>
        <v>0</v>
      </c>
    </row>
    <row r="275" spans="1:16">
      <c r="A275" t="s">
        <v>1109</v>
      </c>
      <c r="B275" t="s">
        <v>1110</v>
      </c>
      <c r="C275" t="s">
        <v>1111</v>
      </c>
      <c r="D275" s="1">
        <v>46314.357557870375</v>
      </c>
      <c r="E275" s="1">
        <v>46314.357557870375</v>
      </c>
      <c r="F275" s="1" t="s">
        <v>144</v>
      </c>
      <c r="H275" s="1"/>
      <c r="I275" t="s">
        <v>210</v>
      </c>
      <c r="K275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2</v>
      </c>
      <c r="L275">
        <f ca="1">IF(Bandeja_SCTR[[#This Row],[FechaRecepcion]]="","",NETWORKDAYS(INT(Bandeja_SCTR[[#This Row],[FechaRecepcion]]),IF(Bandeja_SCTR[[#This Row],[FechaCierre]]="",TODAY(),INT(Bandeja_SCTR[[#This Row],[FechaCierre]])),DIAS_NOLAB[Feriados]))</f>
        <v>2</v>
      </c>
      <c r="M275" s="2" t="str">
        <f>IF(OR(Bandeja_SCTR[[#This Row],[FechaRecepcion]]="",Bandeja_SCTR[[#This Row],[FechaCierre]]=""),"",ROUND((Bandeja_SCTR[[#This Row],[FechaCierre]]-Bandeja_SCTR[[#This Row],[FechaRecepcion]])*24,1))</f>
        <v/>
      </c>
      <c r="N275" s="3">
        <f>IF(Bandeja_SCTR[[#This Row],[FechaRecepcion]]="","",DATE(YEAR(Bandeja_SCTR[[#This Row],[FechaRecepcion]]),MONTH(Bandeja_SCTR[[#This Row],[FechaRecepcion]]),1))</f>
        <v>46296</v>
      </c>
      <c r="O275">
        <f>IF(Bandeja_SCTR[[#This Row],[Estado]]="FINALIZADO",1,0)</f>
        <v>0</v>
      </c>
      <c r="P275">
        <f>IF(Bandeja_SCTR[[#This Row],[CasoId]]="",0,IF(Bandeja_SCTR[[#This Row],[Estado]]="FINALIZADO",0,1))</f>
        <v>1</v>
      </c>
    </row>
    <row r="276" spans="1:16">
      <c r="A276" t="s">
        <v>1112</v>
      </c>
      <c r="B276" t="s">
        <v>1113</v>
      </c>
      <c r="C276" t="s">
        <v>1114</v>
      </c>
      <c r="D276" s="1">
        <v>46314.357604166667</v>
      </c>
      <c r="E276" s="1">
        <v>46314.357604166667</v>
      </c>
      <c r="F276" s="1" t="s">
        <v>144</v>
      </c>
      <c r="H276" s="1"/>
      <c r="I276" t="s">
        <v>210</v>
      </c>
      <c r="K276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2</v>
      </c>
      <c r="L276">
        <f ca="1">IF(Bandeja_SCTR[[#This Row],[FechaRecepcion]]="","",NETWORKDAYS(INT(Bandeja_SCTR[[#This Row],[FechaRecepcion]]),IF(Bandeja_SCTR[[#This Row],[FechaCierre]]="",TODAY(),INT(Bandeja_SCTR[[#This Row],[FechaCierre]])),DIAS_NOLAB[Feriados]))</f>
        <v>2</v>
      </c>
      <c r="M276" s="2" t="str">
        <f>IF(OR(Bandeja_SCTR[[#This Row],[FechaRecepcion]]="",Bandeja_SCTR[[#This Row],[FechaCierre]]=""),"",ROUND((Bandeja_SCTR[[#This Row],[FechaCierre]]-Bandeja_SCTR[[#This Row],[FechaRecepcion]])*24,1))</f>
        <v/>
      </c>
      <c r="N276" s="3">
        <f>IF(Bandeja_SCTR[[#This Row],[FechaRecepcion]]="","",DATE(YEAR(Bandeja_SCTR[[#This Row],[FechaRecepcion]]),MONTH(Bandeja_SCTR[[#This Row],[FechaRecepcion]]),1))</f>
        <v>46296</v>
      </c>
      <c r="O276">
        <f>IF(Bandeja_SCTR[[#This Row],[Estado]]="FINALIZADO",1,0)</f>
        <v>0</v>
      </c>
      <c r="P276">
        <f>IF(Bandeja_SCTR[[#This Row],[CasoId]]="",0,IF(Bandeja_SCTR[[#This Row],[Estado]]="FINALIZADO",0,1))</f>
        <v>1</v>
      </c>
    </row>
    <row r="277" spans="1:16" hidden="1">
      <c r="A277" t="s">
        <v>1115</v>
      </c>
      <c r="B277" t="s">
        <v>1116</v>
      </c>
      <c r="C277" t="s">
        <v>1117</v>
      </c>
      <c r="D277" s="1">
        <v>46314.370289351849</v>
      </c>
      <c r="E277" s="1">
        <v>46314.50001157407</v>
      </c>
      <c r="F277" s="1" t="s">
        <v>96</v>
      </c>
      <c r="G277" t="s">
        <v>30</v>
      </c>
      <c r="H277" s="1">
        <v>46314.50001157407</v>
      </c>
      <c r="I277" t="s">
        <v>268</v>
      </c>
      <c r="J277" t="s">
        <v>1118</v>
      </c>
      <c r="K277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277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277" s="2">
        <f>IF(OR(Bandeja_SCTR[[#This Row],[FechaRecepcion]]="",Bandeja_SCTR[[#This Row],[FechaCierre]]=""),"",ROUND((Bandeja_SCTR[[#This Row],[FechaCierre]]-Bandeja_SCTR[[#This Row],[FechaRecepcion]])*24,1))</f>
        <v>3.1</v>
      </c>
      <c r="N277" s="3">
        <f>IF(Bandeja_SCTR[[#This Row],[FechaRecepcion]]="","",DATE(YEAR(Bandeja_SCTR[[#This Row],[FechaRecepcion]]),MONTH(Bandeja_SCTR[[#This Row],[FechaRecepcion]]),1))</f>
        <v>46296</v>
      </c>
      <c r="O277">
        <f>IF(Bandeja_SCTR[[#This Row],[Estado]]="FINALIZADO",1,0)</f>
        <v>1</v>
      </c>
      <c r="P277">
        <f>IF(Bandeja_SCTR[[#This Row],[CasoId]]="",0,IF(Bandeja_SCTR[[#This Row],[Estado]]="FINALIZADO",0,1))</f>
        <v>0</v>
      </c>
    </row>
    <row r="278" spans="1:16">
      <c r="A278" t="s">
        <v>1119</v>
      </c>
      <c r="B278" t="s">
        <v>1120</v>
      </c>
      <c r="C278" t="s">
        <v>1121</v>
      </c>
      <c r="D278" s="1">
        <v>46314.380972222221</v>
      </c>
      <c r="E278" s="1">
        <v>46314.380972222221</v>
      </c>
      <c r="F278" s="1" t="s">
        <v>709</v>
      </c>
      <c r="H278" s="1"/>
      <c r="I278" t="s">
        <v>550</v>
      </c>
      <c r="K278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2</v>
      </c>
      <c r="L278">
        <f ca="1">IF(Bandeja_SCTR[[#This Row],[FechaRecepcion]]="","",NETWORKDAYS(INT(Bandeja_SCTR[[#This Row],[FechaRecepcion]]),IF(Bandeja_SCTR[[#This Row],[FechaCierre]]="",TODAY(),INT(Bandeja_SCTR[[#This Row],[FechaCierre]])),DIAS_NOLAB[Feriados]))</f>
        <v>2</v>
      </c>
      <c r="M278" s="2" t="str">
        <f>IF(OR(Bandeja_SCTR[[#This Row],[FechaRecepcion]]="",Bandeja_SCTR[[#This Row],[FechaCierre]]=""),"",ROUND((Bandeja_SCTR[[#This Row],[FechaCierre]]-Bandeja_SCTR[[#This Row],[FechaRecepcion]])*24,1))</f>
        <v/>
      </c>
      <c r="N278" s="3">
        <f>IF(Bandeja_SCTR[[#This Row],[FechaRecepcion]]="","",DATE(YEAR(Bandeja_SCTR[[#This Row],[FechaRecepcion]]),MONTH(Bandeja_SCTR[[#This Row],[FechaRecepcion]]),1))</f>
        <v>46296</v>
      </c>
      <c r="O278">
        <f>IF(Bandeja_SCTR[[#This Row],[Estado]]="FINALIZADO",1,0)</f>
        <v>0</v>
      </c>
      <c r="P278">
        <f>IF(Bandeja_SCTR[[#This Row],[CasoId]]="",0,IF(Bandeja_SCTR[[#This Row],[Estado]]="FINALIZADO",0,1))</f>
        <v>1</v>
      </c>
    </row>
    <row r="279" spans="1:16">
      <c r="A279" t="s">
        <v>1122</v>
      </c>
      <c r="B279" t="s">
        <v>1123</v>
      </c>
      <c r="C279" t="s">
        <v>1124</v>
      </c>
      <c r="D279" s="1">
        <v>46314.381238425922</v>
      </c>
      <c r="E279" s="1">
        <v>46314.381238425922</v>
      </c>
      <c r="F279" s="1" t="s">
        <v>197</v>
      </c>
      <c r="H279" s="1"/>
      <c r="I279" t="s">
        <v>311</v>
      </c>
      <c r="K279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2</v>
      </c>
      <c r="L279">
        <f ca="1">IF(Bandeja_SCTR[[#This Row],[FechaRecepcion]]="","",NETWORKDAYS(INT(Bandeja_SCTR[[#This Row],[FechaRecepcion]]),IF(Bandeja_SCTR[[#This Row],[FechaCierre]]="",TODAY(),INT(Bandeja_SCTR[[#This Row],[FechaCierre]])),DIAS_NOLAB[Feriados]))</f>
        <v>2</v>
      </c>
      <c r="M279" s="2" t="str">
        <f>IF(OR(Bandeja_SCTR[[#This Row],[FechaRecepcion]]="",Bandeja_SCTR[[#This Row],[FechaCierre]]=""),"",ROUND((Bandeja_SCTR[[#This Row],[FechaCierre]]-Bandeja_SCTR[[#This Row],[FechaRecepcion]])*24,1))</f>
        <v/>
      </c>
      <c r="N279" s="3">
        <f>IF(Bandeja_SCTR[[#This Row],[FechaRecepcion]]="","",DATE(YEAR(Bandeja_SCTR[[#This Row],[FechaRecepcion]]),MONTH(Bandeja_SCTR[[#This Row],[FechaRecepcion]]),1))</f>
        <v>46296</v>
      </c>
      <c r="O279">
        <f>IF(Bandeja_SCTR[[#This Row],[Estado]]="FINALIZADO",1,0)</f>
        <v>0</v>
      </c>
      <c r="P279">
        <f>IF(Bandeja_SCTR[[#This Row],[CasoId]]="",0,IF(Bandeja_SCTR[[#This Row],[Estado]]="FINALIZADO",0,1))</f>
        <v>1</v>
      </c>
    </row>
    <row r="280" spans="1:16" hidden="1">
      <c r="A280" t="s">
        <v>1125</v>
      </c>
      <c r="B280" t="s">
        <v>1126</v>
      </c>
      <c r="C280" t="s">
        <v>1127</v>
      </c>
      <c r="D280" s="1">
        <v>46314.385937500003</v>
      </c>
      <c r="E280" s="1">
        <v>46314.412025462967</v>
      </c>
      <c r="F280" s="1" t="s">
        <v>96</v>
      </c>
      <c r="G280" t="s">
        <v>30</v>
      </c>
      <c r="H280" s="1">
        <v>46314.412025462967</v>
      </c>
      <c r="I280" t="s">
        <v>97</v>
      </c>
      <c r="K280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280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280" s="2">
        <f>IF(OR(Bandeja_SCTR[[#This Row],[FechaRecepcion]]="",Bandeja_SCTR[[#This Row],[FechaCierre]]=""),"",ROUND((Bandeja_SCTR[[#This Row],[FechaCierre]]-Bandeja_SCTR[[#This Row],[FechaRecepcion]])*24,1))</f>
        <v>0.6</v>
      </c>
      <c r="N280" s="3">
        <f>IF(Bandeja_SCTR[[#This Row],[FechaRecepcion]]="","",DATE(YEAR(Bandeja_SCTR[[#This Row],[FechaRecepcion]]),MONTH(Bandeja_SCTR[[#This Row],[FechaRecepcion]]),1))</f>
        <v>46296</v>
      </c>
      <c r="O280">
        <f>IF(Bandeja_SCTR[[#This Row],[Estado]]="FINALIZADO",1,0)</f>
        <v>1</v>
      </c>
      <c r="P280">
        <f>IF(Bandeja_SCTR[[#This Row],[CasoId]]="",0,IF(Bandeja_SCTR[[#This Row],[Estado]]="FINALIZADO",0,1))</f>
        <v>0</v>
      </c>
    </row>
    <row r="281" spans="1:16">
      <c r="A281" t="s">
        <v>1128</v>
      </c>
      <c r="B281" t="s">
        <v>1129</v>
      </c>
      <c r="C281" t="s">
        <v>1130</v>
      </c>
      <c r="D281" s="1">
        <v>46314.394467592589</v>
      </c>
      <c r="E281" s="1">
        <v>46314.394467592589</v>
      </c>
      <c r="F281" s="1" t="s">
        <v>1077</v>
      </c>
      <c r="H281" s="1"/>
      <c r="I281" t="s">
        <v>1077</v>
      </c>
      <c r="K281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2</v>
      </c>
      <c r="L281">
        <f ca="1">IF(Bandeja_SCTR[[#This Row],[FechaRecepcion]]="","",NETWORKDAYS(INT(Bandeja_SCTR[[#This Row],[FechaRecepcion]]),IF(Bandeja_SCTR[[#This Row],[FechaCierre]]="",TODAY(),INT(Bandeja_SCTR[[#This Row],[FechaCierre]])),DIAS_NOLAB[Feriados]))</f>
        <v>2</v>
      </c>
      <c r="M281" s="2" t="str">
        <f>IF(OR(Bandeja_SCTR[[#This Row],[FechaRecepcion]]="",Bandeja_SCTR[[#This Row],[FechaCierre]]=""),"",ROUND((Bandeja_SCTR[[#This Row],[FechaCierre]]-Bandeja_SCTR[[#This Row],[FechaRecepcion]])*24,1))</f>
        <v/>
      </c>
      <c r="N281" s="3">
        <f>IF(Bandeja_SCTR[[#This Row],[FechaRecepcion]]="","",DATE(YEAR(Bandeja_SCTR[[#This Row],[FechaRecepcion]]),MONTH(Bandeja_SCTR[[#This Row],[FechaRecepcion]]),1))</f>
        <v>46296</v>
      </c>
      <c r="O281">
        <f>IF(Bandeja_SCTR[[#This Row],[Estado]]="FINALIZADO",1,0)</f>
        <v>0</v>
      </c>
      <c r="P281">
        <f>IF(Bandeja_SCTR[[#This Row],[CasoId]]="",0,IF(Bandeja_SCTR[[#This Row],[Estado]]="FINALIZADO",0,1))</f>
        <v>1</v>
      </c>
    </row>
    <row r="282" spans="1:16" hidden="1">
      <c r="A282" t="s">
        <v>1131</v>
      </c>
      <c r="B282" t="s">
        <v>320</v>
      </c>
      <c r="C282" t="s">
        <v>321</v>
      </c>
      <c r="D282" s="1">
        <v>46314.397245370375</v>
      </c>
      <c r="E282" s="1">
        <v>46315.509270833332</v>
      </c>
      <c r="F282" s="1" t="s">
        <v>96</v>
      </c>
      <c r="G282" t="s">
        <v>30</v>
      </c>
      <c r="H282" s="1">
        <v>46315.509270833332</v>
      </c>
      <c r="I282" t="s">
        <v>268</v>
      </c>
      <c r="J282" t="s">
        <v>1132</v>
      </c>
      <c r="K282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282">
        <f ca="1">IF(Bandeja_SCTR[[#This Row],[FechaRecepcion]]="","",NETWORKDAYS(INT(Bandeja_SCTR[[#This Row],[FechaRecepcion]]),IF(Bandeja_SCTR[[#This Row],[FechaCierre]]="",TODAY(),INT(Bandeja_SCTR[[#This Row],[FechaCierre]])),DIAS_NOLAB[Feriados]))</f>
        <v>2</v>
      </c>
      <c r="M282" s="2">
        <f>IF(OR(Bandeja_SCTR[[#This Row],[FechaRecepcion]]="",Bandeja_SCTR[[#This Row],[FechaCierre]]=""),"",ROUND((Bandeja_SCTR[[#This Row],[FechaCierre]]-Bandeja_SCTR[[#This Row],[FechaRecepcion]])*24,1))</f>
        <v>26.7</v>
      </c>
      <c r="N282" s="3">
        <f>IF(Bandeja_SCTR[[#This Row],[FechaRecepcion]]="","",DATE(YEAR(Bandeja_SCTR[[#This Row],[FechaRecepcion]]),MONTH(Bandeja_SCTR[[#This Row],[FechaRecepcion]]),1))</f>
        <v>46296</v>
      </c>
      <c r="O282">
        <f>IF(Bandeja_SCTR[[#This Row],[Estado]]="FINALIZADO",1,0)</f>
        <v>1</v>
      </c>
      <c r="P282">
        <f>IF(Bandeja_SCTR[[#This Row],[CasoId]]="",0,IF(Bandeja_SCTR[[#This Row],[Estado]]="FINALIZADO",0,1))</f>
        <v>0</v>
      </c>
    </row>
    <row r="283" spans="1:16">
      <c r="A283" t="s">
        <v>1133</v>
      </c>
      <c r="B283" t="s">
        <v>993</v>
      </c>
      <c r="C283" t="s">
        <v>1134</v>
      </c>
      <c r="D283" s="1">
        <v>46314.400231481486</v>
      </c>
      <c r="E283" s="1">
        <v>46314.400231481486</v>
      </c>
      <c r="F283" s="1" t="s">
        <v>144</v>
      </c>
      <c r="H283" s="1"/>
      <c r="I283" t="s">
        <v>210</v>
      </c>
      <c r="J283" t="s">
        <v>1135</v>
      </c>
      <c r="K283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2</v>
      </c>
      <c r="L283">
        <f ca="1">IF(Bandeja_SCTR[[#This Row],[FechaRecepcion]]="","",NETWORKDAYS(INT(Bandeja_SCTR[[#This Row],[FechaRecepcion]]),IF(Bandeja_SCTR[[#This Row],[FechaCierre]]="",TODAY(),INT(Bandeja_SCTR[[#This Row],[FechaCierre]])),DIAS_NOLAB[Feriados]))</f>
        <v>2</v>
      </c>
      <c r="M283" s="2" t="str">
        <f>IF(OR(Bandeja_SCTR[[#This Row],[FechaRecepcion]]="",Bandeja_SCTR[[#This Row],[FechaCierre]]=""),"",ROUND((Bandeja_SCTR[[#This Row],[FechaCierre]]-Bandeja_SCTR[[#This Row],[FechaRecepcion]])*24,1))</f>
        <v/>
      </c>
      <c r="N283" s="3">
        <f>IF(Bandeja_SCTR[[#This Row],[FechaRecepcion]]="","",DATE(YEAR(Bandeja_SCTR[[#This Row],[FechaRecepcion]]),MONTH(Bandeja_SCTR[[#This Row],[FechaRecepcion]]),1))</f>
        <v>46296</v>
      </c>
      <c r="O283">
        <f>IF(Bandeja_SCTR[[#This Row],[Estado]]="FINALIZADO",1,0)</f>
        <v>0</v>
      </c>
      <c r="P283">
        <f>IF(Bandeja_SCTR[[#This Row],[CasoId]]="",0,IF(Bandeja_SCTR[[#This Row],[Estado]]="FINALIZADO",0,1))</f>
        <v>1</v>
      </c>
    </row>
    <row r="284" spans="1:16">
      <c r="A284" t="s">
        <v>1136</v>
      </c>
      <c r="B284" t="s">
        <v>1137</v>
      </c>
      <c r="C284" t="s">
        <v>1138</v>
      </c>
      <c r="D284" s="1">
        <v>46314.403483796297</v>
      </c>
      <c r="E284" s="1">
        <v>46314.403483796297</v>
      </c>
      <c r="F284" s="1" t="s">
        <v>1139</v>
      </c>
      <c r="H284" s="1"/>
      <c r="I284" t="s">
        <v>1140</v>
      </c>
      <c r="J284" t="s">
        <v>1141</v>
      </c>
      <c r="K284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2</v>
      </c>
      <c r="L284">
        <f ca="1">IF(Bandeja_SCTR[[#This Row],[FechaRecepcion]]="","",NETWORKDAYS(INT(Bandeja_SCTR[[#This Row],[FechaRecepcion]]),IF(Bandeja_SCTR[[#This Row],[FechaCierre]]="",TODAY(),INT(Bandeja_SCTR[[#This Row],[FechaCierre]])),DIAS_NOLAB[Feriados]))</f>
        <v>2</v>
      </c>
      <c r="M284" s="2" t="str">
        <f>IF(OR(Bandeja_SCTR[[#This Row],[FechaRecepcion]]="",Bandeja_SCTR[[#This Row],[FechaCierre]]=""),"",ROUND((Bandeja_SCTR[[#This Row],[FechaCierre]]-Bandeja_SCTR[[#This Row],[FechaRecepcion]])*24,1))</f>
        <v/>
      </c>
      <c r="N284" s="3">
        <f>IF(Bandeja_SCTR[[#This Row],[FechaRecepcion]]="","",DATE(YEAR(Bandeja_SCTR[[#This Row],[FechaRecepcion]]),MONTH(Bandeja_SCTR[[#This Row],[FechaRecepcion]]),1))</f>
        <v>46296</v>
      </c>
      <c r="O284">
        <f>IF(Bandeja_SCTR[[#This Row],[Estado]]="FINALIZADO",1,0)</f>
        <v>0</v>
      </c>
      <c r="P284">
        <f>IF(Bandeja_SCTR[[#This Row],[CasoId]]="",0,IF(Bandeja_SCTR[[#This Row],[Estado]]="FINALIZADO",0,1))</f>
        <v>1</v>
      </c>
    </row>
    <row r="285" spans="1:16">
      <c r="A285" t="s">
        <v>1142</v>
      </c>
      <c r="B285" t="s">
        <v>1143</v>
      </c>
      <c r="C285" t="s">
        <v>1144</v>
      </c>
      <c r="D285" s="1">
        <v>46314.403969907406</v>
      </c>
      <c r="E285" s="1">
        <v>46315.643495370372</v>
      </c>
      <c r="F285" s="1" t="s">
        <v>1145</v>
      </c>
      <c r="H285" s="1"/>
      <c r="I285" t="s">
        <v>1145</v>
      </c>
      <c r="J285" t="s">
        <v>1146</v>
      </c>
      <c r="K285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1</v>
      </c>
      <c r="L285">
        <f ca="1">IF(Bandeja_SCTR[[#This Row],[FechaRecepcion]]="","",NETWORKDAYS(INT(Bandeja_SCTR[[#This Row],[FechaRecepcion]]),IF(Bandeja_SCTR[[#This Row],[FechaCierre]]="",TODAY(),INT(Bandeja_SCTR[[#This Row],[FechaCierre]])),DIAS_NOLAB[Feriados]))</f>
        <v>2</v>
      </c>
      <c r="M285" s="2" t="str">
        <f>IF(OR(Bandeja_SCTR[[#This Row],[FechaRecepcion]]="",Bandeja_SCTR[[#This Row],[FechaCierre]]=""),"",ROUND((Bandeja_SCTR[[#This Row],[FechaCierre]]-Bandeja_SCTR[[#This Row],[FechaRecepcion]])*24,1))</f>
        <v/>
      </c>
      <c r="N285" s="3">
        <f>IF(Bandeja_SCTR[[#This Row],[FechaRecepcion]]="","",DATE(YEAR(Bandeja_SCTR[[#This Row],[FechaRecepcion]]),MONTH(Bandeja_SCTR[[#This Row],[FechaRecepcion]]),1))</f>
        <v>46296</v>
      </c>
      <c r="O285">
        <f>IF(Bandeja_SCTR[[#This Row],[Estado]]="FINALIZADO",1,0)</f>
        <v>0</v>
      </c>
      <c r="P285">
        <f>IF(Bandeja_SCTR[[#This Row],[CasoId]]="",0,IF(Bandeja_SCTR[[#This Row],[Estado]]="FINALIZADO",0,1))</f>
        <v>1</v>
      </c>
    </row>
    <row r="286" spans="1:16" hidden="1">
      <c r="A286" t="s">
        <v>1147</v>
      </c>
      <c r="B286" t="s">
        <v>1148</v>
      </c>
      <c r="C286" t="s">
        <v>1149</v>
      </c>
      <c r="D286" s="1">
        <v>46314.404398148152</v>
      </c>
      <c r="E286" s="1">
        <v>46314.460694444446</v>
      </c>
      <c r="F286" s="1" t="s">
        <v>96</v>
      </c>
      <c r="G286" t="s">
        <v>30</v>
      </c>
      <c r="H286" s="1">
        <v>46314.460694444446</v>
      </c>
      <c r="I286" t="s">
        <v>268</v>
      </c>
      <c r="K286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286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286" s="2">
        <f>IF(OR(Bandeja_SCTR[[#This Row],[FechaRecepcion]]="",Bandeja_SCTR[[#This Row],[FechaCierre]]=""),"",ROUND((Bandeja_SCTR[[#This Row],[FechaCierre]]-Bandeja_SCTR[[#This Row],[FechaRecepcion]])*24,1))</f>
        <v>1.4</v>
      </c>
      <c r="N286" s="3">
        <f>IF(Bandeja_SCTR[[#This Row],[FechaRecepcion]]="","",DATE(YEAR(Bandeja_SCTR[[#This Row],[FechaRecepcion]]),MONTH(Bandeja_SCTR[[#This Row],[FechaRecepcion]]),1))</f>
        <v>46296</v>
      </c>
      <c r="O286">
        <f>IF(Bandeja_SCTR[[#This Row],[Estado]]="FINALIZADO",1,0)</f>
        <v>1</v>
      </c>
      <c r="P286">
        <f>IF(Bandeja_SCTR[[#This Row],[CasoId]]="",0,IF(Bandeja_SCTR[[#This Row],[Estado]]="FINALIZADO",0,1))</f>
        <v>0</v>
      </c>
    </row>
    <row r="287" spans="1:16">
      <c r="A287" t="s">
        <v>1150</v>
      </c>
      <c r="B287" t="s">
        <v>1151</v>
      </c>
      <c r="C287" t="s">
        <v>1152</v>
      </c>
      <c r="D287" s="1">
        <v>46314.405497685184</v>
      </c>
      <c r="E287" s="1">
        <v>46314.405497685184</v>
      </c>
      <c r="F287" s="1" t="s">
        <v>1153</v>
      </c>
      <c r="H287" s="1"/>
      <c r="I287" t="s">
        <v>1153</v>
      </c>
      <c r="J287" t="s">
        <v>1154</v>
      </c>
      <c r="K287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2</v>
      </c>
      <c r="L287">
        <f ca="1">IF(Bandeja_SCTR[[#This Row],[FechaRecepcion]]="","",NETWORKDAYS(INT(Bandeja_SCTR[[#This Row],[FechaRecepcion]]),IF(Bandeja_SCTR[[#This Row],[FechaCierre]]="",TODAY(),INT(Bandeja_SCTR[[#This Row],[FechaCierre]])),DIAS_NOLAB[Feriados]))</f>
        <v>2</v>
      </c>
      <c r="M287" s="2" t="str">
        <f>IF(OR(Bandeja_SCTR[[#This Row],[FechaRecepcion]]="",Bandeja_SCTR[[#This Row],[FechaCierre]]=""),"",ROUND((Bandeja_SCTR[[#This Row],[FechaCierre]]-Bandeja_SCTR[[#This Row],[FechaRecepcion]])*24,1))</f>
        <v/>
      </c>
      <c r="N287" s="3">
        <f>IF(Bandeja_SCTR[[#This Row],[FechaRecepcion]]="","",DATE(YEAR(Bandeja_SCTR[[#This Row],[FechaRecepcion]]),MONTH(Bandeja_SCTR[[#This Row],[FechaRecepcion]]),1))</f>
        <v>46296</v>
      </c>
      <c r="O287">
        <f>IF(Bandeja_SCTR[[#This Row],[Estado]]="FINALIZADO",1,0)</f>
        <v>0</v>
      </c>
      <c r="P287">
        <f>IF(Bandeja_SCTR[[#This Row],[CasoId]]="",0,IF(Bandeja_SCTR[[#This Row],[Estado]]="FINALIZADO",0,1))</f>
        <v>1</v>
      </c>
    </row>
    <row r="288" spans="1:16" hidden="1">
      <c r="A288" t="s">
        <v>1155</v>
      </c>
      <c r="B288" t="s">
        <v>1156</v>
      </c>
      <c r="C288" t="s">
        <v>1157</v>
      </c>
      <c r="D288" s="1">
        <v>46314.412407407406</v>
      </c>
      <c r="E288" s="1">
        <v>46314.651782407411</v>
      </c>
      <c r="F288" s="1" t="s">
        <v>96</v>
      </c>
      <c r="G288" t="s">
        <v>30</v>
      </c>
      <c r="H288" s="1">
        <v>46314.651782407411</v>
      </c>
      <c r="I288" t="s">
        <v>97</v>
      </c>
      <c r="J288" t="s">
        <v>530</v>
      </c>
      <c r="K288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288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288" s="2">
        <f>IF(OR(Bandeja_SCTR[[#This Row],[FechaRecepcion]]="",Bandeja_SCTR[[#This Row],[FechaCierre]]=""),"",ROUND((Bandeja_SCTR[[#This Row],[FechaCierre]]-Bandeja_SCTR[[#This Row],[FechaRecepcion]])*24,1))</f>
        <v>5.7</v>
      </c>
      <c r="N288" s="3">
        <f>IF(Bandeja_SCTR[[#This Row],[FechaRecepcion]]="","",DATE(YEAR(Bandeja_SCTR[[#This Row],[FechaRecepcion]]),MONTH(Bandeja_SCTR[[#This Row],[FechaRecepcion]]),1))</f>
        <v>46296</v>
      </c>
      <c r="O288">
        <f>IF(Bandeja_SCTR[[#This Row],[Estado]]="FINALIZADO",1,0)</f>
        <v>1</v>
      </c>
      <c r="P288">
        <f>IF(Bandeja_SCTR[[#This Row],[CasoId]]="",0,IF(Bandeja_SCTR[[#This Row],[Estado]]="FINALIZADO",0,1))</f>
        <v>0</v>
      </c>
    </row>
    <row r="289" spans="1:16" hidden="1">
      <c r="A289" t="s">
        <v>1158</v>
      </c>
      <c r="B289" t="s">
        <v>1159</v>
      </c>
      <c r="C289" t="s">
        <v>1160</v>
      </c>
      <c r="D289" s="1">
        <v>46314.415104166663</v>
      </c>
      <c r="E289" s="1">
        <v>46314.459178240737</v>
      </c>
      <c r="F289" s="1" t="s">
        <v>96</v>
      </c>
      <c r="G289" t="s">
        <v>30</v>
      </c>
      <c r="H289" s="1">
        <v>46314.459178240737</v>
      </c>
      <c r="I289" t="s">
        <v>268</v>
      </c>
      <c r="K289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289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289" s="2">
        <f>IF(OR(Bandeja_SCTR[[#This Row],[FechaRecepcion]]="",Bandeja_SCTR[[#This Row],[FechaCierre]]=""),"",ROUND((Bandeja_SCTR[[#This Row],[FechaCierre]]-Bandeja_SCTR[[#This Row],[FechaRecepcion]])*24,1))</f>
        <v>1.1000000000000001</v>
      </c>
      <c r="N289" s="3">
        <f>IF(Bandeja_SCTR[[#This Row],[FechaRecepcion]]="","",DATE(YEAR(Bandeja_SCTR[[#This Row],[FechaRecepcion]]),MONTH(Bandeja_SCTR[[#This Row],[FechaRecepcion]]),1))</f>
        <v>46296</v>
      </c>
      <c r="O289">
        <f>IF(Bandeja_SCTR[[#This Row],[Estado]]="FINALIZADO",1,0)</f>
        <v>1</v>
      </c>
      <c r="P289">
        <f>IF(Bandeja_SCTR[[#This Row],[CasoId]]="",0,IF(Bandeja_SCTR[[#This Row],[Estado]]="FINALIZADO",0,1))</f>
        <v>0</v>
      </c>
    </row>
    <row r="290" spans="1:16" hidden="1">
      <c r="A290" t="s">
        <v>1161</v>
      </c>
      <c r="B290" t="s">
        <v>1162</v>
      </c>
      <c r="C290" t="s">
        <v>1163</v>
      </c>
      <c r="D290" s="1">
        <v>46314.416712962964</v>
      </c>
      <c r="E290" s="1">
        <v>46314.457418981481</v>
      </c>
      <c r="F290" s="1" t="s">
        <v>96</v>
      </c>
      <c r="G290" t="s">
        <v>30</v>
      </c>
      <c r="H290" s="1">
        <v>46314.457418981481</v>
      </c>
      <c r="I290" t="s">
        <v>268</v>
      </c>
      <c r="K290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290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290" s="2">
        <f>IF(OR(Bandeja_SCTR[[#This Row],[FechaRecepcion]]="",Bandeja_SCTR[[#This Row],[FechaCierre]]=""),"",ROUND((Bandeja_SCTR[[#This Row],[FechaCierre]]-Bandeja_SCTR[[#This Row],[FechaRecepcion]])*24,1))</f>
        <v>1</v>
      </c>
      <c r="N290" s="3">
        <f>IF(Bandeja_SCTR[[#This Row],[FechaRecepcion]]="","",DATE(YEAR(Bandeja_SCTR[[#This Row],[FechaRecepcion]]),MONTH(Bandeja_SCTR[[#This Row],[FechaRecepcion]]),1))</f>
        <v>46296</v>
      </c>
      <c r="O290">
        <f>IF(Bandeja_SCTR[[#This Row],[Estado]]="FINALIZADO",1,0)</f>
        <v>1</v>
      </c>
      <c r="P290">
        <f>IF(Bandeja_SCTR[[#This Row],[CasoId]]="",0,IF(Bandeja_SCTR[[#This Row],[Estado]]="FINALIZADO",0,1))</f>
        <v>0</v>
      </c>
    </row>
    <row r="291" spans="1:16" hidden="1">
      <c r="A291" t="s">
        <v>1164</v>
      </c>
      <c r="B291" t="s">
        <v>1165</v>
      </c>
      <c r="C291" t="s">
        <v>1166</v>
      </c>
      <c r="D291" s="1">
        <v>46314.424756944441</v>
      </c>
      <c r="E291" s="1">
        <v>46314.467777777776</v>
      </c>
      <c r="F291" s="1" t="s">
        <v>96</v>
      </c>
      <c r="G291" t="s">
        <v>30</v>
      </c>
      <c r="H291" s="1">
        <v>46314.467777777776</v>
      </c>
      <c r="I291" t="s">
        <v>97</v>
      </c>
      <c r="J291" t="s">
        <v>1167</v>
      </c>
      <c r="K291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291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291" s="2">
        <f>IF(OR(Bandeja_SCTR[[#This Row],[FechaRecepcion]]="",Bandeja_SCTR[[#This Row],[FechaCierre]]=""),"",ROUND((Bandeja_SCTR[[#This Row],[FechaCierre]]-Bandeja_SCTR[[#This Row],[FechaRecepcion]])*24,1))</f>
        <v>1</v>
      </c>
      <c r="N291" s="3">
        <f>IF(Bandeja_SCTR[[#This Row],[FechaRecepcion]]="","",DATE(YEAR(Bandeja_SCTR[[#This Row],[FechaRecepcion]]),MONTH(Bandeja_SCTR[[#This Row],[FechaRecepcion]]),1))</f>
        <v>46296</v>
      </c>
      <c r="O291">
        <f>IF(Bandeja_SCTR[[#This Row],[Estado]]="FINALIZADO",1,0)</f>
        <v>1</v>
      </c>
      <c r="P291">
        <f>IF(Bandeja_SCTR[[#This Row],[CasoId]]="",0,IF(Bandeja_SCTR[[#This Row],[Estado]]="FINALIZADO",0,1))</f>
        <v>0</v>
      </c>
    </row>
    <row r="292" spans="1:16">
      <c r="A292" t="s">
        <v>1168</v>
      </c>
      <c r="B292" t="s">
        <v>1169</v>
      </c>
      <c r="C292" t="s">
        <v>1170</v>
      </c>
      <c r="D292" s="1">
        <v>46314.425381944442</v>
      </c>
      <c r="E292" s="1">
        <v>46314.425381944442</v>
      </c>
      <c r="F292" s="1" t="s">
        <v>1171</v>
      </c>
      <c r="H292" s="1"/>
      <c r="I292" t="s">
        <v>1172</v>
      </c>
      <c r="J292" t="s">
        <v>1173</v>
      </c>
      <c r="K292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2</v>
      </c>
      <c r="L292">
        <f ca="1">IF(Bandeja_SCTR[[#This Row],[FechaRecepcion]]="","",NETWORKDAYS(INT(Bandeja_SCTR[[#This Row],[FechaRecepcion]]),IF(Bandeja_SCTR[[#This Row],[FechaCierre]]="",TODAY(),INT(Bandeja_SCTR[[#This Row],[FechaCierre]])),DIAS_NOLAB[Feriados]))</f>
        <v>2</v>
      </c>
      <c r="M292" s="2" t="str">
        <f>IF(OR(Bandeja_SCTR[[#This Row],[FechaRecepcion]]="",Bandeja_SCTR[[#This Row],[FechaCierre]]=""),"",ROUND((Bandeja_SCTR[[#This Row],[FechaCierre]]-Bandeja_SCTR[[#This Row],[FechaRecepcion]])*24,1))</f>
        <v/>
      </c>
      <c r="N292" s="3">
        <f>IF(Bandeja_SCTR[[#This Row],[FechaRecepcion]]="","",DATE(YEAR(Bandeja_SCTR[[#This Row],[FechaRecepcion]]),MONTH(Bandeja_SCTR[[#This Row],[FechaRecepcion]]),1))</f>
        <v>46296</v>
      </c>
      <c r="O292">
        <f>IF(Bandeja_SCTR[[#This Row],[Estado]]="FINALIZADO",1,0)</f>
        <v>0</v>
      </c>
      <c r="P292">
        <f>IF(Bandeja_SCTR[[#This Row],[CasoId]]="",0,IF(Bandeja_SCTR[[#This Row],[Estado]]="FINALIZADO",0,1))</f>
        <v>1</v>
      </c>
    </row>
    <row r="293" spans="1:16" hidden="1">
      <c r="A293" t="s">
        <v>1174</v>
      </c>
      <c r="B293" t="s">
        <v>1175</v>
      </c>
      <c r="C293" t="s">
        <v>1176</v>
      </c>
      <c r="D293" s="1">
        <v>46314.425798611112</v>
      </c>
      <c r="E293" s="1">
        <v>46314.45480324074</v>
      </c>
      <c r="F293" s="1" t="s">
        <v>96</v>
      </c>
      <c r="G293" t="s">
        <v>30</v>
      </c>
      <c r="H293" s="1">
        <v>46314.45480324074</v>
      </c>
      <c r="I293" t="s">
        <v>268</v>
      </c>
      <c r="K293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293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293" s="2">
        <f>IF(OR(Bandeja_SCTR[[#This Row],[FechaRecepcion]]="",Bandeja_SCTR[[#This Row],[FechaCierre]]=""),"",ROUND((Bandeja_SCTR[[#This Row],[FechaCierre]]-Bandeja_SCTR[[#This Row],[FechaRecepcion]])*24,1))</f>
        <v>0.7</v>
      </c>
      <c r="N293" s="3">
        <f>IF(Bandeja_SCTR[[#This Row],[FechaRecepcion]]="","",DATE(YEAR(Bandeja_SCTR[[#This Row],[FechaRecepcion]]),MONTH(Bandeja_SCTR[[#This Row],[FechaRecepcion]]),1))</f>
        <v>46296</v>
      </c>
      <c r="O293">
        <f>IF(Bandeja_SCTR[[#This Row],[Estado]]="FINALIZADO",1,0)</f>
        <v>1</v>
      </c>
      <c r="P293">
        <f>IF(Bandeja_SCTR[[#This Row],[CasoId]]="",0,IF(Bandeja_SCTR[[#This Row],[Estado]]="FINALIZADO",0,1))</f>
        <v>0</v>
      </c>
    </row>
    <row r="294" spans="1:16">
      <c r="A294" t="s">
        <v>1177</v>
      </c>
      <c r="B294" t="s">
        <v>1178</v>
      </c>
      <c r="C294" t="s">
        <v>1179</v>
      </c>
      <c r="D294" s="1">
        <v>46314.426469907412</v>
      </c>
      <c r="E294" s="1">
        <v>46314.426469907412</v>
      </c>
      <c r="F294" s="1" t="s">
        <v>1180</v>
      </c>
      <c r="H294" s="1"/>
      <c r="I294" t="s">
        <v>1181</v>
      </c>
      <c r="J294" t="s">
        <v>1182</v>
      </c>
      <c r="K294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2</v>
      </c>
      <c r="L294">
        <f ca="1">IF(Bandeja_SCTR[[#This Row],[FechaRecepcion]]="","",NETWORKDAYS(INT(Bandeja_SCTR[[#This Row],[FechaRecepcion]]),IF(Bandeja_SCTR[[#This Row],[FechaCierre]]="",TODAY(),INT(Bandeja_SCTR[[#This Row],[FechaCierre]])),DIAS_NOLAB[Feriados]))</f>
        <v>2</v>
      </c>
      <c r="M294" s="2" t="str">
        <f>IF(OR(Bandeja_SCTR[[#This Row],[FechaRecepcion]]="",Bandeja_SCTR[[#This Row],[FechaCierre]]=""),"",ROUND((Bandeja_SCTR[[#This Row],[FechaCierre]]-Bandeja_SCTR[[#This Row],[FechaRecepcion]])*24,1))</f>
        <v/>
      </c>
      <c r="N294" s="3">
        <f>IF(Bandeja_SCTR[[#This Row],[FechaRecepcion]]="","",DATE(YEAR(Bandeja_SCTR[[#This Row],[FechaRecepcion]]),MONTH(Bandeja_SCTR[[#This Row],[FechaRecepcion]]),1))</f>
        <v>46296</v>
      </c>
      <c r="O294">
        <f>IF(Bandeja_SCTR[[#This Row],[Estado]]="FINALIZADO",1,0)</f>
        <v>0</v>
      </c>
      <c r="P294">
        <f>IF(Bandeja_SCTR[[#This Row],[CasoId]]="",0,IF(Bandeja_SCTR[[#This Row],[Estado]]="FINALIZADO",0,1))</f>
        <v>1</v>
      </c>
    </row>
    <row r="295" spans="1:16" hidden="1">
      <c r="A295" t="s">
        <v>1183</v>
      </c>
      <c r="B295" t="s">
        <v>1184</v>
      </c>
      <c r="C295" t="s">
        <v>1185</v>
      </c>
      <c r="D295" s="1">
        <v>46314.428877314815</v>
      </c>
      <c r="E295" s="1">
        <v>46314.443194444444</v>
      </c>
      <c r="F295" s="1" t="s">
        <v>96</v>
      </c>
      <c r="G295" t="s">
        <v>30</v>
      </c>
      <c r="H295" s="1">
        <v>46314.443194444444</v>
      </c>
      <c r="I295" t="s">
        <v>268</v>
      </c>
      <c r="K295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295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295" s="2">
        <f>IF(OR(Bandeja_SCTR[[#This Row],[FechaRecepcion]]="",Bandeja_SCTR[[#This Row],[FechaCierre]]=""),"",ROUND((Bandeja_SCTR[[#This Row],[FechaCierre]]-Bandeja_SCTR[[#This Row],[FechaRecepcion]])*24,1))</f>
        <v>0.3</v>
      </c>
      <c r="N295" s="3">
        <f>IF(Bandeja_SCTR[[#This Row],[FechaRecepcion]]="","",DATE(YEAR(Bandeja_SCTR[[#This Row],[FechaRecepcion]]),MONTH(Bandeja_SCTR[[#This Row],[FechaRecepcion]]),1))</f>
        <v>46296</v>
      </c>
      <c r="O295">
        <f>IF(Bandeja_SCTR[[#This Row],[Estado]]="FINALIZADO",1,0)</f>
        <v>1</v>
      </c>
      <c r="P295">
        <f>IF(Bandeja_SCTR[[#This Row],[CasoId]]="",0,IF(Bandeja_SCTR[[#This Row],[Estado]]="FINALIZADO",0,1))</f>
        <v>0</v>
      </c>
    </row>
    <row r="296" spans="1:16" hidden="1">
      <c r="A296" t="s">
        <v>1186</v>
      </c>
      <c r="B296" t="s">
        <v>1187</v>
      </c>
      <c r="C296" t="s">
        <v>1188</v>
      </c>
      <c r="D296" s="1">
        <v>46314.431666666671</v>
      </c>
      <c r="E296" s="1">
        <v>46314.434652777782</v>
      </c>
      <c r="F296" s="1" t="s">
        <v>96</v>
      </c>
      <c r="G296" t="s">
        <v>30</v>
      </c>
      <c r="H296" s="1">
        <v>46314.434652777782</v>
      </c>
      <c r="I296" t="s">
        <v>268</v>
      </c>
      <c r="J296" t="s">
        <v>1189</v>
      </c>
      <c r="K296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296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296" s="2">
        <f>IF(OR(Bandeja_SCTR[[#This Row],[FechaRecepcion]]="",Bandeja_SCTR[[#This Row],[FechaCierre]]=""),"",ROUND((Bandeja_SCTR[[#This Row],[FechaCierre]]-Bandeja_SCTR[[#This Row],[FechaRecepcion]])*24,1))</f>
        <v>0.1</v>
      </c>
      <c r="N296" s="3">
        <f>IF(Bandeja_SCTR[[#This Row],[FechaRecepcion]]="","",DATE(YEAR(Bandeja_SCTR[[#This Row],[FechaRecepcion]]),MONTH(Bandeja_SCTR[[#This Row],[FechaRecepcion]]),1))</f>
        <v>46296</v>
      </c>
      <c r="O296">
        <f>IF(Bandeja_SCTR[[#This Row],[Estado]]="FINALIZADO",1,0)</f>
        <v>1</v>
      </c>
      <c r="P296">
        <f>IF(Bandeja_SCTR[[#This Row],[CasoId]]="",0,IF(Bandeja_SCTR[[#This Row],[Estado]]="FINALIZADO",0,1))</f>
        <v>0</v>
      </c>
    </row>
    <row r="297" spans="1:16">
      <c r="A297" t="s">
        <v>1190</v>
      </c>
      <c r="B297" t="s">
        <v>1191</v>
      </c>
      <c r="C297" t="s">
        <v>1192</v>
      </c>
      <c r="D297" s="1">
        <v>46314.433888888889</v>
      </c>
      <c r="E297" s="1">
        <v>46314.433888888889</v>
      </c>
      <c r="F297" s="1" t="s">
        <v>67</v>
      </c>
      <c r="H297" s="1"/>
      <c r="I297" t="s">
        <v>68</v>
      </c>
      <c r="K297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2</v>
      </c>
      <c r="L297">
        <f ca="1">IF(Bandeja_SCTR[[#This Row],[FechaRecepcion]]="","",NETWORKDAYS(INT(Bandeja_SCTR[[#This Row],[FechaRecepcion]]),IF(Bandeja_SCTR[[#This Row],[FechaCierre]]="",TODAY(),INT(Bandeja_SCTR[[#This Row],[FechaCierre]])),DIAS_NOLAB[Feriados]))</f>
        <v>2</v>
      </c>
      <c r="M297" s="2" t="str">
        <f>IF(OR(Bandeja_SCTR[[#This Row],[FechaRecepcion]]="",Bandeja_SCTR[[#This Row],[FechaCierre]]=""),"",ROUND((Bandeja_SCTR[[#This Row],[FechaCierre]]-Bandeja_SCTR[[#This Row],[FechaRecepcion]])*24,1))</f>
        <v/>
      </c>
      <c r="N297" s="3">
        <f>IF(Bandeja_SCTR[[#This Row],[FechaRecepcion]]="","",DATE(YEAR(Bandeja_SCTR[[#This Row],[FechaRecepcion]]),MONTH(Bandeja_SCTR[[#This Row],[FechaRecepcion]]),1))</f>
        <v>46296</v>
      </c>
      <c r="O297">
        <f>IF(Bandeja_SCTR[[#This Row],[Estado]]="FINALIZADO",1,0)</f>
        <v>0</v>
      </c>
      <c r="P297">
        <f>IF(Bandeja_SCTR[[#This Row],[CasoId]]="",0,IF(Bandeja_SCTR[[#This Row],[Estado]]="FINALIZADO",0,1))</f>
        <v>1</v>
      </c>
    </row>
    <row r="298" spans="1:16" hidden="1">
      <c r="A298" t="s">
        <v>1193</v>
      </c>
      <c r="B298" t="s">
        <v>1194</v>
      </c>
      <c r="C298" t="s">
        <v>1195</v>
      </c>
      <c r="D298" s="1">
        <v>46314.436261574076</v>
      </c>
      <c r="E298" s="1">
        <v>46314.642199074078</v>
      </c>
      <c r="F298" s="1" t="s">
        <v>96</v>
      </c>
      <c r="G298" t="s">
        <v>30</v>
      </c>
      <c r="H298" s="1">
        <v>46314.642199074078</v>
      </c>
      <c r="I298" t="s">
        <v>268</v>
      </c>
      <c r="K298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298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298" s="2">
        <f>IF(OR(Bandeja_SCTR[[#This Row],[FechaRecepcion]]="",Bandeja_SCTR[[#This Row],[FechaCierre]]=""),"",ROUND((Bandeja_SCTR[[#This Row],[FechaCierre]]-Bandeja_SCTR[[#This Row],[FechaRecepcion]])*24,1))</f>
        <v>4.9000000000000004</v>
      </c>
      <c r="N298" s="3">
        <f>IF(Bandeja_SCTR[[#This Row],[FechaRecepcion]]="","",DATE(YEAR(Bandeja_SCTR[[#This Row],[FechaRecepcion]]),MONTH(Bandeja_SCTR[[#This Row],[FechaRecepcion]]),1))</f>
        <v>46296</v>
      </c>
      <c r="O298">
        <f>IF(Bandeja_SCTR[[#This Row],[Estado]]="FINALIZADO",1,0)</f>
        <v>1</v>
      </c>
      <c r="P298">
        <f>IF(Bandeja_SCTR[[#This Row],[CasoId]]="",0,IF(Bandeja_SCTR[[#This Row],[Estado]]="FINALIZADO",0,1))</f>
        <v>0</v>
      </c>
    </row>
    <row r="299" spans="1:16">
      <c r="A299" t="s">
        <v>1196</v>
      </c>
      <c r="B299" t="s">
        <v>1197</v>
      </c>
      <c r="C299" t="s">
        <v>1198</v>
      </c>
      <c r="D299" s="1">
        <v>46314.447256944448</v>
      </c>
      <c r="E299" s="1">
        <v>46314.464247685188</v>
      </c>
      <c r="F299" s="1" t="s">
        <v>80</v>
      </c>
      <c r="H299" s="1"/>
      <c r="I299" t="s">
        <v>80</v>
      </c>
      <c r="K299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2</v>
      </c>
      <c r="L299">
        <f ca="1">IF(Bandeja_SCTR[[#This Row],[FechaRecepcion]]="","",NETWORKDAYS(INT(Bandeja_SCTR[[#This Row],[FechaRecepcion]]),IF(Bandeja_SCTR[[#This Row],[FechaCierre]]="",TODAY(),INT(Bandeja_SCTR[[#This Row],[FechaCierre]])),DIAS_NOLAB[Feriados]))</f>
        <v>2</v>
      </c>
      <c r="M299" s="2" t="str">
        <f>IF(OR(Bandeja_SCTR[[#This Row],[FechaRecepcion]]="",Bandeja_SCTR[[#This Row],[FechaCierre]]=""),"",ROUND((Bandeja_SCTR[[#This Row],[FechaCierre]]-Bandeja_SCTR[[#This Row],[FechaRecepcion]])*24,1))</f>
        <v/>
      </c>
      <c r="N299" s="3">
        <f>IF(Bandeja_SCTR[[#This Row],[FechaRecepcion]]="","",DATE(YEAR(Bandeja_SCTR[[#This Row],[FechaRecepcion]]),MONTH(Bandeja_SCTR[[#This Row],[FechaRecepcion]]),1))</f>
        <v>46296</v>
      </c>
      <c r="O299">
        <f>IF(Bandeja_SCTR[[#This Row],[Estado]]="FINALIZADO",1,0)</f>
        <v>0</v>
      </c>
      <c r="P299">
        <f>IF(Bandeja_SCTR[[#This Row],[CasoId]]="",0,IF(Bandeja_SCTR[[#This Row],[Estado]]="FINALIZADO",0,1))</f>
        <v>1</v>
      </c>
    </row>
    <row r="300" spans="1:16" hidden="1">
      <c r="A300" t="s">
        <v>1199</v>
      </c>
      <c r="B300" t="s">
        <v>324</v>
      </c>
      <c r="C300" t="s">
        <v>325</v>
      </c>
      <c r="D300" s="1">
        <v>46314.451111111106</v>
      </c>
      <c r="E300" s="1">
        <v>46314.560092592597</v>
      </c>
      <c r="F300" s="1" t="s">
        <v>96</v>
      </c>
      <c r="G300" t="s">
        <v>30</v>
      </c>
      <c r="H300" s="1">
        <v>46314.560092592597</v>
      </c>
      <c r="I300" t="s">
        <v>268</v>
      </c>
      <c r="J300" t="s">
        <v>1200</v>
      </c>
      <c r="K300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300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300" s="2">
        <f>IF(OR(Bandeja_SCTR[[#This Row],[FechaRecepcion]]="",Bandeja_SCTR[[#This Row],[FechaCierre]]=""),"",ROUND((Bandeja_SCTR[[#This Row],[FechaCierre]]-Bandeja_SCTR[[#This Row],[FechaRecepcion]])*24,1))</f>
        <v>2.6</v>
      </c>
      <c r="N300" s="3">
        <f>IF(Bandeja_SCTR[[#This Row],[FechaRecepcion]]="","",DATE(YEAR(Bandeja_SCTR[[#This Row],[FechaRecepcion]]),MONTH(Bandeja_SCTR[[#This Row],[FechaRecepcion]]),1))</f>
        <v>46296</v>
      </c>
      <c r="O300">
        <f>IF(Bandeja_SCTR[[#This Row],[Estado]]="FINALIZADO",1,0)</f>
        <v>1</v>
      </c>
      <c r="P300">
        <f>IF(Bandeja_SCTR[[#This Row],[CasoId]]="",0,IF(Bandeja_SCTR[[#This Row],[Estado]]="FINALIZADO",0,1))</f>
        <v>0</v>
      </c>
    </row>
    <row r="301" spans="1:16" hidden="1">
      <c r="A301" t="s">
        <v>1201</v>
      </c>
      <c r="B301" t="s">
        <v>1053</v>
      </c>
      <c r="C301" t="s">
        <v>1202</v>
      </c>
      <c r="D301" s="1">
        <v>46314.451238425929</v>
      </c>
      <c r="E301" s="1">
        <v>46314.519201388888</v>
      </c>
      <c r="F301" s="1" t="s">
        <v>96</v>
      </c>
      <c r="G301" t="s">
        <v>30</v>
      </c>
      <c r="H301" s="1">
        <v>46314.519201388888</v>
      </c>
      <c r="I301" t="s">
        <v>97</v>
      </c>
      <c r="J301" t="s">
        <v>1203</v>
      </c>
      <c r="K301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301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301" s="2">
        <f>IF(OR(Bandeja_SCTR[[#This Row],[FechaRecepcion]]="",Bandeja_SCTR[[#This Row],[FechaCierre]]=""),"",ROUND((Bandeja_SCTR[[#This Row],[FechaCierre]]-Bandeja_SCTR[[#This Row],[FechaRecepcion]])*24,1))</f>
        <v>1.6</v>
      </c>
      <c r="N301" s="3">
        <f>IF(Bandeja_SCTR[[#This Row],[FechaRecepcion]]="","",DATE(YEAR(Bandeja_SCTR[[#This Row],[FechaRecepcion]]),MONTH(Bandeja_SCTR[[#This Row],[FechaRecepcion]]),1))</f>
        <v>46296</v>
      </c>
      <c r="O301">
        <f>IF(Bandeja_SCTR[[#This Row],[Estado]]="FINALIZADO",1,0)</f>
        <v>1</v>
      </c>
      <c r="P301">
        <f>IF(Bandeja_SCTR[[#This Row],[CasoId]]="",0,IF(Bandeja_SCTR[[#This Row],[Estado]]="FINALIZADO",0,1))</f>
        <v>0</v>
      </c>
    </row>
    <row r="302" spans="1:16">
      <c r="A302" t="s">
        <v>1204</v>
      </c>
      <c r="B302" t="s">
        <v>1187</v>
      </c>
      <c r="C302" t="s">
        <v>1188</v>
      </c>
      <c r="D302" s="1">
        <v>46314.454062500001</v>
      </c>
      <c r="E302" s="1">
        <v>46314.464131944449</v>
      </c>
      <c r="F302" s="1" t="s">
        <v>919</v>
      </c>
      <c r="H302" s="1"/>
      <c r="I302" t="s">
        <v>920</v>
      </c>
      <c r="J302" t="s">
        <v>1205</v>
      </c>
      <c r="K302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2</v>
      </c>
      <c r="L302">
        <f ca="1">IF(Bandeja_SCTR[[#This Row],[FechaRecepcion]]="","",NETWORKDAYS(INT(Bandeja_SCTR[[#This Row],[FechaRecepcion]]),IF(Bandeja_SCTR[[#This Row],[FechaCierre]]="",TODAY(),INT(Bandeja_SCTR[[#This Row],[FechaCierre]])),DIAS_NOLAB[Feriados]))</f>
        <v>2</v>
      </c>
      <c r="M302" s="2" t="str">
        <f>IF(OR(Bandeja_SCTR[[#This Row],[FechaRecepcion]]="",Bandeja_SCTR[[#This Row],[FechaCierre]]=""),"",ROUND((Bandeja_SCTR[[#This Row],[FechaCierre]]-Bandeja_SCTR[[#This Row],[FechaRecepcion]])*24,1))</f>
        <v/>
      </c>
      <c r="N302" s="3">
        <f>IF(Bandeja_SCTR[[#This Row],[FechaRecepcion]]="","",DATE(YEAR(Bandeja_SCTR[[#This Row],[FechaRecepcion]]),MONTH(Bandeja_SCTR[[#This Row],[FechaRecepcion]]),1))</f>
        <v>46296</v>
      </c>
      <c r="O302">
        <f>IF(Bandeja_SCTR[[#This Row],[Estado]]="FINALIZADO",1,0)</f>
        <v>0</v>
      </c>
      <c r="P302">
        <f>IF(Bandeja_SCTR[[#This Row],[CasoId]]="",0,IF(Bandeja_SCTR[[#This Row],[Estado]]="FINALIZADO",0,1))</f>
        <v>1</v>
      </c>
    </row>
    <row r="303" spans="1:16" hidden="1">
      <c r="A303" t="s">
        <v>1206</v>
      </c>
      <c r="B303" t="s">
        <v>1207</v>
      </c>
      <c r="C303" t="s">
        <v>1208</v>
      </c>
      <c r="D303" s="1">
        <v>46314.45512731481</v>
      </c>
      <c r="E303" s="1">
        <v>46314.632488425923</v>
      </c>
      <c r="F303" s="1" t="s">
        <v>96</v>
      </c>
      <c r="G303" t="s">
        <v>30</v>
      </c>
      <c r="H303" s="1">
        <v>46314.632488425923</v>
      </c>
      <c r="I303" t="s">
        <v>268</v>
      </c>
      <c r="K303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303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303" s="2">
        <f>IF(OR(Bandeja_SCTR[[#This Row],[FechaRecepcion]]="",Bandeja_SCTR[[#This Row],[FechaCierre]]=""),"",ROUND((Bandeja_SCTR[[#This Row],[FechaCierre]]-Bandeja_SCTR[[#This Row],[FechaRecepcion]])*24,1))</f>
        <v>4.3</v>
      </c>
      <c r="N303" s="3">
        <f>IF(Bandeja_SCTR[[#This Row],[FechaRecepcion]]="","",DATE(YEAR(Bandeja_SCTR[[#This Row],[FechaRecepcion]]),MONTH(Bandeja_SCTR[[#This Row],[FechaRecepcion]]),1))</f>
        <v>46296</v>
      </c>
      <c r="O303">
        <f>IF(Bandeja_SCTR[[#This Row],[Estado]]="FINALIZADO",1,0)</f>
        <v>1</v>
      </c>
      <c r="P303">
        <f>IF(Bandeja_SCTR[[#This Row],[CasoId]]="",0,IF(Bandeja_SCTR[[#This Row],[Estado]]="FINALIZADO",0,1))</f>
        <v>0</v>
      </c>
    </row>
    <row r="304" spans="1:16" hidden="1">
      <c r="A304" t="s">
        <v>1209</v>
      </c>
      <c r="B304" t="s">
        <v>1175</v>
      </c>
      <c r="C304" t="s">
        <v>1210</v>
      </c>
      <c r="D304" s="1">
        <v>46314.46329861111</v>
      </c>
      <c r="E304" s="1">
        <v>46315.533842592587</v>
      </c>
      <c r="F304" s="1" t="s">
        <v>96</v>
      </c>
      <c r="G304" t="s">
        <v>30</v>
      </c>
      <c r="H304" s="1">
        <v>46315.533842592587</v>
      </c>
      <c r="I304" t="s">
        <v>268</v>
      </c>
      <c r="J304" t="s">
        <v>1211</v>
      </c>
      <c r="K304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304">
        <f ca="1">IF(Bandeja_SCTR[[#This Row],[FechaRecepcion]]="","",NETWORKDAYS(INT(Bandeja_SCTR[[#This Row],[FechaRecepcion]]),IF(Bandeja_SCTR[[#This Row],[FechaCierre]]="",TODAY(),INT(Bandeja_SCTR[[#This Row],[FechaCierre]])),DIAS_NOLAB[Feriados]))</f>
        <v>2</v>
      </c>
      <c r="M304" s="2">
        <f>IF(OR(Bandeja_SCTR[[#This Row],[FechaRecepcion]]="",Bandeja_SCTR[[#This Row],[FechaCierre]]=""),"",ROUND((Bandeja_SCTR[[#This Row],[FechaCierre]]-Bandeja_SCTR[[#This Row],[FechaRecepcion]])*24,1))</f>
        <v>25.7</v>
      </c>
      <c r="N304" s="3">
        <f>IF(Bandeja_SCTR[[#This Row],[FechaRecepcion]]="","",DATE(YEAR(Bandeja_SCTR[[#This Row],[FechaRecepcion]]),MONTH(Bandeja_SCTR[[#This Row],[FechaRecepcion]]),1))</f>
        <v>46296</v>
      </c>
      <c r="O304">
        <f>IF(Bandeja_SCTR[[#This Row],[Estado]]="FINALIZADO",1,0)</f>
        <v>1</v>
      </c>
      <c r="P304">
        <f>IF(Bandeja_SCTR[[#This Row],[CasoId]]="",0,IF(Bandeja_SCTR[[#This Row],[Estado]]="FINALIZADO",0,1))</f>
        <v>0</v>
      </c>
    </row>
    <row r="305" spans="1:16">
      <c r="A305" t="s">
        <v>1212</v>
      </c>
      <c r="B305" t="s">
        <v>1213</v>
      </c>
      <c r="C305" t="s">
        <v>1214</v>
      </c>
      <c r="D305" s="1">
        <v>46314.465081018519</v>
      </c>
      <c r="E305" s="1">
        <v>46314.465081018519</v>
      </c>
      <c r="F305" s="1" t="s">
        <v>1215</v>
      </c>
      <c r="H305" s="1"/>
      <c r="I305" t="s">
        <v>1215</v>
      </c>
      <c r="K305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2</v>
      </c>
      <c r="L305">
        <f ca="1">IF(Bandeja_SCTR[[#This Row],[FechaRecepcion]]="","",NETWORKDAYS(INT(Bandeja_SCTR[[#This Row],[FechaRecepcion]]),IF(Bandeja_SCTR[[#This Row],[FechaCierre]]="",TODAY(),INT(Bandeja_SCTR[[#This Row],[FechaCierre]])),DIAS_NOLAB[Feriados]))</f>
        <v>2</v>
      </c>
      <c r="M305" s="2" t="str">
        <f>IF(OR(Bandeja_SCTR[[#This Row],[FechaRecepcion]]="",Bandeja_SCTR[[#This Row],[FechaCierre]]=""),"",ROUND((Bandeja_SCTR[[#This Row],[FechaCierre]]-Bandeja_SCTR[[#This Row],[FechaRecepcion]])*24,1))</f>
        <v/>
      </c>
      <c r="N305" s="3">
        <f>IF(Bandeja_SCTR[[#This Row],[FechaRecepcion]]="","",DATE(YEAR(Bandeja_SCTR[[#This Row],[FechaRecepcion]]),MONTH(Bandeja_SCTR[[#This Row],[FechaRecepcion]]),1))</f>
        <v>46296</v>
      </c>
      <c r="O305">
        <f>IF(Bandeja_SCTR[[#This Row],[Estado]]="FINALIZADO",1,0)</f>
        <v>0</v>
      </c>
      <c r="P305">
        <f>IF(Bandeja_SCTR[[#This Row],[CasoId]]="",0,IF(Bandeja_SCTR[[#This Row],[Estado]]="FINALIZADO",0,1))</f>
        <v>1</v>
      </c>
    </row>
    <row r="306" spans="1:16">
      <c r="A306" t="s">
        <v>1216</v>
      </c>
      <c r="B306" t="s">
        <v>1217</v>
      </c>
      <c r="C306" t="s">
        <v>1218</v>
      </c>
      <c r="D306" s="1">
        <v>46314.466944444444</v>
      </c>
      <c r="E306" s="1">
        <v>46314.466944444444</v>
      </c>
      <c r="F306" s="1" t="s">
        <v>581</v>
      </c>
      <c r="H306" s="1"/>
      <c r="I306" t="s">
        <v>581</v>
      </c>
      <c r="K306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2</v>
      </c>
      <c r="L306">
        <f ca="1">IF(Bandeja_SCTR[[#This Row],[FechaRecepcion]]="","",NETWORKDAYS(INT(Bandeja_SCTR[[#This Row],[FechaRecepcion]]),IF(Bandeja_SCTR[[#This Row],[FechaCierre]]="",TODAY(),INT(Bandeja_SCTR[[#This Row],[FechaCierre]])),DIAS_NOLAB[Feriados]))</f>
        <v>2</v>
      </c>
      <c r="M306" s="2" t="str">
        <f>IF(OR(Bandeja_SCTR[[#This Row],[FechaRecepcion]]="",Bandeja_SCTR[[#This Row],[FechaCierre]]=""),"",ROUND((Bandeja_SCTR[[#This Row],[FechaCierre]]-Bandeja_SCTR[[#This Row],[FechaRecepcion]])*24,1))</f>
        <v/>
      </c>
      <c r="N306" s="3">
        <f>IF(Bandeja_SCTR[[#This Row],[FechaRecepcion]]="","",DATE(YEAR(Bandeja_SCTR[[#This Row],[FechaRecepcion]]),MONTH(Bandeja_SCTR[[#This Row],[FechaRecepcion]]),1))</f>
        <v>46296</v>
      </c>
      <c r="O306">
        <f>IF(Bandeja_SCTR[[#This Row],[Estado]]="FINALIZADO",1,0)</f>
        <v>0</v>
      </c>
      <c r="P306">
        <f>IF(Bandeja_SCTR[[#This Row],[CasoId]]="",0,IF(Bandeja_SCTR[[#This Row],[Estado]]="FINALIZADO",0,1))</f>
        <v>1</v>
      </c>
    </row>
    <row r="307" spans="1:16">
      <c r="A307" t="s">
        <v>1219</v>
      </c>
      <c r="B307" t="s">
        <v>1165</v>
      </c>
      <c r="C307" t="s">
        <v>1220</v>
      </c>
      <c r="D307" s="1">
        <v>46314.467858796299</v>
      </c>
      <c r="E307" s="1">
        <v>46314.467858796299</v>
      </c>
      <c r="F307" s="1" t="s">
        <v>581</v>
      </c>
      <c r="H307" s="1"/>
      <c r="I307" t="s">
        <v>581</v>
      </c>
      <c r="J307" t="s">
        <v>1221</v>
      </c>
      <c r="K307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2</v>
      </c>
      <c r="L307">
        <f ca="1">IF(Bandeja_SCTR[[#This Row],[FechaRecepcion]]="","",NETWORKDAYS(INT(Bandeja_SCTR[[#This Row],[FechaRecepcion]]),IF(Bandeja_SCTR[[#This Row],[FechaCierre]]="",TODAY(),INT(Bandeja_SCTR[[#This Row],[FechaCierre]])),DIAS_NOLAB[Feriados]))</f>
        <v>2</v>
      </c>
      <c r="M307" s="2" t="str">
        <f>IF(OR(Bandeja_SCTR[[#This Row],[FechaRecepcion]]="",Bandeja_SCTR[[#This Row],[FechaCierre]]=""),"",ROUND((Bandeja_SCTR[[#This Row],[FechaCierre]]-Bandeja_SCTR[[#This Row],[FechaRecepcion]])*24,1))</f>
        <v/>
      </c>
      <c r="N307" s="3">
        <f>IF(Bandeja_SCTR[[#This Row],[FechaRecepcion]]="","",DATE(YEAR(Bandeja_SCTR[[#This Row],[FechaRecepcion]]),MONTH(Bandeja_SCTR[[#This Row],[FechaRecepcion]]),1))</f>
        <v>46296</v>
      </c>
      <c r="O307">
        <f>IF(Bandeja_SCTR[[#This Row],[Estado]]="FINALIZADO",1,0)</f>
        <v>0</v>
      </c>
      <c r="P307">
        <f>IF(Bandeja_SCTR[[#This Row],[CasoId]]="",0,IF(Bandeja_SCTR[[#This Row],[Estado]]="FINALIZADO",0,1))</f>
        <v>1</v>
      </c>
    </row>
    <row r="308" spans="1:16" hidden="1">
      <c r="A308" t="s">
        <v>1222</v>
      </c>
      <c r="B308" t="s">
        <v>1148</v>
      </c>
      <c r="C308" t="s">
        <v>1223</v>
      </c>
      <c r="D308" s="1">
        <v>46314.470416666663</v>
      </c>
      <c r="E308" s="1">
        <v>46314.613611111112</v>
      </c>
      <c r="F308" s="1" t="s">
        <v>96</v>
      </c>
      <c r="G308" t="s">
        <v>30</v>
      </c>
      <c r="H308" s="1">
        <v>46314.613611111112</v>
      </c>
      <c r="I308" t="s">
        <v>268</v>
      </c>
      <c r="J308" t="s">
        <v>1224</v>
      </c>
      <c r="K308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308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308" s="2">
        <f>IF(OR(Bandeja_SCTR[[#This Row],[FechaRecepcion]]="",Bandeja_SCTR[[#This Row],[FechaCierre]]=""),"",ROUND((Bandeja_SCTR[[#This Row],[FechaCierre]]-Bandeja_SCTR[[#This Row],[FechaRecepcion]])*24,1))</f>
        <v>3.4</v>
      </c>
      <c r="N308" s="3">
        <f>IF(Bandeja_SCTR[[#This Row],[FechaRecepcion]]="","",DATE(YEAR(Bandeja_SCTR[[#This Row],[FechaRecepcion]]),MONTH(Bandeja_SCTR[[#This Row],[FechaRecepcion]]),1))</f>
        <v>46296</v>
      </c>
      <c r="O308">
        <f>IF(Bandeja_SCTR[[#This Row],[Estado]]="FINALIZADO",1,0)</f>
        <v>1</v>
      </c>
      <c r="P308">
        <f>IF(Bandeja_SCTR[[#This Row],[CasoId]]="",0,IF(Bandeja_SCTR[[#This Row],[Estado]]="FINALIZADO",0,1))</f>
        <v>0</v>
      </c>
    </row>
    <row r="309" spans="1:16">
      <c r="A309" t="s">
        <v>1225</v>
      </c>
      <c r="B309" t="s">
        <v>1226</v>
      </c>
      <c r="C309" t="s">
        <v>1227</v>
      </c>
      <c r="D309" s="1">
        <v>46314.475405092591</v>
      </c>
      <c r="E309" s="1">
        <v>46314.493530092594</v>
      </c>
      <c r="F309" s="1" t="s">
        <v>145</v>
      </c>
      <c r="H309" s="1"/>
      <c r="I309" t="s">
        <v>145</v>
      </c>
      <c r="J309" t="s">
        <v>577</v>
      </c>
      <c r="K309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2</v>
      </c>
      <c r="L309">
        <f ca="1">IF(Bandeja_SCTR[[#This Row],[FechaRecepcion]]="","",NETWORKDAYS(INT(Bandeja_SCTR[[#This Row],[FechaRecepcion]]),IF(Bandeja_SCTR[[#This Row],[FechaCierre]]="",TODAY(),INT(Bandeja_SCTR[[#This Row],[FechaCierre]])),DIAS_NOLAB[Feriados]))</f>
        <v>2</v>
      </c>
      <c r="M309" s="2" t="str">
        <f>IF(OR(Bandeja_SCTR[[#This Row],[FechaRecepcion]]="",Bandeja_SCTR[[#This Row],[FechaCierre]]=""),"",ROUND((Bandeja_SCTR[[#This Row],[FechaCierre]]-Bandeja_SCTR[[#This Row],[FechaRecepcion]])*24,1))</f>
        <v/>
      </c>
      <c r="N309" s="3">
        <f>IF(Bandeja_SCTR[[#This Row],[FechaRecepcion]]="","",DATE(YEAR(Bandeja_SCTR[[#This Row],[FechaRecepcion]]),MONTH(Bandeja_SCTR[[#This Row],[FechaRecepcion]]),1))</f>
        <v>46296</v>
      </c>
      <c r="O309">
        <f>IF(Bandeja_SCTR[[#This Row],[Estado]]="FINALIZADO",1,0)</f>
        <v>0</v>
      </c>
      <c r="P309">
        <f>IF(Bandeja_SCTR[[#This Row],[CasoId]]="",0,IF(Bandeja_SCTR[[#This Row],[Estado]]="FINALIZADO",0,1))</f>
        <v>1</v>
      </c>
    </row>
    <row r="310" spans="1:16">
      <c r="A310" t="s">
        <v>1228</v>
      </c>
      <c r="B310" t="s">
        <v>1229</v>
      </c>
      <c r="C310" t="s">
        <v>1230</v>
      </c>
      <c r="D310" s="1">
        <v>46314.4768287037</v>
      </c>
      <c r="E310" s="1">
        <v>46314.532013888893</v>
      </c>
      <c r="F310" s="1" t="s">
        <v>145</v>
      </c>
      <c r="H310" s="1"/>
      <c r="I310" t="s">
        <v>145</v>
      </c>
      <c r="K310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2</v>
      </c>
      <c r="L310">
        <f ca="1">IF(Bandeja_SCTR[[#This Row],[FechaRecepcion]]="","",NETWORKDAYS(INT(Bandeja_SCTR[[#This Row],[FechaRecepcion]]),IF(Bandeja_SCTR[[#This Row],[FechaCierre]]="",TODAY(),INT(Bandeja_SCTR[[#This Row],[FechaCierre]])),DIAS_NOLAB[Feriados]))</f>
        <v>2</v>
      </c>
      <c r="M310" s="2" t="str">
        <f>IF(OR(Bandeja_SCTR[[#This Row],[FechaRecepcion]]="",Bandeja_SCTR[[#This Row],[FechaCierre]]=""),"",ROUND((Bandeja_SCTR[[#This Row],[FechaCierre]]-Bandeja_SCTR[[#This Row],[FechaRecepcion]])*24,1))</f>
        <v/>
      </c>
      <c r="N310" s="3">
        <f>IF(Bandeja_SCTR[[#This Row],[FechaRecepcion]]="","",DATE(YEAR(Bandeja_SCTR[[#This Row],[FechaRecepcion]]),MONTH(Bandeja_SCTR[[#This Row],[FechaRecepcion]]),1))</f>
        <v>46296</v>
      </c>
      <c r="O310">
        <f>IF(Bandeja_SCTR[[#This Row],[Estado]]="FINALIZADO",1,0)</f>
        <v>0</v>
      </c>
      <c r="P310">
        <f>IF(Bandeja_SCTR[[#This Row],[CasoId]]="",0,IF(Bandeja_SCTR[[#This Row],[Estado]]="FINALIZADO",0,1))</f>
        <v>1</v>
      </c>
    </row>
    <row r="311" spans="1:16">
      <c r="A311" t="s">
        <v>1231</v>
      </c>
      <c r="B311" t="s">
        <v>1162</v>
      </c>
      <c r="C311" t="s">
        <v>1232</v>
      </c>
      <c r="D311" s="1">
        <v>46314.486284722225</v>
      </c>
      <c r="E311" s="1">
        <v>46314.486284722225</v>
      </c>
      <c r="F311" s="1" t="s">
        <v>316</v>
      </c>
      <c r="H311" s="1"/>
      <c r="I311" t="s">
        <v>317</v>
      </c>
      <c r="J311" t="s">
        <v>1233</v>
      </c>
      <c r="K311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2</v>
      </c>
      <c r="L311">
        <f ca="1">IF(Bandeja_SCTR[[#This Row],[FechaRecepcion]]="","",NETWORKDAYS(INT(Bandeja_SCTR[[#This Row],[FechaRecepcion]]),IF(Bandeja_SCTR[[#This Row],[FechaCierre]]="",TODAY(),INT(Bandeja_SCTR[[#This Row],[FechaCierre]])),DIAS_NOLAB[Feriados]))</f>
        <v>2</v>
      </c>
      <c r="M311" s="2" t="str">
        <f>IF(OR(Bandeja_SCTR[[#This Row],[FechaRecepcion]]="",Bandeja_SCTR[[#This Row],[FechaCierre]]=""),"",ROUND((Bandeja_SCTR[[#This Row],[FechaCierre]]-Bandeja_SCTR[[#This Row],[FechaRecepcion]])*24,1))</f>
        <v/>
      </c>
      <c r="N311" s="3">
        <f>IF(Bandeja_SCTR[[#This Row],[FechaRecepcion]]="","",DATE(YEAR(Bandeja_SCTR[[#This Row],[FechaRecepcion]]),MONTH(Bandeja_SCTR[[#This Row],[FechaRecepcion]]),1))</f>
        <v>46296</v>
      </c>
      <c r="O311">
        <f>IF(Bandeja_SCTR[[#This Row],[Estado]]="FINALIZADO",1,0)</f>
        <v>0</v>
      </c>
      <c r="P311">
        <f>IF(Bandeja_SCTR[[#This Row],[CasoId]]="",0,IF(Bandeja_SCTR[[#This Row],[Estado]]="FINALIZADO",0,1))</f>
        <v>1</v>
      </c>
    </row>
    <row r="312" spans="1:16" hidden="1">
      <c r="A312" t="s">
        <v>1234</v>
      </c>
      <c r="B312" t="s">
        <v>1044</v>
      </c>
      <c r="C312" t="s">
        <v>1235</v>
      </c>
      <c r="D312" s="1">
        <v>46314.490694444445</v>
      </c>
      <c r="E312" s="1">
        <v>46314.624259259261</v>
      </c>
      <c r="F312" s="1" t="s">
        <v>96</v>
      </c>
      <c r="G312" t="s">
        <v>30</v>
      </c>
      <c r="H312" s="1">
        <v>46314.624259259261</v>
      </c>
      <c r="I312" t="s">
        <v>268</v>
      </c>
      <c r="J312" t="s">
        <v>1236</v>
      </c>
      <c r="K312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312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312" s="2">
        <f>IF(OR(Bandeja_SCTR[[#This Row],[FechaRecepcion]]="",Bandeja_SCTR[[#This Row],[FechaCierre]]=""),"",ROUND((Bandeja_SCTR[[#This Row],[FechaCierre]]-Bandeja_SCTR[[#This Row],[FechaRecepcion]])*24,1))</f>
        <v>3.2</v>
      </c>
      <c r="N312" s="3">
        <f>IF(Bandeja_SCTR[[#This Row],[FechaRecepcion]]="","",DATE(YEAR(Bandeja_SCTR[[#This Row],[FechaRecepcion]]),MONTH(Bandeja_SCTR[[#This Row],[FechaRecepcion]]),1))</f>
        <v>46296</v>
      </c>
      <c r="O312">
        <f>IF(Bandeja_SCTR[[#This Row],[Estado]]="FINALIZADO",1,0)</f>
        <v>1</v>
      </c>
      <c r="P312">
        <f>IF(Bandeja_SCTR[[#This Row],[CasoId]]="",0,IF(Bandeja_SCTR[[#This Row],[Estado]]="FINALIZADO",0,1))</f>
        <v>0</v>
      </c>
    </row>
    <row r="313" spans="1:16" hidden="1">
      <c r="A313" t="s">
        <v>1237</v>
      </c>
      <c r="B313" t="s">
        <v>1238</v>
      </c>
      <c r="C313" t="s">
        <v>1239</v>
      </c>
      <c r="D313" s="1">
        <v>46314.491678240738</v>
      </c>
      <c r="E313" s="1">
        <v>46315.414942129632</v>
      </c>
      <c r="F313" s="1" t="s">
        <v>96</v>
      </c>
      <c r="G313" t="s">
        <v>30</v>
      </c>
      <c r="H313" s="1">
        <v>46315.414942129632</v>
      </c>
      <c r="I313" t="s">
        <v>97</v>
      </c>
      <c r="K313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313">
        <f ca="1">IF(Bandeja_SCTR[[#This Row],[FechaRecepcion]]="","",NETWORKDAYS(INT(Bandeja_SCTR[[#This Row],[FechaRecepcion]]),IF(Bandeja_SCTR[[#This Row],[FechaCierre]]="",TODAY(),INT(Bandeja_SCTR[[#This Row],[FechaCierre]])),DIAS_NOLAB[Feriados]))</f>
        <v>2</v>
      </c>
      <c r="M313" s="2">
        <f>IF(OR(Bandeja_SCTR[[#This Row],[FechaRecepcion]]="",Bandeja_SCTR[[#This Row],[FechaCierre]]=""),"",ROUND((Bandeja_SCTR[[#This Row],[FechaCierre]]-Bandeja_SCTR[[#This Row],[FechaRecepcion]])*24,1))</f>
        <v>22.2</v>
      </c>
      <c r="N313" s="3">
        <f>IF(Bandeja_SCTR[[#This Row],[FechaRecepcion]]="","",DATE(YEAR(Bandeja_SCTR[[#This Row],[FechaRecepcion]]),MONTH(Bandeja_SCTR[[#This Row],[FechaRecepcion]]),1))</f>
        <v>46296</v>
      </c>
      <c r="O313">
        <f>IF(Bandeja_SCTR[[#This Row],[Estado]]="FINALIZADO",1,0)</f>
        <v>1</v>
      </c>
      <c r="P313">
        <f>IF(Bandeja_SCTR[[#This Row],[CasoId]]="",0,IF(Bandeja_SCTR[[#This Row],[Estado]]="FINALIZADO",0,1))</f>
        <v>0</v>
      </c>
    </row>
    <row r="314" spans="1:16">
      <c r="A314" t="s">
        <v>1240</v>
      </c>
      <c r="B314" t="s">
        <v>1241</v>
      </c>
      <c r="C314" t="s">
        <v>1242</v>
      </c>
      <c r="D314" s="1">
        <v>46314.495520833334</v>
      </c>
      <c r="E314" s="1">
        <v>46314.495520833334</v>
      </c>
      <c r="F314" s="1" t="s">
        <v>1243</v>
      </c>
      <c r="H314" s="1"/>
      <c r="I314" t="s">
        <v>1243</v>
      </c>
      <c r="K314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2</v>
      </c>
      <c r="L314">
        <f ca="1">IF(Bandeja_SCTR[[#This Row],[FechaRecepcion]]="","",NETWORKDAYS(INT(Bandeja_SCTR[[#This Row],[FechaRecepcion]]),IF(Bandeja_SCTR[[#This Row],[FechaCierre]]="",TODAY(),INT(Bandeja_SCTR[[#This Row],[FechaCierre]])),DIAS_NOLAB[Feriados]))</f>
        <v>2</v>
      </c>
      <c r="M314" s="2" t="str">
        <f>IF(OR(Bandeja_SCTR[[#This Row],[FechaRecepcion]]="",Bandeja_SCTR[[#This Row],[FechaCierre]]=""),"",ROUND((Bandeja_SCTR[[#This Row],[FechaCierre]]-Bandeja_SCTR[[#This Row],[FechaRecepcion]])*24,1))</f>
        <v/>
      </c>
      <c r="N314" s="3">
        <f>IF(Bandeja_SCTR[[#This Row],[FechaRecepcion]]="","",DATE(YEAR(Bandeja_SCTR[[#This Row],[FechaRecepcion]]),MONTH(Bandeja_SCTR[[#This Row],[FechaRecepcion]]),1))</f>
        <v>46296</v>
      </c>
      <c r="O314">
        <f>IF(Bandeja_SCTR[[#This Row],[Estado]]="FINALIZADO",1,0)</f>
        <v>0</v>
      </c>
      <c r="P314">
        <f>IF(Bandeja_SCTR[[#This Row],[CasoId]]="",0,IF(Bandeja_SCTR[[#This Row],[Estado]]="FINALIZADO",0,1))</f>
        <v>1</v>
      </c>
    </row>
    <row r="315" spans="1:16" hidden="1">
      <c r="A315" t="s">
        <v>1244</v>
      </c>
      <c r="B315" t="s">
        <v>1245</v>
      </c>
      <c r="C315" t="s">
        <v>1246</v>
      </c>
      <c r="D315" s="1">
        <v>46314.499861111108</v>
      </c>
      <c r="E315" s="1">
        <v>46314.639085648145</v>
      </c>
      <c r="F315" s="1" t="s">
        <v>96</v>
      </c>
      <c r="G315" t="s">
        <v>30</v>
      </c>
      <c r="H315" s="1">
        <v>46314.639085648145</v>
      </c>
      <c r="I315" t="s">
        <v>268</v>
      </c>
      <c r="J315" t="s">
        <v>1247</v>
      </c>
      <c r="K315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315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315" s="2">
        <f>IF(OR(Bandeja_SCTR[[#This Row],[FechaRecepcion]]="",Bandeja_SCTR[[#This Row],[FechaCierre]]=""),"",ROUND((Bandeja_SCTR[[#This Row],[FechaCierre]]-Bandeja_SCTR[[#This Row],[FechaRecepcion]])*24,1))</f>
        <v>3.3</v>
      </c>
      <c r="N315" s="3">
        <f>IF(Bandeja_SCTR[[#This Row],[FechaRecepcion]]="","",DATE(YEAR(Bandeja_SCTR[[#This Row],[FechaRecepcion]]),MONTH(Bandeja_SCTR[[#This Row],[FechaRecepcion]]),1))</f>
        <v>46296</v>
      </c>
      <c r="O315">
        <f>IF(Bandeja_SCTR[[#This Row],[Estado]]="FINALIZADO",1,0)</f>
        <v>1</v>
      </c>
      <c r="P315">
        <f>IF(Bandeja_SCTR[[#This Row],[CasoId]]="",0,IF(Bandeja_SCTR[[#This Row],[Estado]]="FINALIZADO",0,1))</f>
        <v>0</v>
      </c>
    </row>
    <row r="316" spans="1:16">
      <c r="A316" t="s">
        <v>1248</v>
      </c>
      <c r="B316" t="s">
        <v>1249</v>
      </c>
      <c r="C316" t="s">
        <v>1250</v>
      </c>
      <c r="D316" s="1">
        <v>46314.500671296293</v>
      </c>
      <c r="E316" s="1">
        <v>46314.527696759258</v>
      </c>
      <c r="F316" s="1" t="s">
        <v>438</v>
      </c>
      <c r="H316" s="1"/>
      <c r="I316" t="s">
        <v>1251</v>
      </c>
      <c r="J316" t="s">
        <v>534</v>
      </c>
      <c r="K316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2</v>
      </c>
      <c r="L316">
        <f ca="1">IF(Bandeja_SCTR[[#This Row],[FechaRecepcion]]="","",NETWORKDAYS(INT(Bandeja_SCTR[[#This Row],[FechaRecepcion]]),IF(Bandeja_SCTR[[#This Row],[FechaCierre]]="",TODAY(),INT(Bandeja_SCTR[[#This Row],[FechaCierre]])),DIAS_NOLAB[Feriados]))</f>
        <v>2</v>
      </c>
      <c r="M316" s="2" t="str">
        <f>IF(OR(Bandeja_SCTR[[#This Row],[FechaRecepcion]]="",Bandeja_SCTR[[#This Row],[FechaCierre]]=""),"",ROUND((Bandeja_SCTR[[#This Row],[FechaCierre]]-Bandeja_SCTR[[#This Row],[FechaRecepcion]])*24,1))</f>
        <v/>
      </c>
      <c r="N316" s="3">
        <f>IF(Bandeja_SCTR[[#This Row],[FechaRecepcion]]="","",DATE(YEAR(Bandeja_SCTR[[#This Row],[FechaRecepcion]]),MONTH(Bandeja_SCTR[[#This Row],[FechaRecepcion]]),1))</f>
        <v>46296</v>
      </c>
      <c r="O316">
        <f>IF(Bandeja_SCTR[[#This Row],[Estado]]="FINALIZADO",1,0)</f>
        <v>0</v>
      </c>
      <c r="P316">
        <f>IF(Bandeja_SCTR[[#This Row],[CasoId]]="",0,IF(Bandeja_SCTR[[#This Row],[Estado]]="FINALIZADO",0,1))</f>
        <v>1</v>
      </c>
    </row>
    <row r="317" spans="1:16" hidden="1">
      <c r="A317" t="s">
        <v>1252</v>
      </c>
      <c r="B317" t="s">
        <v>1253</v>
      </c>
      <c r="C317" t="s">
        <v>1254</v>
      </c>
      <c r="D317" s="1">
        <v>46314.50309027778</v>
      </c>
      <c r="E317" s="1">
        <v>46314.620821759258</v>
      </c>
      <c r="F317" s="1" t="s">
        <v>96</v>
      </c>
      <c r="G317" t="s">
        <v>30</v>
      </c>
      <c r="H317" s="1">
        <v>46314.620821759258</v>
      </c>
      <c r="I317" t="s">
        <v>268</v>
      </c>
      <c r="J317" t="s">
        <v>1255</v>
      </c>
      <c r="K317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317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317" s="2">
        <f>IF(OR(Bandeja_SCTR[[#This Row],[FechaRecepcion]]="",Bandeja_SCTR[[#This Row],[FechaCierre]]=""),"",ROUND((Bandeja_SCTR[[#This Row],[FechaCierre]]-Bandeja_SCTR[[#This Row],[FechaRecepcion]])*24,1))</f>
        <v>2.8</v>
      </c>
      <c r="N317" s="3">
        <f>IF(Bandeja_SCTR[[#This Row],[FechaRecepcion]]="","",DATE(YEAR(Bandeja_SCTR[[#This Row],[FechaRecepcion]]),MONTH(Bandeja_SCTR[[#This Row],[FechaRecepcion]]),1))</f>
        <v>46296</v>
      </c>
      <c r="O317">
        <f>IF(Bandeja_SCTR[[#This Row],[Estado]]="FINALIZADO",1,0)</f>
        <v>1</v>
      </c>
      <c r="P317">
        <f>IF(Bandeja_SCTR[[#This Row],[CasoId]]="",0,IF(Bandeja_SCTR[[#This Row],[Estado]]="FINALIZADO",0,1))</f>
        <v>0</v>
      </c>
    </row>
    <row r="318" spans="1:16" hidden="1">
      <c r="A318" t="s">
        <v>1256</v>
      </c>
      <c r="B318" t="s">
        <v>1106</v>
      </c>
      <c r="C318" t="s">
        <v>1107</v>
      </c>
      <c r="D318" s="1">
        <v>46314.503229166672</v>
      </c>
      <c r="E318" s="1">
        <v>46314.622777777782</v>
      </c>
      <c r="F318" s="1" t="s">
        <v>96</v>
      </c>
      <c r="G318" t="s">
        <v>30</v>
      </c>
      <c r="H318" s="1">
        <v>46314.622777777782</v>
      </c>
      <c r="I318" t="s">
        <v>268</v>
      </c>
      <c r="J318" t="s">
        <v>1257</v>
      </c>
      <c r="K318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318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318" s="2">
        <f>IF(OR(Bandeja_SCTR[[#This Row],[FechaRecepcion]]="",Bandeja_SCTR[[#This Row],[FechaCierre]]=""),"",ROUND((Bandeja_SCTR[[#This Row],[FechaCierre]]-Bandeja_SCTR[[#This Row],[FechaRecepcion]])*24,1))</f>
        <v>2.9</v>
      </c>
      <c r="N318" s="3">
        <f>IF(Bandeja_SCTR[[#This Row],[FechaRecepcion]]="","",DATE(YEAR(Bandeja_SCTR[[#This Row],[FechaRecepcion]]),MONTH(Bandeja_SCTR[[#This Row],[FechaRecepcion]]),1))</f>
        <v>46296</v>
      </c>
      <c r="O318">
        <f>IF(Bandeja_SCTR[[#This Row],[Estado]]="FINALIZADO",1,0)</f>
        <v>1</v>
      </c>
      <c r="P318">
        <f>IF(Bandeja_SCTR[[#This Row],[CasoId]]="",0,IF(Bandeja_SCTR[[#This Row],[Estado]]="FINALIZADO",0,1))</f>
        <v>0</v>
      </c>
    </row>
    <row r="319" spans="1:16">
      <c r="A319" t="s">
        <v>1258</v>
      </c>
      <c r="B319" t="s">
        <v>1024</v>
      </c>
      <c r="C319" t="s">
        <v>1259</v>
      </c>
      <c r="D319" s="1">
        <v>46314.504178240742</v>
      </c>
      <c r="E319" s="1">
        <v>46315.395011574074</v>
      </c>
      <c r="F319" s="1" t="s">
        <v>1260</v>
      </c>
      <c r="H319" s="1"/>
      <c r="I319" t="s">
        <v>1260</v>
      </c>
      <c r="J319" t="s">
        <v>1261</v>
      </c>
      <c r="K319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1</v>
      </c>
      <c r="L319">
        <f ca="1">IF(Bandeja_SCTR[[#This Row],[FechaRecepcion]]="","",NETWORKDAYS(INT(Bandeja_SCTR[[#This Row],[FechaRecepcion]]),IF(Bandeja_SCTR[[#This Row],[FechaCierre]]="",TODAY(),INT(Bandeja_SCTR[[#This Row],[FechaCierre]])),DIAS_NOLAB[Feriados]))</f>
        <v>2</v>
      </c>
      <c r="M319" s="2" t="str">
        <f>IF(OR(Bandeja_SCTR[[#This Row],[FechaRecepcion]]="",Bandeja_SCTR[[#This Row],[FechaCierre]]=""),"",ROUND((Bandeja_SCTR[[#This Row],[FechaCierre]]-Bandeja_SCTR[[#This Row],[FechaRecepcion]])*24,1))</f>
        <v/>
      </c>
      <c r="N319" s="3">
        <f>IF(Bandeja_SCTR[[#This Row],[FechaRecepcion]]="","",DATE(YEAR(Bandeja_SCTR[[#This Row],[FechaRecepcion]]),MONTH(Bandeja_SCTR[[#This Row],[FechaRecepcion]]),1))</f>
        <v>46296</v>
      </c>
      <c r="O319">
        <f>IF(Bandeja_SCTR[[#This Row],[Estado]]="FINALIZADO",1,0)</f>
        <v>0</v>
      </c>
      <c r="P319">
        <f>IF(Bandeja_SCTR[[#This Row],[CasoId]]="",0,IF(Bandeja_SCTR[[#This Row],[Estado]]="FINALIZADO",0,1))</f>
        <v>1</v>
      </c>
    </row>
    <row r="320" spans="1:16" hidden="1">
      <c r="A320" t="s">
        <v>1262</v>
      </c>
      <c r="B320" t="s">
        <v>1263</v>
      </c>
      <c r="C320" t="s">
        <v>1264</v>
      </c>
      <c r="D320" s="1">
        <v>46314.50675925926</v>
      </c>
      <c r="E320" s="1">
        <v>46314.626909722225</v>
      </c>
      <c r="F320" s="1" t="s">
        <v>96</v>
      </c>
      <c r="G320" t="s">
        <v>30</v>
      </c>
      <c r="H320" s="1">
        <v>46314.626909722225</v>
      </c>
      <c r="I320" t="s">
        <v>268</v>
      </c>
      <c r="K320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320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320" s="2">
        <f>IF(OR(Bandeja_SCTR[[#This Row],[FechaRecepcion]]="",Bandeja_SCTR[[#This Row],[FechaCierre]]=""),"",ROUND((Bandeja_SCTR[[#This Row],[FechaCierre]]-Bandeja_SCTR[[#This Row],[FechaRecepcion]])*24,1))</f>
        <v>2.9</v>
      </c>
      <c r="N320" s="3">
        <f>IF(Bandeja_SCTR[[#This Row],[FechaRecepcion]]="","",DATE(YEAR(Bandeja_SCTR[[#This Row],[FechaRecepcion]]),MONTH(Bandeja_SCTR[[#This Row],[FechaRecepcion]]),1))</f>
        <v>46296</v>
      </c>
      <c r="O320">
        <f>IF(Bandeja_SCTR[[#This Row],[Estado]]="FINALIZADO",1,0)</f>
        <v>1</v>
      </c>
      <c r="P320">
        <f>IF(Bandeja_SCTR[[#This Row],[CasoId]]="",0,IF(Bandeja_SCTR[[#This Row],[Estado]]="FINALIZADO",0,1))</f>
        <v>0</v>
      </c>
    </row>
    <row r="321" spans="1:16" hidden="1">
      <c r="A321" t="s">
        <v>1265</v>
      </c>
      <c r="B321" t="s">
        <v>1266</v>
      </c>
      <c r="C321" t="s">
        <v>1267</v>
      </c>
      <c r="D321" s="1">
        <v>46314.508831018524</v>
      </c>
      <c r="E321" s="1">
        <v>46314.633912037039</v>
      </c>
      <c r="F321" s="1" t="s">
        <v>96</v>
      </c>
      <c r="G321" t="s">
        <v>30</v>
      </c>
      <c r="H321" s="1">
        <v>46314.633912037039</v>
      </c>
      <c r="I321" t="s">
        <v>268</v>
      </c>
      <c r="K321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321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321" s="2">
        <f>IF(OR(Bandeja_SCTR[[#This Row],[FechaRecepcion]]="",Bandeja_SCTR[[#This Row],[FechaCierre]]=""),"",ROUND((Bandeja_SCTR[[#This Row],[FechaCierre]]-Bandeja_SCTR[[#This Row],[FechaRecepcion]])*24,1))</f>
        <v>3</v>
      </c>
      <c r="N321" s="3">
        <f>IF(Bandeja_SCTR[[#This Row],[FechaRecepcion]]="","",DATE(YEAR(Bandeja_SCTR[[#This Row],[FechaRecepcion]]),MONTH(Bandeja_SCTR[[#This Row],[FechaRecepcion]]),1))</f>
        <v>46296</v>
      </c>
      <c r="O321">
        <f>IF(Bandeja_SCTR[[#This Row],[Estado]]="FINALIZADO",1,0)</f>
        <v>1</v>
      </c>
      <c r="P321">
        <f>IF(Bandeja_SCTR[[#This Row],[CasoId]]="",0,IF(Bandeja_SCTR[[#This Row],[Estado]]="FINALIZADO",0,1))</f>
        <v>0</v>
      </c>
    </row>
    <row r="322" spans="1:16" hidden="1">
      <c r="A322" t="s">
        <v>1268</v>
      </c>
      <c r="B322" t="s">
        <v>1116</v>
      </c>
      <c r="C322" t="s">
        <v>1269</v>
      </c>
      <c r="D322" s="1">
        <v>46314.508854166663</v>
      </c>
      <c r="E322" s="1">
        <v>46314.630497685182</v>
      </c>
      <c r="F322" s="1" t="s">
        <v>96</v>
      </c>
      <c r="G322" t="s">
        <v>30</v>
      </c>
      <c r="H322" s="1">
        <v>46314.630497685182</v>
      </c>
      <c r="I322" t="s">
        <v>268</v>
      </c>
      <c r="J322" t="s">
        <v>1270</v>
      </c>
      <c r="K322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322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322" s="2">
        <f>IF(OR(Bandeja_SCTR[[#This Row],[FechaRecepcion]]="",Bandeja_SCTR[[#This Row],[FechaCierre]]=""),"",ROUND((Bandeja_SCTR[[#This Row],[FechaCierre]]-Bandeja_SCTR[[#This Row],[FechaRecepcion]])*24,1))</f>
        <v>2.9</v>
      </c>
      <c r="N322" s="3">
        <f>IF(Bandeja_SCTR[[#This Row],[FechaRecepcion]]="","",DATE(YEAR(Bandeja_SCTR[[#This Row],[FechaRecepcion]]),MONTH(Bandeja_SCTR[[#This Row],[FechaRecepcion]]),1))</f>
        <v>46296</v>
      </c>
      <c r="O322">
        <f>IF(Bandeja_SCTR[[#This Row],[Estado]]="FINALIZADO",1,0)</f>
        <v>1</v>
      </c>
      <c r="P322">
        <f>IF(Bandeja_SCTR[[#This Row],[CasoId]]="",0,IF(Bandeja_SCTR[[#This Row],[Estado]]="FINALIZADO",0,1))</f>
        <v>0</v>
      </c>
    </row>
    <row r="323" spans="1:16">
      <c r="A323" t="s">
        <v>1271</v>
      </c>
      <c r="B323" t="s">
        <v>857</v>
      </c>
      <c r="C323" t="s">
        <v>858</v>
      </c>
      <c r="D323" s="1">
        <v>46314.521666666667</v>
      </c>
      <c r="E323" s="1">
        <v>46314.521666666667</v>
      </c>
      <c r="F323" s="1" t="s">
        <v>150</v>
      </c>
      <c r="H323" s="1"/>
      <c r="I323" t="s">
        <v>150</v>
      </c>
      <c r="J323" t="s">
        <v>1272</v>
      </c>
      <c r="K323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2</v>
      </c>
      <c r="L323">
        <f ca="1">IF(Bandeja_SCTR[[#This Row],[FechaRecepcion]]="","",NETWORKDAYS(INT(Bandeja_SCTR[[#This Row],[FechaRecepcion]]),IF(Bandeja_SCTR[[#This Row],[FechaCierre]]="",TODAY(),INT(Bandeja_SCTR[[#This Row],[FechaCierre]])),DIAS_NOLAB[Feriados]))</f>
        <v>2</v>
      </c>
      <c r="M323" s="2" t="str">
        <f>IF(OR(Bandeja_SCTR[[#This Row],[FechaRecepcion]]="",Bandeja_SCTR[[#This Row],[FechaCierre]]=""),"",ROUND((Bandeja_SCTR[[#This Row],[FechaCierre]]-Bandeja_SCTR[[#This Row],[FechaRecepcion]])*24,1))</f>
        <v/>
      </c>
      <c r="N323" s="3">
        <f>IF(Bandeja_SCTR[[#This Row],[FechaRecepcion]]="","",DATE(YEAR(Bandeja_SCTR[[#This Row],[FechaRecepcion]]),MONTH(Bandeja_SCTR[[#This Row],[FechaRecepcion]]),1))</f>
        <v>46296</v>
      </c>
      <c r="O323">
        <f>IF(Bandeja_SCTR[[#This Row],[Estado]]="FINALIZADO",1,0)</f>
        <v>0</v>
      </c>
      <c r="P323">
        <f>IF(Bandeja_SCTR[[#This Row],[CasoId]]="",0,IF(Bandeja_SCTR[[#This Row],[Estado]]="FINALIZADO",0,1))</f>
        <v>1</v>
      </c>
    </row>
    <row r="324" spans="1:16" hidden="1">
      <c r="A324" t="s">
        <v>1273</v>
      </c>
      <c r="B324" t="s">
        <v>1274</v>
      </c>
      <c r="C324" t="s">
        <v>1275</v>
      </c>
      <c r="D324" s="1">
        <v>46314.531284722223</v>
      </c>
      <c r="E324" s="1">
        <v>46314.63689814815</v>
      </c>
      <c r="F324" s="1" t="s">
        <v>96</v>
      </c>
      <c r="G324" t="s">
        <v>30</v>
      </c>
      <c r="H324" s="1">
        <v>46314.63689814815</v>
      </c>
      <c r="I324" t="s">
        <v>268</v>
      </c>
      <c r="K324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324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324" s="2">
        <f>IF(OR(Bandeja_SCTR[[#This Row],[FechaRecepcion]]="",Bandeja_SCTR[[#This Row],[FechaCierre]]=""),"",ROUND((Bandeja_SCTR[[#This Row],[FechaCierre]]-Bandeja_SCTR[[#This Row],[FechaRecepcion]])*24,1))</f>
        <v>2.5</v>
      </c>
      <c r="N324" s="3">
        <f>IF(Bandeja_SCTR[[#This Row],[FechaRecepcion]]="","",DATE(YEAR(Bandeja_SCTR[[#This Row],[FechaRecepcion]]),MONTH(Bandeja_SCTR[[#This Row],[FechaRecepcion]]),1))</f>
        <v>46296</v>
      </c>
      <c r="O324">
        <f>IF(Bandeja_SCTR[[#This Row],[Estado]]="FINALIZADO",1,0)</f>
        <v>1</v>
      </c>
      <c r="P324">
        <f>IF(Bandeja_SCTR[[#This Row],[CasoId]]="",0,IF(Bandeja_SCTR[[#This Row],[Estado]]="FINALIZADO",0,1))</f>
        <v>0</v>
      </c>
    </row>
    <row r="325" spans="1:16">
      <c r="A325" t="s">
        <v>1276</v>
      </c>
      <c r="B325" t="s">
        <v>1277</v>
      </c>
      <c r="C325" t="s">
        <v>1278</v>
      </c>
      <c r="D325" s="1">
        <v>46314.531388888892</v>
      </c>
      <c r="E325" s="1">
        <v>46314.533576388887</v>
      </c>
      <c r="F325" s="1" t="s">
        <v>1279</v>
      </c>
      <c r="H325" s="1"/>
      <c r="I325" t="s">
        <v>1279</v>
      </c>
      <c r="K325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2</v>
      </c>
      <c r="L325">
        <f ca="1">IF(Bandeja_SCTR[[#This Row],[FechaRecepcion]]="","",NETWORKDAYS(INT(Bandeja_SCTR[[#This Row],[FechaRecepcion]]),IF(Bandeja_SCTR[[#This Row],[FechaCierre]]="",TODAY(),INT(Bandeja_SCTR[[#This Row],[FechaCierre]])),DIAS_NOLAB[Feriados]))</f>
        <v>2</v>
      </c>
      <c r="M325" s="2" t="str">
        <f>IF(OR(Bandeja_SCTR[[#This Row],[FechaRecepcion]]="",Bandeja_SCTR[[#This Row],[FechaCierre]]=""),"",ROUND((Bandeja_SCTR[[#This Row],[FechaCierre]]-Bandeja_SCTR[[#This Row],[FechaRecepcion]])*24,1))</f>
        <v/>
      </c>
      <c r="N325" s="3">
        <f>IF(Bandeja_SCTR[[#This Row],[FechaRecepcion]]="","",DATE(YEAR(Bandeja_SCTR[[#This Row],[FechaRecepcion]]),MONTH(Bandeja_SCTR[[#This Row],[FechaRecepcion]]),1))</f>
        <v>46296</v>
      </c>
      <c r="O325">
        <f>IF(Bandeja_SCTR[[#This Row],[Estado]]="FINALIZADO",1,0)</f>
        <v>0</v>
      </c>
      <c r="P325">
        <f>IF(Bandeja_SCTR[[#This Row],[CasoId]]="",0,IF(Bandeja_SCTR[[#This Row],[Estado]]="FINALIZADO",0,1))</f>
        <v>1</v>
      </c>
    </row>
    <row r="326" spans="1:16">
      <c r="A326" t="s">
        <v>1280</v>
      </c>
      <c r="B326" t="s">
        <v>764</v>
      </c>
      <c r="C326" t="s">
        <v>1281</v>
      </c>
      <c r="D326" s="1">
        <v>46314.53193287037</v>
      </c>
      <c r="E326" s="1">
        <v>46314.53193287037</v>
      </c>
      <c r="F326" s="1" t="s">
        <v>581</v>
      </c>
      <c r="H326" s="1"/>
      <c r="I326" t="s">
        <v>581</v>
      </c>
      <c r="J326" t="s">
        <v>1282</v>
      </c>
      <c r="K326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2</v>
      </c>
      <c r="L326">
        <f ca="1">IF(Bandeja_SCTR[[#This Row],[FechaRecepcion]]="","",NETWORKDAYS(INT(Bandeja_SCTR[[#This Row],[FechaRecepcion]]),IF(Bandeja_SCTR[[#This Row],[FechaCierre]]="",TODAY(),INT(Bandeja_SCTR[[#This Row],[FechaCierre]])),DIAS_NOLAB[Feriados]))</f>
        <v>2</v>
      </c>
      <c r="M326" s="2" t="str">
        <f>IF(OR(Bandeja_SCTR[[#This Row],[FechaRecepcion]]="",Bandeja_SCTR[[#This Row],[FechaCierre]]=""),"",ROUND((Bandeja_SCTR[[#This Row],[FechaCierre]]-Bandeja_SCTR[[#This Row],[FechaRecepcion]])*24,1))</f>
        <v/>
      </c>
      <c r="N326" s="3">
        <f>IF(Bandeja_SCTR[[#This Row],[FechaRecepcion]]="","",DATE(YEAR(Bandeja_SCTR[[#This Row],[FechaRecepcion]]),MONTH(Bandeja_SCTR[[#This Row],[FechaRecepcion]]),1))</f>
        <v>46296</v>
      </c>
      <c r="O326">
        <f>IF(Bandeja_SCTR[[#This Row],[Estado]]="FINALIZADO",1,0)</f>
        <v>0</v>
      </c>
      <c r="P326">
        <f>IF(Bandeja_SCTR[[#This Row],[CasoId]]="",0,IF(Bandeja_SCTR[[#This Row],[Estado]]="FINALIZADO",0,1))</f>
        <v>1</v>
      </c>
    </row>
    <row r="327" spans="1:16" hidden="1">
      <c r="A327" t="s">
        <v>1283</v>
      </c>
      <c r="B327" t="s">
        <v>1284</v>
      </c>
      <c r="C327" t="s">
        <v>1275</v>
      </c>
      <c r="D327" s="1">
        <v>46314.536111111112</v>
      </c>
      <c r="E327" s="1">
        <v>46314.643634259264</v>
      </c>
      <c r="F327" s="1" t="s">
        <v>96</v>
      </c>
      <c r="G327" t="s">
        <v>30</v>
      </c>
      <c r="H327" s="1">
        <v>46314.643634259264</v>
      </c>
      <c r="I327" t="s">
        <v>268</v>
      </c>
      <c r="K327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327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327" s="2">
        <f>IF(OR(Bandeja_SCTR[[#This Row],[FechaRecepcion]]="",Bandeja_SCTR[[#This Row],[FechaCierre]]=""),"",ROUND((Bandeja_SCTR[[#This Row],[FechaCierre]]-Bandeja_SCTR[[#This Row],[FechaRecepcion]])*24,1))</f>
        <v>2.6</v>
      </c>
      <c r="N327" s="3">
        <f>IF(Bandeja_SCTR[[#This Row],[FechaRecepcion]]="","",DATE(YEAR(Bandeja_SCTR[[#This Row],[FechaRecepcion]]),MONTH(Bandeja_SCTR[[#This Row],[FechaRecepcion]]),1))</f>
        <v>46296</v>
      </c>
      <c r="O327">
        <f>IF(Bandeja_SCTR[[#This Row],[Estado]]="FINALIZADO",1,0)</f>
        <v>1</v>
      </c>
      <c r="P327">
        <f>IF(Bandeja_SCTR[[#This Row],[CasoId]]="",0,IF(Bandeja_SCTR[[#This Row],[Estado]]="FINALIZADO",0,1))</f>
        <v>0</v>
      </c>
    </row>
    <row r="328" spans="1:16">
      <c r="A328" t="s">
        <v>1285</v>
      </c>
      <c r="B328" t="s">
        <v>809</v>
      </c>
      <c r="C328" t="s">
        <v>1286</v>
      </c>
      <c r="D328" s="1">
        <v>46314.539687500001</v>
      </c>
      <c r="E328" s="1">
        <v>46314.539687500001</v>
      </c>
      <c r="F328" s="1" t="s">
        <v>1287</v>
      </c>
      <c r="H328" s="1"/>
      <c r="I328" t="s">
        <v>1287</v>
      </c>
      <c r="J328" t="s">
        <v>1288</v>
      </c>
      <c r="K328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2</v>
      </c>
      <c r="L328">
        <f ca="1">IF(Bandeja_SCTR[[#This Row],[FechaRecepcion]]="","",NETWORKDAYS(INT(Bandeja_SCTR[[#This Row],[FechaRecepcion]]),IF(Bandeja_SCTR[[#This Row],[FechaCierre]]="",TODAY(),INT(Bandeja_SCTR[[#This Row],[FechaCierre]])),DIAS_NOLAB[Feriados]))</f>
        <v>2</v>
      </c>
      <c r="M328" s="2" t="str">
        <f>IF(OR(Bandeja_SCTR[[#This Row],[FechaRecepcion]]="",Bandeja_SCTR[[#This Row],[FechaCierre]]=""),"",ROUND((Bandeja_SCTR[[#This Row],[FechaCierre]]-Bandeja_SCTR[[#This Row],[FechaRecepcion]])*24,1))</f>
        <v/>
      </c>
      <c r="N328" s="3">
        <f>IF(Bandeja_SCTR[[#This Row],[FechaRecepcion]]="","",DATE(YEAR(Bandeja_SCTR[[#This Row],[FechaRecepcion]]),MONTH(Bandeja_SCTR[[#This Row],[FechaRecepcion]]),1))</f>
        <v>46296</v>
      </c>
      <c r="O328">
        <f>IF(Bandeja_SCTR[[#This Row],[Estado]]="FINALIZADO",1,0)</f>
        <v>0</v>
      </c>
      <c r="P328">
        <f>IF(Bandeja_SCTR[[#This Row],[CasoId]]="",0,IF(Bandeja_SCTR[[#This Row],[Estado]]="FINALIZADO",0,1))</f>
        <v>1</v>
      </c>
    </row>
    <row r="329" spans="1:16" hidden="1">
      <c r="A329" t="s">
        <v>1289</v>
      </c>
      <c r="B329" t="s">
        <v>1290</v>
      </c>
      <c r="C329" t="s">
        <v>1291</v>
      </c>
      <c r="D329" s="1">
        <v>46314.545671296291</v>
      </c>
      <c r="E329" s="1">
        <v>46314.630567129629</v>
      </c>
      <c r="F329" s="1" t="s">
        <v>96</v>
      </c>
      <c r="G329" t="s">
        <v>30</v>
      </c>
      <c r="H329" s="1">
        <v>46314.630567129629</v>
      </c>
      <c r="I329" t="s">
        <v>97</v>
      </c>
      <c r="J329" t="s">
        <v>620</v>
      </c>
      <c r="K329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329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329" s="2">
        <f>IF(OR(Bandeja_SCTR[[#This Row],[FechaRecepcion]]="",Bandeja_SCTR[[#This Row],[FechaCierre]]=""),"",ROUND((Bandeja_SCTR[[#This Row],[FechaCierre]]-Bandeja_SCTR[[#This Row],[FechaRecepcion]])*24,1))</f>
        <v>2</v>
      </c>
      <c r="N329" s="3">
        <f>IF(Bandeja_SCTR[[#This Row],[FechaRecepcion]]="","",DATE(YEAR(Bandeja_SCTR[[#This Row],[FechaRecepcion]]),MONTH(Bandeja_SCTR[[#This Row],[FechaRecepcion]]),1))</f>
        <v>46296</v>
      </c>
      <c r="O329">
        <f>IF(Bandeja_SCTR[[#This Row],[Estado]]="FINALIZADO",1,0)</f>
        <v>1</v>
      </c>
      <c r="P329">
        <f>IF(Bandeja_SCTR[[#This Row],[CasoId]]="",0,IF(Bandeja_SCTR[[#This Row],[Estado]]="FINALIZADO",0,1))</f>
        <v>0</v>
      </c>
    </row>
    <row r="330" spans="1:16">
      <c r="A330" t="s">
        <v>1292</v>
      </c>
      <c r="B330" t="s">
        <v>1184</v>
      </c>
      <c r="C330" t="s">
        <v>1293</v>
      </c>
      <c r="D330" s="1">
        <v>46314.545717592591</v>
      </c>
      <c r="E330" s="1">
        <v>46314.546400462961</v>
      </c>
      <c r="F330" s="1" t="s">
        <v>316</v>
      </c>
      <c r="H330" s="1"/>
      <c r="I330" t="s">
        <v>317</v>
      </c>
      <c r="J330" t="s">
        <v>1294</v>
      </c>
      <c r="K330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2</v>
      </c>
      <c r="L330">
        <f ca="1">IF(Bandeja_SCTR[[#This Row],[FechaRecepcion]]="","",NETWORKDAYS(INT(Bandeja_SCTR[[#This Row],[FechaRecepcion]]),IF(Bandeja_SCTR[[#This Row],[FechaCierre]]="",TODAY(),INT(Bandeja_SCTR[[#This Row],[FechaCierre]])),DIAS_NOLAB[Feriados]))</f>
        <v>2</v>
      </c>
      <c r="M330" s="2" t="str">
        <f>IF(OR(Bandeja_SCTR[[#This Row],[FechaRecepcion]]="",Bandeja_SCTR[[#This Row],[FechaCierre]]=""),"",ROUND((Bandeja_SCTR[[#This Row],[FechaCierre]]-Bandeja_SCTR[[#This Row],[FechaRecepcion]])*24,1))</f>
        <v/>
      </c>
      <c r="N330" s="3">
        <f>IF(Bandeja_SCTR[[#This Row],[FechaRecepcion]]="","",DATE(YEAR(Bandeja_SCTR[[#This Row],[FechaRecepcion]]),MONTH(Bandeja_SCTR[[#This Row],[FechaRecepcion]]),1))</f>
        <v>46296</v>
      </c>
      <c r="O330">
        <f>IF(Bandeja_SCTR[[#This Row],[Estado]]="FINALIZADO",1,0)</f>
        <v>0</v>
      </c>
      <c r="P330">
        <f>IF(Bandeja_SCTR[[#This Row],[CasoId]]="",0,IF(Bandeja_SCTR[[#This Row],[Estado]]="FINALIZADO",0,1))</f>
        <v>1</v>
      </c>
    </row>
    <row r="331" spans="1:16">
      <c r="A331" t="s">
        <v>1295</v>
      </c>
      <c r="B331" t="s">
        <v>1296</v>
      </c>
      <c r="C331" t="s">
        <v>1297</v>
      </c>
      <c r="D331" s="1">
        <v>46314.546157407407</v>
      </c>
      <c r="E331" s="1">
        <v>46314.546157407407</v>
      </c>
      <c r="F331" s="1" t="s">
        <v>910</v>
      </c>
      <c r="H331" s="1"/>
      <c r="I331" t="s">
        <v>910</v>
      </c>
      <c r="K331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2</v>
      </c>
      <c r="L331">
        <f ca="1">IF(Bandeja_SCTR[[#This Row],[FechaRecepcion]]="","",NETWORKDAYS(INT(Bandeja_SCTR[[#This Row],[FechaRecepcion]]),IF(Bandeja_SCTR[[#This Row],[FechaCierre]]="",TODAY(),INT(Bandeja_SCTR[[#This Row],[FechaCierre]])),DIAS_NOLAB[Feriados]))</f>
        <v>2</v>
      </c>
      <c r="M331" s="2" t="str">
        <f>IF(OR(Bandeja_SCTR[[#This Row],[FechaRecepcion]]="",Bandeja_SCTR[[#This Row],[FechaCierre]]=""),"",ROUND((Bandeja_SCTR[[#This Row],[FechaCierre]]-Bandeja_SCTR[[#This Row],[FechaRecepcion]])*24,1))</f>
        <v/>
      </c>
      <c r="N331" s="3">
        <f>IF(Bandeja_SCTR[[#This Row],[FechaRecepcion]]="","",DATE(YEAR(Bandeja_SCTR[[#This Row],[FechaRecepcion]]),MONTH(Bandeja_SCTR[[#This Row],[FechaRecepcion]]),1))</f>
        <v>46296</v>
      </c>
      <c r="O331">
        <f>IF(Bandeja_SCTR[[#This Row],[Estado]]="FINALIZADO",1,0)</f>
        <v>0</v>
      </c>
      <c r="P331">
        <f>IF(Bandeja_SCTR[[#This Row],[CasoId]]="",0,IF(Bandeja_SCTR[[#This Row],[Estado]]="FINALIZADO",0,1))</f>
        <v>1</v>
      </c>
    </row>
    <row r="332" spans="1:16">
      <c r="A332" t="s">
        <v>1298</v>
      </c>
      <c r="B332" t="s">
        <v>1071</v>
      </c>
      <c r="C332" t="s">
        <v>1299</v>
      </c>
      <c r="D332" s="1">
        <v>46314.547847222224</v>
      </c>
      <c r="E332" s="1">
        <v>46314.547847222224</v>
      </c>
      <c r="F332" s="1" t="s">
        <v>1300</v>
      </c>
      <c r="H332" s="1"/>
      <c r="I332" t="s">
        <v>1301</v>
      </c>
      <c r="J332" t="s">
        <v>1302</v>
      </c>
      <c r="K332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2</v>
      </c>
      <c r="L332">
        <f ca="1">IF(Bandeja_SCTR[[#This Row],[FechaRecepcion]]="","",NETWORKDAYS(INT(Bandeja_SCTR[[#This Row],[FechaRecepcion]]),IF(Bandeja_SCTR[[#This Row],[FechaCierre]]="",TODAY(),INT(Bandeja_SCTR[[#This Row],[FechaCierre]])),DIAS_NOLAB[Feriados]))</f>
        <v>2</v>
      </c>
      <c r="M332" s="2" t="str">
        <f>IF(OR(Bandeja_SCTR[[#This Row],[FechaRecepcion]]="",Bandeja_SCTR[[#This Row],[FechaCierre]]=""),"",ROUND((Bandeja_SCTR[[#This Row],[FechaCierre]]-Bandeja_SCTR[[#This Row],[FechaRecepcion]])*24,1))</f>
        <v/>
      </c>
      <c r="N332" s="3">
        <f>IF(Bandeja_SCTR[[#This Row],[FechaRecepcion]]="","",DATE(YEAR(Bandeja_SCTR[[#This Row],[FechaRecepcion]]),MONTH(Bandeja_SCTR[[#This Row],[FechaRecepcion]]),1))</f>
        <v>46296</v>
      </c>
      <c r="O332">
        <f>IF(Bandeja_SCTR[[#This Row],[Estado]]="FINALIZADO",1,0)</f>
        <v>0</v>
      </c>
      <c r="P332">
        <f>IF(Bandeja_SCTR[[#This Row],[CasoId]]="",0,IF(Bandeja_SCTR[[#This Row],[Estado]]="FINALIZADO",0,1))</f>
        <v>1</v>
      </c>
    </row>
    <row r="333" spans="1:16">
      <c r="A333" t="s">
        <v>1303</v>
      </c>
      <c r="B333" t="s">
        <v>820</v>
      </c>
      <c r="C333" t="s">
        <v>952</v>
      </c>
      <c r="D333" s="1">
        <v>46314.552777777775</v>
      </c>
      <c r="E333" s="1">
        <v>46314.643240740741</v>
      </c>
      <c r="F333" s="1" t="s">
        <v>1304</v>
      </c>
      <c r="H333" s="1"/>
      <c r="I333" t="s">
        <v>1305</v>
      </c>
      <c r="J333" t="s">
        <v>1306</v>
      </c>
      <c r="K333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2</v>
      </c>
      <c r="L333">
        <f ca="1">IF(Bandeja_SCTR[[#This Row],[FechaRecepcion]]="","",NETWORKDAYS(INT(Bandeja_SCTR[[#This Row],[FechaRecepcion]]),IF(Bandeja_SCTR[[#This Row],[FechaCierre]]="",TODAY(),INT(Bandeja_SCTR[[#This Row],[FechaCierre]])),DIAS_NOLAB[Feriados]))</f>
        <v>2</v>
      </c>
      <c r="M333" s="2" t="str">
        <f>IF(OR(Bandeja_SCTR[[#This Row],[FechaRecepcion]]="",Bandeja_SCTR[[#This Row],[FechaCierre]]=""),"",ROUND((Bandeja_SCTR[[#This Row],[FechaCierre]]-Bandeja_SCTR[[#This Row],[FechaRecepcion]])*24,1))</f>
        <v/>
      </c>
      <c r="N333" s="3">
        <f>IF(Bandeja_SCTR[[#This Row],[FechaRecepcion]]="","",DATE(YEAR(Bandeja_SCTR[[#This Row],[FechaRecepcion]]),MONTH(Bandeja_SCTR[[#This Row],[FechaRecepcion]]),1))</f>
        <v>46296</v>
      </c>
      <c r="O333">
        <f>IF(Bandeja_SCTR[[#This Row],[Estado]]="FINALIZADO",1,0)</f>
        <v>0</v>
      </c>
      <c r="P333">
        <f>IF(Bandeja_SCTR[[#This Row],[CasoId]]="",0,IF(Bandeja_SCTR[[#This Row],[Estado]]="FINALIZADO",0,1))</f>
        <v>1</v>
      </c>
    </row>
    <row r="334" spans="1:16">
      <c r="A334" t="s">
        <v>1307</v>
      </c>
      <c r="B334" t="s">
        <v>1308</v>
      </c>
      <c r="C334" t="s">
        <v>1309</v>
      </c>
      <c r="D334" s="1">
        <v>46314.556157407409</v>
      </c>
      <c r="E334" s="1">
        <v>46314.556157407409</v>
      </c>
      <c r="F334" s="1" t="s">
        <v>145</v>
      </c>
      <c r="H334" s="1"/>
      <c r="I334" t="s">
        <v>145</v>
      </c>
      <c r="J334" t="s">
        <v>1310</v>
      </c>
      <c r="K334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2</v>
      </c>
      <c r="L334">
        <f ca="1">IF(Bandeja_SCTR[[#This Row],[FechaRecepcion]]="","",NETWORKDAYS(INT(Bandeja_SCTR[[#This Row],[FechaRecepcion]]),IF(Bandeja_SCTR[[#This Row],[FechaCierre]]="",TODAY(),INT(Bandeja_SCTR[[#This Row],[FechaCierre]])),DIAS_NOLAB[Feriados]))</f>
        <v>2</v>
      </c>
      <c r="M334" s="2" t="str">
        <f>IF(OR(Bandeja_SCTR[[#This Row],[FechaRecepcion]]="",Bandeja_SCTR[[#This Row],[FechaCierre]]=""),"",ROUND((Bandeja_SCTR[[#This Row],[FechaCierre]]-Bandeja_SCTR[[#This Row],[FechaRecepcion]])*24,1))</f>
        <v/>
      </c>
      <c r="N334" s="3">
        <f>IF(Bandeja_SCTR[[#This Row],[FechaRecepcion]]="","",DATE(YEAR(Bandeja_SCTR[[#This Row],[FechaRecepcion]]),MONTH(Bandeja_SCTR[[#This Row],[FechaRecepcion]]),1))</f>
        <v>46296</v>
      </c>
      <c r="O334">
        <f>IF(Bandeja_SCTR[[#This Row],[Estado]]="FINALIZADO",1,0)</f>
        <v>0</v>
      </c>
      <c r="P334">
        <f>IF(Bandeja_SCTR[[#This Row],[CasoId]]="",0,IF(Bandeja_SCTR[[#This Row],[Estado]]="FINALIZADO",0,1))</f>
        <v>1</v>
      </c>
    </row>
    <row r="335" spans="1:16">
      <c r="A335" t="s">
        <v>1311</v>
      </c>
      <c r="B335" t="s">
        <v>1312</v>
      </c>
      <c r="C335" t="s">
        <v>1313</v>
      </c>
      <c r="D335" s="1">
        <v>46314.561724537038</v>
      </c>
      <c r="E335" s="1">
        <v>46314.561724537038</v>
      </c>
      <c r="F335" s="1" t="s">
        <v>1314</v>
      </c>
      <c r="H335" s="1"/>
      <c r="I335" t="s">
        <v>1314</v>
      </c>
      <c r="K335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2</v>
      </c>
      <c r="L335">
        <f ca="1">IF(Bandeja_SCTR[[#This Row],[FechaRecepcion]]="","",NETWORKDAYS(INT(Bandeja_SCTR[[#This Row],[FechaRecepcion]]),IF(Bandeja_SCTR[[#This Row],[FechaCierre]]="",TODAY(),INT(Bandeja_SCTR[[#This Row],[FechaCierre]])),DIAS_NOLAB[Feriados]))</f>
        <v>2</v>
      </c>
      <c r="M335" s="2" t="str">
        <f>IF(OR(Bandeja_SCTR[[#This Row],[FechaRecepcion]]="",Bandeja_SCTR[[#This Row],[FechaCierre]]=""),"",ROUND((Bandeja_SCTR[[#This Row],[FechaCierre]]-Bandeja_SCTR[[#This Row],[FechaRecepcion]])*24,1))</f>
        <v/>
      </c>
      <c r="N335" s="3">
        <f>IF(Bandeja_SCTR[[#This Row],[FechaRecepcion]]="","",DATE(YEAR(Bandeja_SCTR[[#This Row],[FechaRecepcion]]),MONTH(Bandeja_SCTR[[#This Row],[FechaRecepcion]]),1))</f>
        <v>46296</v>
      </c>
      <c r="O335">
        <f>IF(Bandeja_SCTR[[#This Row],[Estado]]="FINALIZADO",1,0)</f>
        <v>0</v>
      </c>
      <c r="P335">
        <f>IF(Bandeja_SCTR[[#This Row],[CasoId]]="",0,IF(Bandeja_SCTR[[#This Row],[Estado]]="FINALIZADO",0,1))</f>
        <v>1</v>
      </c>
    </row>
    <row r="336" spans="1:16" hidden="1">
      <c r="A336" t="s">
        <v>1315</v>
      </c>
      <c r="B336" t="s">
        <v>1316</v>
      </c>
      <c r="C336" t="s">
        <v>1317</v>
      </c>
      <c r="D336" s="1">
        <v>46314.571516203709</v>
      </c>
      <c r="E336" s="1">
        <v>46314.645231481481</v>
      </c>
      <c r="F336" s="1" t="s">
        <v>96</v>
      </c>
      <c r="G336" t="s">
        <v>30</v>
      </c>
      <c r="H336" s="1">
        <v>46314.645231481481</v>
      </c>
      <c r="I336" t="s">
        <v>268</v>
      </c>
      <c r="K336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336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336" s="2">
        <f>IF(OR(Bandeja_SCTR[[#This Row],[FechaRecepcion]]="",Bandeja_SCTR[[#This Row],[FechaCierre]]=""),"",ROUND((Bandeja_SCTR[[#This Row],[FechaCierre]]-Bandeja_SCTR[[#This Row],[FechaRecepcion]])*24,1))</f>
        <v>1.8</v>
      </c>
      <c r="N336" s="3">
        <f>IF(Bandeja_SCTR[[#This Row],[FechaRecepcion]]="","",DATE(YEAR(Bandeja_SCTR[[#This Row],[FechaRecepcion]]),MONTH(Bandeja_SCTR[[#This Row],[FechaRecepcion]]),1))</f>
        <v>46296</v>
      </c>
      <c r="O336">
        <f>IF(Bandeja_SCTR[[#This Row],[Estado]]="FINALIZADO",1,0)</f>
        <v>1</v>
      </c>
      <c r="P336">
        <f>IF(Bandeja_SCTR[[#This Row],[CasoId]]="",0,IF(Bandeja_SCTR[[#This Row],[Estado]]="FINALIZADO",0,1))</f>
        <v>0</v>
      </c>
    </row>
    <row r="337" spans="1:16" hidden="1">
      <c r="A337" t="s">
        <v>1318</v>
      </c>
      <c r="B337" t="s">
        <v>1319</v>
      </c>
      <c r="C337" t="s">
        <v>1320</v>
      </c>
      <c r="D337" s="1">
        <v>46314.593680555554</v>
      </c>
      <c r="E337" s="1">
        <v>46314.659085648149</v>
      </c>
      <c r="F337" s="1" t="s">
        <v>96</v>
      </c>
      <c r="G337" t="s">
        <v>30</v>
      </c>
      <c r="H337" s="1">
        <v>46314.659085648149</v>
      </c>
      <c r="I337" t="s">
        <v>268</v>
      </c>
      <c r="J337" t="s">
        <v>1321</v>
      </c>
      <c r="K337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337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337" s="2">
        <f>IF(OR(Bandeja_SCTR[[#This Row],[FechaRecepcion]]="",Bandeja_SCTR[[#This Row],[FechaCierre]]=""),"",ROUND((Bandeja_SCTR[[#This Row],[FechaCierre]]-Bandeja_SCTR[[#This Row],[FechaRecepcion]])*24,1))</f>
        <v>1.6</v>
      </c>
      <c r="N337" s="3">
        <f>IF(Bandeja_SCTR[[#This Row],[FechaRecepcion]]="","",DATE(YEAR(Bandeja_SCTR[[#This Row],[FechaRecepcion]]),MONTH(Bandeja_SCTR[[#This Row],[FechaRecepcion]]),1))</f>
        <v>46296</v>
      </c>
      <c r="O337">
        <f>IF(Bandeja_SCTR[[#This Row],[Estado]]="FINALIZADO",1,0)</f>
        <v>1</v>
      </c>
      <c r="P337">
        <f>IF(Bandeja_SCTR[[#This Row],[CasoId]]="",0,IF(Bandeja_SCTR[[#This Row],[Estado]]="FINALIZADO",0,1))</f>
        <v>0</v>
      </c>
    </row>
    <row r="338" spans="1:16" hidden="1">
      <c r="A338" t="s">
        <v>1322</v>
      </c>
      <c r="B338" t="s">
        <v>1323</v>
      </c>
      <c r="C338" t="s">
        <v>1324</v>
      </c>
      <c r="D338" s="1">
        <v>46314.594918981486</v>
      </c>
      <c r="E338" s="1">
        <v>46315.441770833335</v>
      </c>
      <c r="F338" s="1" t="s">
        <v>96</v>
      </c>
      <c r="G338" t="s">
        <v>30</v>
      </c>
      <c r="H338" s="1">
        <v>46315.441770833335</v>
      </c>
      <c r="I338" t="s">
        <v>268</v>
      </c>
      <c r="K338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338">
        <f ca="1">IF(Bandeja_SCTR[[#This Row],[FechaRecepcion]]="","",NETWORKDAYS(INT(Bandeja_SCTR[[#This Row],[FechaRecepcion]]),IF(Bandeja_SCTR[[#This Row],[FechaCierre]]="",TODAY(),INT(Bandeja_SCTR[[#This Row],[FechaCierre]])),DIAS_NOLAB[Feriados]))</f>
        <v>2</v>
      </c>
      <c r="M338" s="2">
        <f>IF(OR(Bandeja_SCTR[[#This Row],[FechaRecepcion]]="",Bandeja_SCTR[[#This Row],[FechaCierre]]=""),"",ROUND((Bandeja_SCTR[[#This Row],[FechaCierre]]-Bandeja_SCTR[[#This Row],[FechaRecepcion]])*24,1))</f>
        <v>20.3</v>
      </c>
      <c r="N338" s="3">
        <f>IF(Bandeja_SCTR[[#This Row],[FechaRecepcion]]="","",DATE(YEAR(Bandeja_SCTR[[#This Row],[FechaRecepcion]]),MONTH(Bandeja_SCTR[[#This Row],[FechaRecepcion]]),1))</f>
        <v>46296</v>
      </c>
      <c r="O338">
        <f>IF(Bandeja_SCTR[[#This Row],[Estado]]="FINALIZADO",1,0)</f>
        <v>1</v>
      </c>
      <c r="P338">
        <f>IF(Bandeja_SCTR[[#This Row],[CasoId]]="",0,IF(Bandeja_SCTR[[#This Row],[Estado]]="FINALIZADO",0,1))</f>
        <v>0</v>
      </c>
    </row>
    <row r="339" spans="1:16" hidden="1">
      <c r="A339" t="s">
        <v>1325</v>
      </c>
      <c r="B339" t="s">
        <v>1326</v>
      </c>
      <c r="C339" t="s">
        <v>1327</v>
      </c>
      <c r="D339" s="1">
        <v>46314.604479166665</v>
      </c>
      <c r="E339" s="1">
        <v>46314.663865740746</v>
      </c>
      <c r="F339" s="1" t="s">
        <v>96</v>
      </c>
      <c r="G339" t="s">
        <v>30</v>
      </c>
      <c r="H339" s="1">
        <v>46314.663865740746</v>
      </c>
      <c r="I339" t="s">
        <v>268</v>
      </c>
      <c r="K339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339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339" s="2">
        <f>IF(OR(Bandeja_SCTR[[#This Row],[FechaRecepcion]]="",Bandeja_SCTR[[#This Row],[FechaCierre]]=""),"",ROUND((Bandeja_SCTR[[#This Row],[FechaCierre]]-Bandeja_SCTR[[#This Row],[FechaRecepcion]])*24,1))</f>
        <v>1.4</v>
      </c>
      <c r="N339" s="3">
        <f>IF(Bandeja_SCTR[[#This Row],[FechaRecepcion]]="","",DATE(YEAR(Bandeja_SCTR[[#This Row],[FechaRecepcion]]),MONTH(Bandeja_SCTR[[#This Row],[FechaRecepcion]]),1))</f>
        <v>46296</v>
      </c>
      <c r="O339">
        <f>IF(Bandeja_SCTR[[#This Row],[Estado]]="FINALIZADO",1,0)</f>
        <v>1</v>
      </c>
      <c r="P339">
        <f>IF(Bandeja_SCTR[[#This Row],[CasoId]]="",0,IF(Bandeja_SCTR[[#This Row],[Estado]]="FINALIZADO",0,1))</f>
        <v>0</v>
      </c>
    </row>
    <row r="340" spans="1:16" hidden="1">
      <c r="A340" t="s">
        <v>1328</v>
      </c>
      <c r="B340" t="s">
        <v>1329</v>
      </c>
      <c r="C340" t="s">
        <v>1330</v>
      </c>
      <c r="D340" s="1">
        <v>46314.625902777778</v>
      </c>
      <c r="E340" s="1">
        <v>46314.667928240742</v>
      </c>
      <c r="F340" s="1" t="s">
        <v>96</v>
      </c>
      <c r="G340" t="s">
        <v>30</v>
      </c>
      <c r="H340" s="1">
        <v>46314.667928240742</v>
      </c>
      <c r="I340" t="s">
        <v>268</v>
      </c>
      <c r="K340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340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340" s="2">
        <f>IF(OR(Bandeja_SCTR[[#This Row],[FechaRecepcion]]="",Bandeja_SCTR[[#This Row],[FechaCierre]]=""),"",ROUND((Bandeja_SCTR[[#This Row],[FechaCierre]]-Bandeja_SCTR[[#This Row],[FechaRecepcion]])*24,1))</f>
        <v>1</v>
      </c>
      <c r="N340" s="3">
        <f>IF(Bandeja_SCTR[[#This Row],[FechaRecepcion]]="","",DATE(YEAR(Bandeja_SCTR[[#This Row],[FechaRecepcion]]),MONTH(Bandeja_SCTR[[#This Row],[FechaRecepcion]]),1))</f>
        <v>46296</v>
      </c>
      <c r="O340">
        <f>IF(Bandeja_SCTR[[#This Row],[Estado]]="FINALIZADO",1,0)</f>
        <v>1</v>
      </c>
      <c r="P340">
        <f>IF(Bandeja_SCTR[[#This Row],[CasoId]]="",0,IF(Bandeja_SCTR[[#This Row],[Estado]]="FINALIZADO",0,1))</f>
        <v>0</v>
      </c>
    </row>
    <row r="341" spans="1:16" hidden="1">
      <c r="A341" t="s">
        <v>1331</v>
      </c>
      <c r="B341" t="s">
        <v>1148</v>
      </c>
      <c r="C341" t="s">
        <v>1223</v>
      </c>
      <c r="D341" s="1">
        <v>46314.63180555556</v>
      </c>
      <c r="E341" s="1">
        <v>46314.773287037038</v>
      </c>
      <c r="F341" s="1" t="s">
        <v>96</v>
      </c>
      <c r="G341" t="s">
        <v>30</v>
      </c>
      <c r="H341" s="1">
        <v>46314.773287037038</v>
      </c>
      <c r="I341" t="s">
        <v>268</v>
      </c>
      <c r="J341" t="s">
        <v>1332</v>
      </c>
      <c r="K341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341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341" s="2">
        <f>IF(OR(Bandeja_SCTR[[#This Row],[FechaRecepcion]]="",Bandeja_SCTR[[#This Row],[FechaCierre]]=""),"",ROUND((Bandeja_SCTR[[#This Row],[FechaCierre]]-Bandeja_SCTR[[#This Row],[FechaRecepcion]])*24,1))</f>
        <v>3.4</v>
      </c>
      <c r="N341" s="3">
        <f>IF(Bandeja_SCTR[[#This Row],[FechaRecepcion]]="","",DATE(YEAR(Bandeja_SCTR[[#This Row],[FechaRecepcion]]),MONTH(Bandeja_SCTR[[#This Row],[FechaRecepcion]]),1))</f>
        <v>46296</v>
      </c>
      <c r="O341">
        <f>IF(Bandeja_SCTR[[#This Row],[Estado]]="FINALIZADO",1,0)</f>
        <v>1</v>
      </c>
      <c r="P341">
        <f>IF(Bandeja_SCTR[[#This Row],[CasoId]]="",0,IF(Bandeja_SCTR[[#This Row],[Estado]]="FINALIZADO",0,1))</f>
        <v>0</v>
      </c>
    </row>
    <row r="342" spans="1:16">
      <c r="A342" t="s">
        <v>1333</v>
      </c>
      <c r="B342" t="s">
        <v>1253</v>
      </c>
      <c r="C342" t="s">
        <v>1254</v>
      </c>
      <c r="D342" s="1">
        <v>46314.635046296295</v>
      </c>
      <c r="E342" s="1">
        <v>46314.635046296295</v>
      </c>
      <c r="F342" s="1" t="s">
        <v>1334</v>
      </c>
      <c r="H342" s="1"/>
      <c r="I342" t="s">
        <v>1334</v>
      </c>
      <c r="J342" t="s">
        <v>1335</v>
      </c>
      <c r="K342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2</v>
      </c>
      <c r="L342">
        <f ca="1">IF(Bandeja_SCTR[[#This Row],[FechaRecepcion]]="","",NETWORKDAYS(INT(Bandeja_SCTR[[#This Row],[FechaRecepcion]]),IF(Bandeja_SCTR[[#This Row],[FechaCierre]]="",TODAY(),INT(Bandeja_SCTR[[#This Row],[FechaCierre]])),DIAS_NOLAB[Feriados]))</f>
        <v>2</v>
      </c>
      <c r="M342" s="2" t="str">
        <f>IF(OR(Bandeja_SCTR[[#This Row],[FechaRecepcion]]="",Bandeja_SCTR[[#This Row],[FechaCierre]]=""),"",ROUND((Bandeja_SCTR[[#This Row],[FechaCierre]]-Bandeja_SCTR[[#This Row],[FechaRecepcion]])*24,1))</f>
        <v/>
      </c>
      <c r="N342" s="3">
        <f>IF(Bandeja_SCTR[[#This Row],[FechaRecepcion]]="","",DATE(YEAR(Bandeja_SCTR[[#This Row],[FechaRecepcion]]),MONTH(Bandeja_SCTR[[#This Row],[FechaRecepcion]]),1))</f>
        <v>46296</v>
      </c>
      <c r="O342">
        <f>IF(Bandeja_SCTR[[#This Row],[Estado]]="FINALIZADO",1,0)</f>
        <v>0</v>
      </c>
      <c r="P342">
        <f>IF(Bandeja_SCTR[[#This Row],[CasoId]]="",0,IF(Bandeja_SCTR[[#This Row],[Estado]]="FINALIZADO",0,1))</f>
        <v>1</v>
      </c>
    </row>
    <row r="343" spans="1:16">
      <c r="A343" t="s">
        <v>1336</v>
      </c>
      <c r="B343" t="s">
        <v>1337</v>
      </c>
      <c r="C343" t="s">
        <v>1338</v>
      </c>
      <c r="D343" s="1">
        <v>46314.637592592597</v>
      </c>
      <c r="E343" s="1">
        <v>46314.637592592597</v>
      </c>
      <c r="F343" s="1" t="s">
        <v>1339</v>
      </c>
      <c r="H343" s="1"/>
      <c r="I343" t="s">
        <v>1339</v>
      </c>
      <c r="J343" t="s">
        <v>620</v>
      </c>
      <c r="K343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2</v>
      </c>
      <c r="L343">
        <f ca="1">IF(Bandeja_SCTR[[#This Row],[FechaRecepcion]]="","",NETWORKDAYS(INT(Bandeja_SCTR[[#This Row],[FechaRecepcion]]),IF(Bandeja_SCTR[[#This Row],[FechaCierre]]="",TODAY(),INT(Bandeja_SCTR[[#This Row],[FechaCierre]])),DIAS_NOLAB[Feriados]))</f>
        <v>2</v>
      </c>
      <c r="M343" s="2" t="str">
        <f>IF(OR(Bandeja_SCTR[[#This Row],[FechaRecepcion]]="",Bandeja_SCTR[[#This Row],[FechaCierre]]=""),"",ROUND((Bandeja_SCTR[[#This Row],[FechaCierre]]-Bandeja_SCTR[[#This Row],[FechaRecepcion]])*24,1))</f>
        <v/>
      </c>
      <c r="N343" s="3">
        <f>IF(Bandeja_SCTR[[#This Row],[FechaRecepcion]]="","",DATE(YEAR(Bandeja_SCTR[[#This Row],[FechaRecepcion]]),MONTH(Bandeja_SCTR[[#This Row],[FechaRecepcion]]),1))</f>
        <v>46296</v>
      </c>
      <c r="O343">
        <f>IF(Bandeja_SCTR[[#This Row],[Estado]]="FINALIZADO",1,0)</f>
        <v>0</v>
      </c>
      <c r="P343">
        <f>IF(Bandeja_SCTR[[#This Row],[CasoId]]="",0,IF(Bandeja_SCTR[[#This Row],[Estado]]="FINALIZADO",0,1))</f>
        <v>1</v>
      </c>
    </row>
    <row r="344" spans="1:16" hidden="1">
      <c r="A344" t="s">
        <v>1340</v>
      </c>
      <c r="B344" t="s">
        <v>1341</v>
      </c>
      <c r="C344" t="s">
        <v>1342</v>
      </c>
      <c r="D344" s="1">
        <v>46314.63762731482</v>
      </c>
      <c r="E344" s="1">
        <v>46314.66887731482</v>
      </c>
      <c r="F344" s="1" t="s">
        <v>96</v>
      </c>
      <c r="G344" t="s">
        <v>30</v>
      </c>
      <c r="H344" s="1">
        <v>46314.66887731482</v>
      </c>
      <c r="I344" t="s">
        <v>268</v>
      </c>
      <c r="K344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344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344" s="2">
        <f>IF(OR(Bandeja_SCTR[[#This Row],[FechaRecepcion]]="",Bandeja_SCTR[[#This Row],[FechaCierre]]=""),"",ROUND((Bandeja_SCTR[[#This Row],[FechaCierre]]-Bandeja_SCTR[[#This Row],[FechaRecepcion]])*24,1))</f>
        <v>0.8</v>
      </c>
      <c r="N344" s="3">
        <f>IF(Bandeja_SCTR[[#This Row],[FechaRecepcion]]="","",DATE(YEAR(Bandeja_SCTR[[#This Row],[FechaRecepcion]]),MONTH(Bandeja_SCTR[[#This Row],[FechaRecepcion]]),1))</f>
        <v>46296</v>
      </c>
      <c r="O344">
        <f>IF(Bandeja_SCTR[[#This Row],[Estado]]="FINALIZADO",1,0)</f>
        <v>1</v>
      </c>
      <c r="P344">
        <f>IF(Bandeja_SCTR[[#This Row],[CasoId]]="",0,IF(Bandeja_SCTR[[#This Row],[Estado]]="FINALIZADO",0,1))</f>
        <v>0</v>
      </c>
    </row>
    <row r="345" spans="1:16" hidden="1">
      <c r="A345" t="s">
        <v>1343</v>
      </c>
      <c r="B345" t="s">
        <v>1020</v>
      </c>
      <c r="C345" t="s">
        <v>1021</v>
      </c>
      <c r="D345" s="1">
        <v>46314.646921296298</v>
      </c>
      <c r="E345" s="1">
        <v>46314.691516203704</v>
      </c>
      <c r="F345" s="1" t="s">
        <v>96</v>
      </c>
      <c r="G345" t="s">
        <v>30</v>
      </c>
      <c r="H345" s="1">
        <v>46314.691516203704</v>
      </c>
      <c r="I345" t="s">
        <v>268</v>
      </c>
      <c r="J345" t="s">
        <v>1344</v>
      </c>
      <c r="K345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345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345" s="2">
        <f>IF(OR(Bandeja_SCTR[[#This Row],[FechaRecepcion]]="",Bandeja_SCTR[[#This Row],[FechaCierre]]=""),"",ROUND((Bandeja_SCTR[[#This Row],[FechaCierre]]-Bandeja_SCTR[[#This Row],[FechaRecepcion]])*24,1))</f>
        <v>1.1000000000000001</v>
      </c>
      <c r="N345" s="3">
        <f>IF(Bandeja_SCTR[[#This Row],[FechaRecepcion]]="","",DATE(YEAR(Bandeja_SCTR[[#This Row],[FechaRecepcion]]),MONTH(Bandeja_SCTR[[#This Row],[FechaRecepcion]]),1))</f>
        <v>46296</v>
      </c>
      <c r="O345">
        <f>IF(Bandeja_SCTR[[#This Row],[Estado]]="FINALIZADO",1,0)</f>
        <v>1</v>
      </c>
      <c r="P345">
        <f>IF(Bandeja_SCTR[[#This Row],[CasoId]]="",0,IF(Bandeja_SCTR[[#This Row],[Estado]]="FINALIZADO",0,1))</f>
        <v>0</v>
      </c>
    </row>
    <row r="346" spans="1:16" hidden="1">
      <c r="A346" t="s">
        <v>1345</v>
      </c>
      <c r="B346" t="s">
        <v>1346</v>
      </c>
      <c r="C346" t="s">
        <v>1347</v>
      </c>
      <c r="D346" s="1">
        <v>46314.652615740742</v>
      </c>
      <c r="E346" s="1">
        <v>46314.697025462963</v>
      </c>
      <c r="F346" s="1" t="s">
        <v>96</v>
      </c>
      <c r="G346" t="s">
        <v>30</v>
      </c>
      <c r="H346" s="1">
        <v>46314.697025462963</v>
      </c>
      <c r="I346" t="s">
        <v>268</v>
      </c>
      <c r="J346" t="s">
        <v>530</v>
      </c>
      <c r="K346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346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346" s="2">
        <f>IF(OR(Bandeja_SCTR[[#This Row],[FechaRecepcion]]="",Bandeja_SCTR[[#This Row],[FechaCierre]]=""),"",ROUND((Bandeja_SCTR[[#This Row],[FechaCierre]]-Bandeja_SCTR[[#This Row],[FechaRecepcion]])*24,1))</f>
        <v>1.1000000000000001</v>
      </c>
      <c r="N346" s="3">
        <f>IF(Bandeja_SCTR[[#This Row],[FechaRecepcion]]="","",DATE(YEAR(Bandeja_SCTR[[#This Row],[FechaRecepcion]]),MONTH(Bandeja_SCTR[[#This Row],[FechaRecepcion]]),1))</f>
        <v>46296</v>
      </c>
      <c r="O346">
        <f>IF(Bandeja_SCTR[[#This Row],[Estado]]="FINALIZADO",1,0)</f>
        <v>1</v>
      </c>
      <c r="P346">
        <f>IF(Bandeja_SCTR[[#This Row],[CasoId]]="",0,IF(Bandeja_SCTR[[#This Row],[Estado]]="FINALIZADO",0,1))</f>
        <v>0</v>
      </c>
    </row>
    <row r="347" spans="1:16" hidden="1">
      <c r="A347" t="s">
        <v>1348</v>
      </c>
      <c r="B347" t="s">
        <v>1349</v>
      </c>
      <c r="C347" t="s">
        <v>1350</v>
      </c>
      <c r="D347" s="1">
        <v>46314.654062500005</v>
      </c>
      <c r="E347" s="1">
        <v>46314.697442129633</v>
      </c>
      <c r="F347" s="1" t="s">
        <v>96</v>
      </c>
      <c r="G347" t="s">
        <v>30</v>
      </c>
      <c r="H347" s="1">
        <v>46314.697442129633</v>
      </c>
      <c r="I347" t="s">
        <v>268</v>
      </c>
      <c r="J347" t="s">
        <v>620</v>
      </c>
      <c r="K347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347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347" s="2">
        <f>IF(OR(Bandeja_SCTR[[#This Row],[FechaRecepcion]]="",Bandeja_SCTR[[#This Row],[FechaCierre]]=""),"",ROUND((Bandeja_SCTR[[#This Row],[FechaCierre]]-Bandeja_SCTR[[#This Row],[FechaRecepcion]])*24,1))</f>
        <v>1</v>
      </c>
      <c r="N347" s="3">
        <f>IF(Bandeja_SCTR[[#This Row],[FechaRecepcion]]="","",DATE(YEAR(Bandeja_SCTR[[#This Row],[FechaRecepcion]]),MONTH(Bandeja_SCTR[[#This Row],[FechaRecepcion]]),1))</f>
        <v>46296</v>
      </c>
      <c r="O347">
        <f>IF(Bandeja_SCTR[[#This Row],[Estado]]="FINALIZADO",1,0)</f>
        <v>1</v>
      </c>
      <c r="P347">
        <f>IF(Bandeja_SCTR[[#This Row],[CasoId]]="",0,IF(Bandeja_SCTR[[#This Row],[Estado]]="FINALIZADO",0,1))</f>
        <v>0</v>
      </c>
    </row>
    <row r="348" spans="1:16" hidden="1">
      <c r="A348" t="s">
        <v>1351</v>
      </c>
      <c r="B348" t="s">
        <v>1156</v>
      </c>
      <c r="C348" t="s">
        <v>1352</v>
      </c>
      <c r="D348" s="1">
        <v>46314.65424768519</v>
      </c>
      <c r="E348" s="1">
        <v>46314.735405092593</v>
      </c>
      <c r="F348" s="1" t="s">
        <v>96</v>
      </c>
      <c r="G348" t="s">
        <v>30</v>
      </c>
      <c r="H348" s="1">
        <v>46314.735405092593</v>
      </c>
      <c r="I348" t="s">
        <v>268</v>
      </c>
      <c r="J348" t="s">
        <v>1353</v>
      </c>
      <c r="K348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348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348" s="2">
        <f>IF(OR(Bandeja_SCTR[[#This Row],[FechaRecepcion]]="",Bandeja_SCTR[[#This Row],[FechaCierre]]=""),"",ROUND((Bandeja_SCTR[[#This Row],[FechaCierre]]-Bandeja_SCTR[[#This Row],[FechaRecepcion]])*24,1))</f>
        <v>1.9</v>
      </c>
      <c r="N348" s="3">
        <f>IF(Bandeja_SCTR[[#This Row],[FechaRecepcion]]="","",DATE(YEAR(Bandeja_SCTR[[#This Row],[FechaRecepcion]]),MONTH(Bandeja_SCTR[[#This Row],[FechaRecepcion]]),1))</f>
        <v>46296</v>
      </c>
      <c r="O348">
        <f>IF(Bandeja_SCTR[[#This Row],[Estado]]="FINALIZADO",1,0)</f>
        <v>1</v>
      </c>
      <c r="P348">
        <f>IF(Bandeja_SCTR[[#This Row],[CasoId]]="",0,IF(Bandeja_SCTR[[#This Row],[Estado]]="FINALIZADO",0,1))</f>
        <v>0</v>
      </c>
    </row>
    <row r="349" spans="1:16" hidden="1">
      <c r="A349" t="s">
        <v>1354</v>
      </c>
      <c r="B349" t="s">
        <v>656</v>
      </c>
      <c r="C349" t="s">
        <v>1355</v>
      </c>
      <c r="D349" s="1">
        <v>46314.656967592593</v>
      </c>
      <c r="E349" s="1">
        <v>46314.704629629632</v>
      </c>
      <c r="F349" s="1" t="s">
        <v>96</v>
      </c>
      <c r="G349" t="s">
        <v>30</v>
      </c>
      <c r="H349" s="1">
        <v>46314.704629629632</v>
      </c>
      <c r="I349" t="s">
        <v>268</v>
      </c>
      <c r="J349" t="s">
        <v>1356</v>
      </c>
      <c r="K349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349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349" s="2">
        <f>IF(OR(Bandeja_SCTR[[#This Row],[FechaRecepcion]]="",Bandeja_SCTR[[#This Row],[FechaCierre]]=""),"",ROUND((Bandeja_SCTR[[#This Row],[FechaCierre]]-Bandeja_SCTR[[#This Row],[FechaRecepcion]])*24,1))</f>
        <v>1.1000000000000001</v>
      </c>
      <c r="N349" s="3">
        <f>IF(Bandeja_SCTR[[#This Row],[FechaRecepcion]]="","",DATE(YEAR(Bandeja_SCTR[[#This Row],[FechaRecepcion]]),MONTH(Bandeja_SCTR[[#This Row],[FechaRecepcion]]),1))</f>
        <v>46296</v>
      </c>
      <c r="O349">
        <f>IF(Bandeja_SCTR[[#This Row],[Estado]]="FINALIZADO",1,0)</f>
        <v>1</v>
      </c>
      <c r="P349">
        <f>IF(Bandeja_SCTR[[#This Row],[CasoId]]="",0,IF(Bandeja_SCTR[[#This Row],[Estado]]="FINALIZADO",0,1))</f>
        <v>0</v>
      </c>
    </row>
    <row r="350" spans="1:16">
      <c r="A350" t="s">
        <v>1357</v>
      </c>
      <c r="B350" t="s">
        <v>1358</v>
      </c>
      <c r="C350" t="s">
        <v>1359</v>
      </c>
      <c r="D350" s="1">
        <v>46314.659270833334</v>
      </c>
      <c r="E350" s="1">
        <v>46314.659270833334</v>
      </c>
      <c r="F350" s="1" t="s">
        <v>150</v>
      </c>
      <c r="H350" s="1"/>
      <c r="I350" t="s">
        <v>150</v>
      </c>
      <c r="J350" t="s">
        <v>1360</v>
      </c>
      <c r="K350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2</v>
      </c>
      <c r="L350">
        <f ca="1">IF(Bandeja_SCTR[[#This Row],[FechaRecepcion]]="","",NETWORKDAYS(INT(Bandeja_SCTR[[#This Row],[FechaRecepcion]]),IF(Bandeja_SCTR[[#This Row],[FechaCierre]]="",TODAY(),INT(Bandeja_SCTR[[#This Row],[FechaCierre]])),DIAS_NOLAB[Feriados]))</f>
        <v>2</v>
      </c>
      <c r="M350" s="2" t="str">
        <f>IF(OR(Bandeja_SCTR[[#This Row],[FechaRecepcion]]="",Bandeja_SCTR[[#This Row],[FechaCierre]]=""),"",ROUND((Bandeja_SCTR[[#This Row],[FechaCierre]]-Bandeja_SCTR[[#This Row],[FechaRecepcion]])*24,1))</f>
        <v/>
      </c>
      <c r="N350" s="3">
        <f>IF(Bandeja_SCTR[[#This Row],[FechaRecepcion]]="","",DATE(YEAR(Bandeja_SCTR[[#This Row],[FechaRecepcion]]),MONTH(Bandeja_SCTR[[#This Row],[FechaRecepcion]]),1))</f>
        <v>46296</v>
      </c>
      <c r="O350">
        <f>IF(Bandeja_SCTR[[#This Row],[Estado]]="FINALIZADO",1,0)</f>
        <v>0</v>
      </c>
      <c r="P350">
        <f>IF(Bandeja_SCTR[[#This Row],[CasoId]]="",0,IF(Bandeja_SCTR[[#This Row],[Estado]]="FINALIZADO",0,1))</f>
        <v>1</v>
      </c>
    </row>
    <row r="351" spans="1:16" hidden="1">
      <c r="A351" t="s">
        <v>1361</v>
      </c>
      <c r="B351" t="s">
        <v>1316</v>
      </c>
      <c r="C351" t="s">
        <v>1362</v>
      </c>
      <c r="D351" s="1">
        <v>46314.659525462965</v>
      </c>
      <c r="E351" s="1">
        <v>46314.782071759255</v>
      </c>
      <c r="F351" s="1" t="s">
        <v>96</v>
      </c>
      <c r="G351" t="s">
        <v>30</v>
      </c>
      <c r="H351" s="1">
        <v>46314.782071759255</v>
      </c>
      <c r="I351" t="s">
        <v>268</v>
      </c>
      <c r="J351" t="s">
        <v>1363</v>
      </c>
      <c r="K351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351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351" s="2">
        <f>IF(OR(Bandeja_SCTR[[#This Row],[FechaRecepcion]]="",Bandeja_SCTR[[#This Row],[FechaCierre]]=""),"",ROUND((Bandeja_SCTR[[#This Row],[FechaCierre]]-Bandeja_SCTR[[#This Row],[FechaRecepcion]])*24,1))</f>
        <v>2.9</v>
      </c>
      <c r="N351" s="3">
        <f>IF(Bandeja_SCTR[[#This Row],[FechaRecepcion]]="","",DATE(YEAR(Bandeja_SCTR[[#This Row],[FechaRecepcion]]),MONTH(Bandeja_SCTR[[#This Row],[FechaRecepcion]]),1))</f>
        <v>46296</v>
      </c>
      <c r="O351">
        <f>IF(Bandeja_SCTR[[#This Row],[Estado]]="FINALIZADO",1,0)</f>
        <v>1</v>
      </c>
      <c r="P351">
        <f>IF(Bandeja_SCTR[[#This Row],[CasoId]]="",0,IF(Bandeja_SCTR[[#This Row],[Estado]]="FINALIZADO",0,1))</f>
        <v>0</v>
      </c>
    </row>
    <row r="352" spans="1:16" hidden="1">
      <c r="A352" t="s">
        <v>1364</v>
      </c>
      <c r="B352" t="s">
        <v>1365</v>
      </c>
      <c r="C352" t="s">
        <v>1366</v>
      </c>
      <c r="D352" s="1">
        <v>46314.664583333331</v>
      </c>
      <c r="E352" s="1">
        <v>46315.423425925925</v>
      </c>
      <c r="F352" s="1" t="s">
        <v>96</v>
      </c>
      <c r="G352" t="s">
        <v>30</v>
      </c>
      <c r="H352" s="1">
        <v>46315.423425925925</v>
      </c>
      <c r="I352" t="s">
        <v>97</v>
      </c>
      <c r="J352" t="s">
        <v>1367</v>
      </c>
      <c r="K352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352">
        <f ca="1">IF(Bandeja_SCTR[[#This Row],[FechaRecepcion]]="","",NETWORKDAYS(INT(Bandeja_SCTR[[#This Row],[FechaRecepcion]]),IF(Bandeja_SCTR[[#This Row],[FechaCierre]]="",TODAY(),INT(Bandeja_SCTR[[#This Row],[FechaCierre]])),DIAS_NOLAB[Feriados]))</f>
        <v>2</v>
      </c>
      <c r="M352" s="2">
        <f>IF(OR(Bandeja_SCTR[[#This Row],[FechaRecepcion]]="",Bandeja_SCTR[[#This Row],[FechaCierre]]=""),"",ROUND((Bandeja_SCTR[[#This Row],[FechaCierre]]-Bandeja_SCTR[[#This Row],[FechaRecepcion]])*24,1))</f>
        <v>18.2</v>
      </c>
      <c r="N352" s="3">
        <f>IF(Bandeja_SCTR[[#This Row],[FechaRecepcion]]="","",DATE(YEAR(Bandeja_SCTR[[#This Row],[FechaRecepcion]]),MONTH(Bandeja_SCTR[[#This Row],[FechaRecepcion]]),1))</f>
        <v>46296</v>
      </c>
      <c r="O352">
        <f>IF(Bandeja_SCTR[[#This Row],[Estado]]="FINALIZADO",1,0)</f>
        <v>1</v>
      </c>
      <c r="P352">
        <f>IF(Bandeja_SCTR[[#This Row],[CasoId]]="",0,IF(Bandeja_SCTR[[#This Row],[Estado]]="FINALIZADO",0,1))</f>
        <v>0</v>
      </c>
    </row>
    <row r="353" spans="1:16" hidden="1">
      <c r="A353" t="s">
        <v>1368</v>
      </c>
      <c r="B353" t="s">
        <v>1319</v>
      </c>
      <c r="C353" t="s">
        <v>1369</v>
      </c>
      <c r="D353" s="1">
        <v>46314.665752314817</v>
      </c>
      <c r="E353" s="1">
        <v>46314.709444444445</v>
      </c>
      <c r="F353" s="1" t="s">
        <v>96</v>
      </c>
      <c r="G353" t="s">
        <v>30</v>
      </c>
      <c r="H353" s="1">
        <v>46314.709444444445</v>
      </c>
      <c r="I353" t="s">
        <v>268</v>
      </c>
      <c r="J353" t="s">
        <v>1370</v>
      </c>
      <c r="K353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353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353" s="2">
        <f>IF(OR(Bandeja_SCTR[[#This Row],[FechaRecepcion]]="",Bandeja_SCTR[[#This Row],[FechaCierre]]=""),"",ROUND((Bandeja_SCTR[[#This Row],[FechaCierre]]-Bandeja_SCTR[[#This Row],[FechaRecepcion]])*24,1))</f>
        <v>1</v>
      </c>
      <c r="N353" s="3">
        <f>IF(Bandeja_SCTR[[#This Row],[FechaRecepcion]]="","",DATE(YEAR(Bandeja_SCTR[[#This Row],[FechaRecepcion]]),MONTH(Bandeja_SCTR[[#This Row],[FechaRecepcion]]),1))</f>
        <v>46296</v>
      </c>
      <c r="O353">
        <f>IF(Bandeja_SCTR[[#This Row],[Estado]]="FINALIZADO",1,0)</f>
        <v>1</v>
      </c>
      <c r="P353">
        <f>IF(Bandeja_SCTR[[#This Row],[CasoId]]="",0,IF(Bandeja_SCTR[[#This Row],[Estado]]="FINALIZADO",0,1))</f>
        <v>0</v>
      </c>
    </row>
    <row r="354" spans="1:16" hidden="1">
      <c r="A354" t="s">
        <v>1371</v>
      </c>
      <c r="B354" t="s">
        <v>1372</v>
      </c>
      <c r="C354" t="s">
        <v>1373</v>
      </c>
      <c r="D354" s="1">
        <v>46314.66615740741</v>
      </c>
      <c r="E354" s="1">
        <v>46314.724224537036</v>
      </c>
      <c r="F354" s="1" t="s">
        <v>96</v>
      </c>
      <c r="G354" t="s">
        <v>30</v>
      </c>
      <c r="H354" s="1">
        <v>46314.724224537036</v>
      </c>
      <c r="I354" t="s">
        <v>268</v>
      </c>
      <c r="K354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354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354" s="2">
        <f>IF(OR(Bandeja_SCTR[[#This Row],[FechaRecepcion]]="",Bandeja_SCTR[[#This Row],[FechaCierre]]=""),"",ROUND((Bandeja_SCTR[[#This Row],[FechaCierre]]-Bandeja_SCTR[[#This Row],[FechaRecepcion]])*24,1))</f>
        <v>1.4</v>
      </c>
      <c r="N354" s="3">
        <f>IF(Bandeja_SCTR[[#This Row],[FechaRecepcion]]="","",DATE(YEAR(Bandeja_SCTR[[#This Row],[FechaRecepcion]]),MONTH(Bandeja_SCTR[[#This Row],[FechaRecepcion]]),1))</f>
        <v>46296</v>
      </c>
      <c r="O354">
        <f>IF(Bandeja_SCTR[[#This Row],[Estado]]="FINALIZADO",1,0)</f>
        <v>1</v>
      </c>
      <c r="P354">
        <f>IF(Bandeja_SCTR[[#This Row],[CasoId]]="",0,IF(Bandeja_SCTR[[#This Row],[Estado]]="FINALIZADO",0,1))</f>
        <v>0</v>
      </c>
    </row>
    <row r="355" spans="1:16" hidden="1">
      <c r="A355" t="s">
        <v>1374</v>
      </c>
      <c r="B355" t="s">
        <v>1116</v>
      </c>
      <c r="C355" t="s">
        <v>1269</v>
      </c>
      <c r="D355" s="1">
        <v>46314.668530092589</v>
      </c>
      <c r="E355" s="1">
        <v>46314.725243055553</v>
      </c>
      <c r="F355" s="1" t="s">
        <v>96</v>
      </c>
      <c r="G355" t="s">
        <v>30</v>
      </c>
      <c r="H355" s="1">
        <v>46314.725243055553</v>
      </c>
      <c r="I355" t="s">
        <v>268</v>
      </c>
      <c r="J355" t="s">
        <v>1375</v>
      </c>
      <c r="K355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355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355" s="2">
        <f>IF(OR(Bandeja_SCTR[[#This Row],[FechaRecepcion]]="",Bandeja_SCTR[[#This Row],[FechaCierre]]=""),"",ROUND((Bandeja_SCTR[[#This Row],[FechaCierre]]-Bandeja_SCTR[[#This Row],[FechaRecepcion]])*24,1))</f>
        <v>1.4</v>
      </c>
      <c r="N355" s="3">
        <f>IF(Bandeja_SCTR[[#This Row],[FechaRecepcion]]="","",DATE(YEAR(Bandeja_SCTR[[#This Row],[FechaRecepcion]]),MONTH(Bandeja_SCTR[[#This Row],[FechaRecepcion]]),1))</f>
        <v>46296</v>
      </c>
      <c r="O355">
        <f>IF(Bandeja_SCTR[[#This Row],[Estado]]="FINALIZADO",1,0)</f>
        <v>1</v>
      </c>
      <c r="P355">
        <f>IF(Bandeja_SCTR[[#This Row],[CasoId]]="",0,IF(Bandeja_SCTR[[#This Row],[Estado]]="FINALIZADO",0,1))</f>
        <v>0</v>
      </c>
    </row>
    <row r="356" spans="1:16">
      <c r="A356" t="s">
        <v>1376</v>
      </c>
      <c r="B356" t="s">
        <v>1377</v>
      </c>
      <c r="C356" t="s">
        <v>1378</v>
      </c>
      <c r="D356" s="1">
        <v>46314.671099537038</v>
      </c>
      <c r="E356" s="1">
        <v>46314.671099537038</v>
      </c>
      <c r="F356" s="1" t="s">
        <v>1379</v>
      </c>
      <c r="H356" s="1"/>
      <c r="I356" t="s">
        <v>1379</v>
      </c>
      <c r="J356" t="s">
        <v>859</v>
      </c>
      <c r="K356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2</v>
      </c>
      <c r="L356">
        <f ca="1">IF(Bandeja_SCTR[[#This Row],[FechaRecepcion]]="","",NETWORKDAYS(INT(Bandeja_SCTR[[#This Row],[FechaRecepcion]]),IF(Bandeja_SCTR[[#This Row],[FechaCierre]]="",TODAY(),INT(Bandeja_SCTR[[#This Row],[FechaCierre]])),DIAS_NOLAB[Feriados]))</f>
        <v>2</v>
      </c>
      <c r="M356" s="2" t="str">
        <f>IF(OR(Bandeja_SCTR[[#This Row],[FechaRecepcion]]="",Bandeja_SCTR[[#This Row],[FechaCierre]]=""),"",ROUND((Bandeja_SCTR[[#This Row],[FechaCierre]]-Bandeja_SCTR[[#This Row],[FechaRecepcion]])*24,1))</f>
        <v/>
      </c>
      <c r="N356" s="3">
        <f>IF(Bandeja_SCTR[[#This Row],[FechaRecepcion]]="","",DATE(YEAR(Bandeja_SCTR[[#This Row],[FechaRecepcion]]),MONTH(Bandeja_SCTR[[#This Row],[FechaRecepcion]]),1))</f>
        <v>46296</v>
      </c>
      <c r="O356">
        <f>IF(Bandeja_SCTR[[#This Row],[Estado]]="FINALIZADO",1,0)</f>
        <v>0</v>
      </c>
      <c r="P356">
        <f>IF(Bandeja_SCTR[[#This Row],[CasoId]]="",0,IF(Bandeja_SCTR[[#This Row],[Estado]]="FINALIZADO",0,1))</f>
        <v>1</v>
      </c>
    </row>
    <row r="357" spans="1:16" hidden="1">
      <c r="A357" t="s">
        <v>1380</v>
      </c>
      <c r="B357" t="s">
        <v>528</v>
      </c>
      <c r="C357" t="s">
        <v>1381</v>
      </c>
      <c r="D357" s="1">
        <v>46314.672280092593</v>
      </c>
      <c r="E357" s="1">
        <v>46315.443379629629</v>
      </c>
      <c r="F357" s="1" t="s">
        <v>96</v>
      </c>
      <c r="G357" t="s">
        <v>30</v>
      </c>
      <c r="H357" s="1">
        <v>46315.443379629629</v>
      </c>
      <c r="I357" t="s">
        <v>268</v>
      </c>
      <c r="J357" t="s">
        <v>1382</v>
      </c>
      <c r="K357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357">
        <f ca="1">IF(Bandeja_SCTR[[#This Row],[FechaRecepcion]]="","",NETWORKDAYS(INT(Bandeja_SCTR[[#This Row],[FechaRecepcion]]),IF(Bandeja_SCTR[[#This Row],[FechaCierre]]="",TODAY(),INT(Bandeja_SCTR[[#This Row],[FechaCierre]])),DIAS_NOLAB[Feriados]))</f>
        <v>2</v>
      </c>
      <c r="M357" s="2">
        <f>IF(OR(Bandeja_SCTR[[#This Row],[FechaRecepcion]]="",Bandeja_SCTR[[#This Row],[FechaCierre]]=""),"",ROUND((Bandeja_SCTR[[#This Row],[FechaCierre]]-Bandeja_SCTR[[#This Row],[FechaRecepcion]])*24,1))</f>
        <v>18.5</v>
      </c>
      <c r="N357" s="3">
        <f>IF(Bandeja_SCTR[[#This Row],[FechaRecepcion]]="","",DATE(YEAR(Bandeja_SCTR[[#This Row],[FechaRecepcion]]),MONTH(Bandeja_SCTR[[#This Row],[FechaRecepcion]]),1))</f>
        <v>46296</v>
      </c>
      <c r="O357">
        <f>IF(Bandeja_SCTR[[#This Row],[Estado]]="FINALIZADO",1,0)</f>
        <v>1</v>
      </c>
      <c r="P357">
        <f>IF(Bandeja_SCTR[[#This Row],[CasoId]]="",0,IF(Bandeja_SCTR[[#This Row],[Estado]]="FINALIZADO",0,1))</f>
        <v>0</v>
      </c>
    </row>
    <row r="358" spans="1:16" hidden="1">
      <c r="A358" t="s">
        <v>1383</v>
      </c>
      <c r="B358" t="s">
        <v>1384</v>
      </c>
      <c r="C358" t="s">
        <v>1385</v>
      </c>
      <c r="D358" s="1">
        <v>46314.695081018523</v>
      </c>
      <c r="E358" s="1">
        <v>46314.76059027778</v>
      </c>
      <c r="F358" s="1" t="s">
        <v>96</v>
      </c>
      <c r="G358" t="s">
        <v>30</v>
      </c>
      <c r="H358" s="1">
        <v>46314.76059027778</v>
      </c>
      <c r="I358" t="s">
        <v>268</v>
      </c>
      <c r="J358" t="s">
        <v>1386</v>
      </c>
      <c r="K358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358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358" s="2">
        <f>IF(OR(Bandeja_SCTR[[#This Row],[FechaRecepcion]]="",Bandeja_SCTR[[#This Row],[FechaCierre]]=""),"",ROUND((Bandeja_SCTR[[#This Row],[FechaCierre]]-Bandeja_SCTR[[#This Row],[FechaRecepcion]])*24,1))</f>
        <v>1.6</v>
      </c>
      <c r="N358" s="3">
        <f>IF(Bandeja_SCTR[[#This Row],[FechaRecepcion]]="","",DATE(YEAR(Bandeja_SCTR[[#This Row],[FechaRecepcion]]),MONTH(Bandeja_SCTR[[#This Row],[FechaRecepcion]]),1))</f>
        <v>46296</v>
      </c>
      <c r="O358">
        <f>IF(Bandeja_SCTR[[#This Row],[Estado]]="FINALIZADO",1,0)</f>
        <v>1</v>
      </c>
      <c r="P358">
        <f>IF(Bandeja_SCTR[[#This Row],[CasoId]]="",0,IF(Bandeja_SCTR[[#This Row],[Estado]]="FINALIZADO",0,1))</f>
        <v>0</v>
      </c>
    </row>
    <row r="359" spans="1:16">
      <c r="A359" t="s">
        <v>1387</v>
      </c>
      <c r="B359" t="s">
        <v>1349</v>
      </c>
      <c r="C359" t="s">
        <v>1350</v>
      </c>
      <c r="D359" s="1">
        <v>46314.700289351851</v>
      </c>
      <c r="E359" s="1">
        <v>46315.588020833333</v>
      </c>
      <c r="F359" s="1" t="s">
        <v>438</v>
      </c>
      <c r="H359" s="1"/>
      <c r="I359" t="s">
        <v>1251</v>
      </c>
      <c r="J359" t="s">
        <v>1388</v>
      </c>
      <c r="K359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1</v>
      </c>
      <c r="L359">
        <f ca="1">IF(Bandeja_SCTR[[#This Row],[FechaRecepcion]]="","",NETWORKDAYS(INT(Bandeja_SCTR[[#This Row],[FechaRecepcion]]),IF(Bandeja_SCTR[[#This Row],[FechaCierre]]="",TODAY(),INT(Bandeja_SCTR[[#This Row],[FechaCierre]])),DIAS_NOLAB[Feriados]))</f>
        <v>2</v>
      </c>
      <c r="M359" s="2" t="str">
        <f>IF(OR(Bandeja_SCTR[[#This Row],[FechaRecepcion]]="",Bandeja_SCTR[[#This Row],[FechaCierre]]=""),"",ROUND((Bandeja_SCTR[[#This Row],[FechaCierre]]-Bandeja_SCTR[[#This Row],[FechaRecepcion]])*24,1))</f>
        <v/>
      </c>
      <c r="N359" s="3">
        <f>IF(Bandeja_SCTR[[#This Row],[FechaRecepcion]]="","",DATE(YEAR(Bandeja_SCTR[[#This Row],[FechaRecepcion]]),MONTH(Bandeja_SCTR[[#This Row],[FechaRecepcion]]),1))</f>
        <v>46296</v>
      </c>
      <c r="O359">
        <f>IF(Bandeja_SCTR[[#This Row],[Estado]]="FINALIZADO",1,0)</f>
        <v>0</v>
      </c>
      <c r="P359">
        <f>IF(Bandeja_SCTR[[#This Row],[CasoId]]="",0,IF(Bandeja_SCTR[[#This Row],[Estado]]="FINALIZADO",0,1))</f>
        <v>1</v>
      </c>
    </row>
    <row r="360" spans="1:16" hidden="1">
      <c r="A360" t="s">
        <v>1389</v>
      </c>
      <c r="B360" t="s">
        <v>656</v>
      </c>
      <c r="C360" t="s">
        <v>1390</v>
      </c>
      <c r="D360" s="1">
        <v>46314.713263888887</v>
      </c>
      <c r="E360" s="1">
        <v>46314.761481481481</v>
      </c>
      <c r="F360" s="1" t="s">
        <v>96</v>
      </c>
      <c r="G360" t="s">
        <v>30</v>
      </c>
      <c r="H360" s="1">
        <v>46314.761481481481</v>
      </c>
      <c r="I360" t="s">
        <v>268</v>
      </c>
      <c r="J360" t="s">
        <v>1391</v>
      </c>
      <c r="K360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360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360" s="2">
        <f>IF(OR(Bandeja_SCTR[[#This Row],[FechaRecepcion]]="",Bandeja_SCTR[[#This Row],[FechaCierre]]=""),"",ROUND((Bandeja_SCTR[[#This Row],[FechaCierre]]-Bandeja_SCTR[[#This Row],[FechaRecepcion]])*24,1))</f>
        <v>1.2</v>
      </c>
      <c r="N360" s="3">
        <f>IF(Bandeja_SCTR[[#This Row],[FechaRecepcion]]="","",DATE(YEAR(Bandeja_SCTR[[#This Row],[FechaRecepcion]]),MONTH(Bandeja_SCTR[[#This Row],[FechaRecepcion]]),1))</f>
        <v>46296</v>
      </c>
      <c r="O360">
        <f>IF(Bandeja_SCTR[[#This Row],[Estado]]="FINALIZADO",1,0)</f>
        <v>1</v>
      </c>
      <c r="P360">
        <f>IF(Bandeja_SCTR[[#This Row],[CasoId]]="",0,IF(Bandeja_SCTR[[#This Row],[Estado]]="FINALIZADO",0,1))</f>
        <v>0</v>
      </c>
    </row>
    <row r="361" spans="1:16">
      <c r="A361" t="s">
        <v>1392</v>
      </c>
      <c r="B361" t="s">
        <v>1393</v>
      </c>
      <c r="C361" t="s">
        <v>1394</v>
      </c>
      <c r="D361" s="1">
        <v>46314.722812499997</v>
      </c>
      <c r="E361" s="1">
        <v>46314.722812499997</v>
      </c>
      <c r="F361" s="1" t="s">
        <v>316</v>
      </c>
      <c r="H361" s="1"/>
      <c r="I361" t="s">
        <v>317</v>
      </c>
      <c r="K361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2</v>
      </c>
      <c r="L361">
        <f ca="1">IF(Bandeja_SCTR[[#This Row],[FechaRecepcion]]="","",NETWORKDAYS(INT(Bandeja_SCTR[[#This Row],[FechaRecepcion]]),IF(Bandeja_SCTR[[#This Row],[FechaCierre]]="",TODAY(),INT(Bandeja_SCTR[[#This Row],[FechaCierre]])),DIAS_NOLAB[Feriados]))</f>
        <v>2</v>
      </c>
      <c r="M361" s="2" t="str">
        <f>IF(OR(Bandeja_SCTR[[#This Row],[FechaRecepcion]]="",Bandeja_SCTR[[#This Row],[FechaCierre]]=""),"",ROUND((Bandeja_SCTR[[#This Row],[FechaCierre]]-Bandeja_SCTR[[#This Row],[FechaRecepcion]])*24,1))</f>
        <v/>
      </c>
      <c r="N361" s="3">
        <f>IF(Bandeja_SCTR[[#This Row],[FechaRecepcion]]="","",DATE(YEAR(Bandeja_SCTR[[#This Row],[FechaRecepcion]]),MONTH(Bandeja_SCTR[[#This Row],[FechaRecepcion]]),1))</f>
        <v>46296</v>
      </c>
      <c r="O361">
        <f>IF(Bandeja_SCTR[[#This Row],[Estado]]="FINALIZADO",1,0)</f>
        <v>0</v>
      </c>
      <c r="P361">
        <f>IF(Bandeja_SCTR[[#This Row],[CasoId]]="",0,IF(Bandeja_SCTR[[#This Row],[Estado]]="FINALIZADO",0,1))</f>
        <v>1</v>
      </c>
    </row>
    <row r="362" spans="1:16" hidden="1">
      <c r="A362" t="s">
        <v>1395</v>
      </c>
      <c r="B362" t="s">
        <v>1263</v>
      </c>
      <c r="C362" t="s">
        <v>1396</v>
      </c>
      <c r="D362" s="1">
        <v>46314.728599537033</v>
      </c>
      <c r="E362" s="1">
        <v>46314.7653125</v>
      </c>
      <c r="F362" s="1" t="s">
        <v>96</v>
      </c>
      <c r="G362" t="s">
        <v>30</v>
      </c>
      <c r="H362" s="1">
        <v>46314.7653125</v>
      </c>
      <c r="I362" t="s">
        <v>268</v>
      </c>
      <c r="J362" t="s">
        <v>1397</v>
      </c>
      <c r="K362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362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362" s="2">
        <f>IF(OR(Bandeja_SCTR[[#This Row],[FechaRecepcion]]="",Bandeja_SCTR[[#This Row],[FechaCierre]]=""),"",ROUND((Bandeja_SCTR[[#This Row],[FechaCierre]]-Bandeja_SCTR[[#This Row],[FechaRecepcion]])*24,1))</f>
        <v>0.9</v>
      </c>
      <c r="N362" s="3">
        <f>IF(Bandeja_SCTR[[#This Row],[FechaRecepcion]]="","",DATE(YEAR(Bandeja_SCTR[[#This Row],[FechaRecepcion]]),MONTH(Bandeja_SCTR[[#This Row],[FechaRecepcion]]),1))</f>
        <v>46296</v>
      </c>
      <c r="O362">
        <f>IF(Bandeja_SCTR[[#This Row],[Estado]]="FINALIZADO",1,0)</f>
        <v>1</v>
      </c>
      <c r="P362">
        <f>IF(Bandeja_SCTR[[#This Row],[CasoId]]="",0,IF(Bandeja_SCTR[[#This Row],[Estado]]="FINALIZADO",0,1))</f>
        <v>0</v>
      </c>
    </row>
    <row r="363" spans="1:16" hidden="1">
      <c r="A363" t="s">
        <v>1398</v>
      </c>
      <c r="B363" t="s">
        <v>1319</v>
      </c>
      <c r="C363" t="s">
        <v>1369</v>
      </c>
      <c r="D363" s="1">
        <v>46314.729328703703</v>
      </c>
      <c r="E363" s="1">
        <v>46314.766793981486</v>
      </c>
      <c r="F363" s="1" t="s">
        <v>96</v>
      </c>
      <c r="G363" t="s">
        <v>30</v>
      </c>
      <c r="H363" s="1">
        <v>46314.766793981486</v>
      </c>
      <c r="I363" t="s">
        <v>268</v>
      </c>
      <c r="J363" t="s">
        <v>1399</v>
      </c>
      <c r="K363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363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363" s="2">
        <f>IF(OR(Bandeja_SCTR[[#This Row],[FechaRecepcion]]="",Bandeja_SCTR[[#This Row],[FechaCierre]]=""),"",ROUND((Bandeja_SCTR[[#This Row],[FechaCierre]]-Bandeja_SCTR[[#This Row],[FechaRecepcion]])*24,1))</f>
        <v>0.9</v>
      </c>
      <c r="N363" s="3">
        <f>IF(Bandeja_SCTR[[#This Row],[FechaRecepcion]]="","",DATE(YEAR(Bandeja_SCTR[[#This Row],[FechaRecepcion]]),MONTH(Bandeja_SCTR[[#This Row],[FechaRecepcion]]),1))</f>
        <v>46296</v>
      </c>
      <c r="O363">
        <f>IF(Bandeja_SCTR[[#This Row],[Estado]]="FINALIZADO",1,0)</f>
        <v>1</v>
      </c>
      <c r="P363">
        <f>IF(Bandeja_SCTR[[#This Row],[CasoId]]="",0,IF(Bandeja_SCTR[[#This Row],[Estado]]="FINALIZADO",0,1))</f>
        <v>0</v>
      </c>
    </row>
    <row r="364" spans="1:16" hidden="1">
      <c r="A364" t="s">
        <v>1400</v>
      </c>
      <c r="B364" t="s">
        <v>1156</v>
      </c>
      <c r="C364" t="s">
        <v>1401</v>
      </c>
      <c r="D364" s="1">
        <v>46314.736018518517</v>
      </c>
      <c r="E364" s="1">
        <v>46315.481099537035</v>
      </c>
      <c r="F364" s="1" t="s">
        <v>96</v>
      </c>
      <c r="G364" t="s">
        <v>30</v>
      </c>
      <c r="H364" s="1">
        <v>46315.481099537035</v>
      </c>
      <c r="I364" t="s">
        <v>268</v>
      </c>
      <c r="J364" t="s">
        <v>1402</v>
      </c>
      <c r="K364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364">
        <f ca="1">IF(Bandeja_SCTR[[#This Row],[FechaRecepcion]]="","",NETWORKDAYS(INT(Bandeja_SCTR[[#This Row],[FechaRecepcion]]),IF(Bandeja_SCTR[[#This Row],[FechaCierre]]="",TODAY(),INT(Bandeja_SCTR[[#This Row],[FechaCierre]])),DIAS_NOLAB[Feriados]))</f>
        <v>2</v>
      </c>
      <c r="M364" s="2">
        <f>IF(OR(Bandeja_SCTR[[#This Row],[FechaRecepcion]]="",Bandeja_SCTR[[#This Row],[FechaCierre]]=""),"",ROUND((Bandeja_SCTR[[#This Row],[FechaCierre]]-Bandeja_SCTR[[#This Row],[FechaRecepcion]])*24,1))</f>
        <v>17.899999999999999</v>
      </c>
      <c r="N364" s="3">
        <f>IF(Bandeja_SCTR[[#This Row],[FechaRecepcion]]="","",DATE(YEAR(Bandeja_SCTR[[#This Row],[FechaRecepcion]]),MONTH(Bandeja_SCTR[[#This Row],[FechaRecepcion]]),1))</f>
        <v>46296</v>
      </c>
      <c r="O364">
        <f>IF(Bandeja_SCTR[[#This Row],[Estado]]="FINALIZADO",1,0)</f>
        <v>1</v>
      </c>
      <c r="P364">
        <f>IF(Bandeja_SCTR[[#This Row],[CasoId]]="",0,IF(Bandeja_SCTR[[#This Row],[Estado]]="FINALIZADO",0,1))</f>
        <v>0</v>
      </c>
    </row>
    <row r="365" spans="1:16" hidden="1">
      <c r="A365" t="s">
        <v>1403</v>
      </c>
      <c r="B365" t="s">
        <v>1404</v>
      </c>
      <c r="C365" t="s">
        <v>1405</v>
      </c>
      <c r="D365" s="1">
        <v>46314.74118055556</v>
      </c>
      <c r="E365" s="1">
        <v>46314.771539351852</v>
      </c>
      <c r="F365" s="1" t="s">
        <v>96</v>
      </c>
      <c r="G365" t="s">
        <v>30</v>
      </c>
      <c r="H365" s="1">
        <v>46314.771539351852</v>
      </c>
      <c r="I365" t="s">
        <v>268</v>
      </c>
      <c r="K365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365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365" s="2">
        <f>IF(OR(Bandeja_SCTR[[#This Row],[FechaRecepcion]]="",Bandeja_SCTR[[#This Row],[FechaCierre]]=""),"",ROUND((Bandeja_SCTR[[#This Row],[FechaCierre]]-Bandeja_SCTR[[#This Row],[FechaRecepcion]])*24,1))</f>
        <v>0.7</v>
      </c>
      <c r="N365" s="3">
        <f>IF(Bandeja_SCTR[[#This Row],[FechaRecepcion]]="","",DATE(YEAR(Bandeja_SCTR[[#This Row],[FechaRecepcion]]),MONTH(Bandeja_SCTR[[#This Row],[FechaRecepcion]]),1))</f>
        <v>46296</v>
      </c>
      <c r="O365">
        <f>IF(Bandeja_SCTR[[#This Row],[Estado]]="FINALIZADO",1,0)</f>
        <v>1</v>
      </c>
      <c r="P365">
        <f>IF(Bandeja_SCTR[[#This Row],[CasoId]]="",0,IF(Bandeja_SCTR[[#This Row],[Estado]]="FINALIZADO",0,1))</f>
        <v>0</v>
      </c>
    </row>
    <row r="366" spans="1:16">
      <c r="A366" t="s">
        <v>1406</v>
      </c>
      <c r="B366" t="s">
        <v>1116</v>
      </c>
      <c r="C366" t="s">
        <v>1269</v>
      </c>
      <c r="D366" s="1">
        <v>46314.742245370369</v>
      </c>
      <c r="E366" s="1">
        <v>46315.344004629631</v>
      </c>
      <c r="F366" s="1" t="s">
        <v>1407</v>
      </c>
      <c r="H366" s="1"/>
      <c r="I366" t="s">
        <v>1408</v>
      </c>
      <c r="J366" t="s">
        <v>1409</v>
      </c>
      <c r="K366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1</v>
      </c>
      <c r="L366">
        <f ca="1">IF(Bandeja_SCTR[[#This Row],[FechaRecepcion]]="","",NETWORKDAYS(INT(Bandeja_SCTR[[#This Row],[FechaRecepcion]]),IF(Bandeja_SCTR[[#This Row],[FechaCierre]]="",TODAY(),INT(Bandeja_SCTR[[#This Row],[FechaCierre]])),DIAS_NOLAB[Feriados]))</f>
        <v>2</v>
      </c>
      <c r="M366" s="2" t="str">
        <f>IF(OR(Bandeja_SCTR[[#This Row],[FechaRecepcion]]="",Bandeja_SCTR[[#This Row],[FechaCierre]]=""),"",ROUND((Bandeja_SCTR[[#This Row],[FechaCierre]]-Bandeja_SCTR[[#This Row],[FechaRecepcion]])*24,1))</f>
        <v/>
      </c>
      <c r="N366" s="3">
        <f>IF(Bandeja_SCTR[[#This Row],[FechaRecepcion]]="","",DATE(YEAR(Bandeja_SCTR[[#This Row],[FechaRecepcion]]),MONTH(Bandeja_SCTR[[#This Row],[FechaRecepcion]]),1))</f>
        <v>46296</v>
      </c>
      <c r="O366">
        <f>IF(Bandeja_SCTR[[#This Row],[Estado]]="FINALIZADO",1,0)</f>
        <v>0</v>
      </c>
      <c r="P366">
        <f>IF(Bandeja_SCTR[[#This Row],[CasoId]]="",0,IF(Bandeja_SCTR[[#This Row],[Estado]]="FINALIZADO",0,1))</f>
        <v>1</v>
      </c>
    </row>
    <row r="367" spans="1:16">
      <c r="A367" t="s">
        <v>1410</v>
      </c>
      <c r="B367" t="s">
        <v>1411</v>
      </c>
      <c r="C367" t="s">
        <v>1412</v>
      </c>
      <c r="D367" s="1">
        <v>46314.753692129627</v>
      </c>
      <c r="E367" s="1">
        <v>46314.874421296292</v>
      </c>
      <c r="F367" s="1" t="s">
        <v>91</v>
      </c>
      <c r="H367" s="1"/>
      <c r="I367" t="s">
        <v>91</v>
      </c>
      <c r="K367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2</v>
      </c>
      <c r="L367">
        <f ca="1">IF(Bandeja_SCTR[[#This Row],[FechaRecepcion]]="","",NETWORKDAYS(INT(Bandeja_SCTR[[#This Row],[FechaRecepcion]]),IF(Bandeja_SCTR[[#This Row],[FechaCierre]]="",TODAY(),INT(Bandeja_SCTR[[#This Row],[FechaCierre]])),DIAS_NOLAB[Feriados]))</f>
        <v>2</v>
      </c>
      <c r="M367" s="2" t="str">
        <f>IF(OR(Bandeja_SCTR[[#This Row],[FechaRecepcion]]="",Bandeja_SCTR[[#This Row],[FechaCierre]]=""),"",ROUND((Bandeja_SCTR[[#This Row],[FechaCierre]]-Bandeja_SCTR[[#This Row],[FechaRecepcion]])*24,1))</f>
        <v/>
      </c>
      <c r="N367" s="3">
        <f>IF(Bandeja_SCTR[[#This Row],[FechaRecepcion]]="","",DATE(YEAR(Bandeja_SCTR[[#This Row],[FechaRecepcion]]),MONTH(Bandeja_SCTR[[#This Row],[FechaRecepcion]]),1))</f>
        <v>46296</v>
      </c>
      <c r="O367">
        <f>IF(Bandeja_SCTR[[#This Row],[Estado]]="FINALIZADO",1,0)</f>
        <v>0</v>
      </c>
      <c r="P367">
        <f>IF(Bandeja_SCTR[[#This Row],[CasoId]]="",0,IF(Bandeja_SCTR[[#This Row],[Estado]]="FINALIZADO",0,1))</f>
        <v>1</v>
      </c>
    </row>
    <row r="368" spans="1:16">
      <c r="A368" t="s">
        <v>1413</v>
      </c>
      <c r="B368" t="s">
        <v>1414</v>
      </c>
      <c r="C368" t="s">
        <v>1415</v>
      </c>
      <c r="D368" s="1">
        <v>46314.762777777782</v>
      </c>
      <c r="E368" s="1">
        <v>46314.762777777782</v>
      </c>
      <c r="F368" s="1" t="s">
        <v>1416</v>
      </c>
      <c r="H368" s="1"/>
      <c r="I368" t="s">
        <v>97</v>
      </c>
      <c r="J368" t="s">
        <v>1417</v>
      </c>
      <c r="K368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2</v>
      </c>
      <c r="L368">
        <f ca="1">IF(Bandeja_SCTR[[#This Row],[FechaRecepcion]]="","",NETWORKDAYS(INT(Bandeja_SCTR[[#This Row],[FechaRecepcion]]),IF(Bandeja_SCTR[[#This Row],[FechaCierre]]="",TODAY(),INT(Bandeja_SCTR[[#This Row],[FechaCierre]])),DIAS_NOLAB[Feriados]))</f>
        <v>2</v>
      </c>
      <c r="M368" s="2" t="str">
        <f>IF(OR(Bandeja_SCTR[[#This Row],[FechaRecepcion]]="",Bandeja_SCTR[[#This Row],[FechaCierre]]=""),"",ROUND((Bandeja_SCTR[[#This Row],[FechaCierre]]-Bandeja_SCTR[[#This Row],[FechaRecepcion]])*24,1))</f>
        <v/>
      </c>
      <c r="N368" s="3">
        <f>IF(Bandeja_SCTR[[#This Row],[FechaRecepcion]]="","",DATE(YEAR(Bandeja_SCTR[[#This Row],[FechaRecepcion]]),MONTH(Bandeja_SCTR[[#This Row],[FechaRecepcion]]),1))</f>
        <v>46296</v>
      </c>
      <c r="O368">
        <f>IF(Bandeja_SCTR[[#This Row],[Estado]]="FINALIZADO",1,0)</f>
        <v>0</v>
      </c>
      <c r="P368">
        <f>IF(Bandeja_SCTR[[#This Row],[CasoId]]="",0,IF(Bandeja_SCTR[[#This Row],[Estado]]="FINALIZADO",0,1))</f>
        <v>1</v>
      </c>
    </row>
    <row r="369" spans="1:16" hidden="1">
      <c r="A369" t="s">
        <v>1418</v>
      </c>
      <c r="B369" t="s">
        <v>1419</v>
      </c>
      <c r="C369" t="s">
        <v>1420</v>
      </c>
      <c r="D369" s="1">
        <v>46314.767604166671</v>
      </c>
      <c r="E369" s="1">
        <v>46314.776180555556</v>
      </c>
      <c r="F369" s="1" t="s">
        <v>96</v>
      </c>
      <c r="G369" t="s">
        <v>30</v>
      </c>
      <c r="H369" s="1">
        <v>46314.776180555556</v>
      </c>
      <c r="I369" t="s">
        <v>268</v>
      </c>
      <c r="K369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369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369" s="2">
        <f>IF(OR(Bandeja_SCTR[[#This Row],[FechaRecepcion]]="",Bandeja_SCTR[[#This Row],[FechaCierre]]=""),"",ROUND((Bandeja_SCTR[[#This Row],[FechaCierre]]-Bandeja_SCTR[[#This Row],[FechaRecepcion]])*24,1))</f>
        <v>0.2</v>
      </c>
      <c r="N369" s="3">
        <f>IF(Bandeja_SCTR[[#This Row],[FechaRecepcion]]="","",DATE(YEAR(Bandeja_SCTR[[#This Row],[FechaRecepcion]]),MONTH(Bandeja_SCTR[[#This Row],[FechaRecepcion]]),1))</f>
        <v>46296</v>
      </c>
      <c r="O369">
        <f>IF(Bandeja_SCTR[[#This Row],[Estado]]="FINALIZADO",1,0)</f>
        <v>1</v>
      </c>
      <c r="P369">
        <f>IF(Bandeja_SCTR[[#This Row],[CasoId]]="",0,IF(Bandeja_SCTR[[#This Row],[Estado]]="FINALIZADO",0,1))</f>
        <v>0</v>
      </c>
    </row>
    <row r="370" spans="1:16" hidden="1">
      <c r="A370" t="s">
        <v>1421</v>
      </c>
      <c r="B370" t="s">
        <v>1020</v>
      </c>
      <c r="C370" t="s">
        <v>1021</v>
      </c>
      <c r="D370" s="1">
        <v>46314.768773148149</v>
      </c>
      <c r="E370" s="1">
        <v>46314.779837962968</v>
      </c>
      <c r="F370" s="1" t="s">
        <v>96</v>
      </c>
      <c r="G370" t="s">
        <v>30</v>
      </c>
      <c r="H370" s="1">
        <v>46314.779837962968</v>
      </c>
      <c r="I370" t="s">
        <v>268</v>
      </c>
      <c r="J370" t="s">
        <v>1422</v>
      </c>
      <c r="K370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370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370" s="2">
        <f>IF(OR(Bandeja_SCTR[[#This Row],[FechaRecepcion]]="",Bandeja_SCTR[[#This Row],[FechaCierre]]=""),"",ROUND((Bandeja_SCTR[[#This Row],[FechaCierre]]-Bandeja_SCTR[[#This Row],[FechaRecepcion]])*24,1))</f>
        <v>0.3</v>
      </c>
      <c r="N370" s="3">
        <f>IF(Bandeja_SCTR[[#This Row],[FechaRecepcion]]="","",DATE(YEAR(Bandeja_SCTR[[#This Row],[FechaRecepcion]]),MONTH(Bandeja_SCTR[[#This Row],[FechaRecepcion]]),1))</f>
        <v>46296</v>
      </c>
      <c r="O370">
        <f>IF(Bandeja_SCTR[[#This Row],[Estado]]="FINALIZADO",1,0)</f>
        <v>1</v>
      </c>
      <c r="P370">
        <f>IF(Bandeja_SCTR[[#This Row],[CasoId]]="",0,IF(Bandeja_SCTR[[#This Row],[Estado]]="FINALIZADO",0,1))</f>
        <v>0</v>
      </c>
    </row>
    <row r="371" spans="1:16">
      <c r="A371" t="s">
        <v>1423</v>
      </c>
      <c r="B371" t="s">
        <v>996</v>
      </c>
      <c r="C371" t="s">
        <v>1424</v>
      </c>
      <c r="D371" s="1">
        <v>46314.768888888888</v>
      </c>
      <c r="E371" s="1">
        <v>46314.768888888888</v>
      </c>
      <c r="F371" s="1" t="s">
        <v>316</v>
      </c>
      <c r="H371" s="1"/>
      <c r="I371" t="s">
        <v>317</v>
      </c>
      <c r="J371" t="s">
        <v>1425</v>
      </c>
      <c r="K371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2</v>
      </c>
      <c r="L371">
        <f ca="1">IF(Bandeja_SCTR[[#This Row],[FechaRecepcion]]="","",NETWORKDAYS(INT(Bandeja_SCTR[[#This Row],[FechaRecepcion]]),IF(Bandeja_SCTR[[#This Row],[FechaCierre]]="",TODAY(),INT(Bandeja_SCTR[[#This Row],[FechaCierre]])),DIAS_NOLAB[Feriados]))</f>
        <v>2</v>
      </c>
      <c r="M371" s="2" t="str">
        <f>IF(OR(Bandeja_SCTR[[#This Row],[FechaRecepcion]]="",Bandeja_SCTR[[#This Row],[FechaCierre]]=""),"",ROUND((Bandeja_SCTR[[#This Row],[FechaCierre]]-Bandeja_SCTR[[#This Row],[FechaRecepcion]])*24,1))</f>
        <v/>
      </c>
      <c r="N371" s="3">
        <f>IF(Bandeja_SCTR[[#This Row],[FechaRecepcion]]="","",DATE(YEAR(Bandeja_SCTR[[#This Row],[FechaRecepcion]]),MONTH(Bandeja_SCTR[[#This Row],[FechaRecepcion]]),1))</f>
        <v>46296</v>
      </c>
      <c r="O371">
        <f>IF(Bandeja_SCTR[[#This Row],[Estado]]="FINALIZADO",1,0)</f>
        <v>0</v>
      </c>
      <c r="P371">
        <f>IF(Bandeja_SCTR[[#This Row],[CasoId]]="",0,IF(Bandeja_SCTR[[#This Row],[Estado]]="FINALIZADO",0,1))</f>
        <v>1</v>
      </c>
    </row>
    <row r="372" spans="1:16">
      <c r="A372" t="s">
        <v>1426</v>
      </c>
      <c r="B372" t="s">
        <v>1404</v>
      </c>
      <c r="C372" t="s">
        <v>1427</v>
      </c>
      <c r="D372" s="1">
        <v>46314.771597222221</v>
      </c>
      <c r="E372" s="1">
        <v>46314.771597222221</v>
      </c>
      <c r="F372" s="1" t="s">
        <v>581</v>
      </c>
      <c r="H372" s="1"/>
      <c r="I372" t="s">
        <v>581</v>
      </c>
      <c r="J372" t="s">
        <v>1428</v>
      </c>
      <c r="K372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2</v>
      </c>
      <c r="L372">
        <f ca="1">IF(Bandeja_SCTR[[#This Row],[FechaRecepcion]]="","",NETWORKDAYS(INT(Bandeja_SCTR[[#This Row],[FechaRecepcion]]),IF(Bandeja_SCTR[[#This Row],[FechaCierre]]="",TODAY(),INT(Bandeja_SCTR[[#This Row],[FechaCierre]])),DIAS_NOLAB[Feriados]))</f>
        <v>2</v>
      </c>
      <c r="M372" s="2" t="str">
        <f>IF(OR(Bandeja_SCTR[[#This Row],[FechaRecepcion]]="",Bandeja_SCTR[[#This Row],[FechaCierre]]=""),"",ROUND((Bandeja_SCTR[[#This Row],[FechaCierre]]-Bandeja_SCTR[[#This Row],[FechaRecepcion]])*24,1))</f>
        <v/>
      </c>
      <c r="N372" s="3">
        <f>IF(Bandeja_SCTR[[#This Row],[FechaRecepcion]]="","",DATE(YEAR(Bandeja_SCTR[[#This Row],[FechaRecepcion]]),MONTH(Bandeja_SCTR[[#This Row],[FechaRecepcion]]),1))</f>
        <v>46296</v>
      </c>
      <c r="O372">
        <f>IF(Bandeja_SCTR[[#This Row],[Estado]]="FINALIZADO",1,0)</f>
        <v>0</v>
      </c>
      <c r="P372">
        <f>IF(Bandeja_SCTR[[#This Row],[CasoId]]="",0,IF(Bandeja_SCTR[[#This Row],[Estado]]="FINALIZADO",0,1))</f>
        <v>1</v>
      </c>
    </row>
    <row r="373" spans="1:16" hidden="1">
      <c r="A373" t="s">
        <v>1429</v>
      </c>
      <c r="B373" t="s">
        <v>1430</v>
      </c>
      <c r="C373" t="s">
        <v>1431</v>
      </c>
      <c r="D373" s="1">
        <v>46314.772789351853</v>
      </c>
      <c r="E373" s="1">
        <v>46314.777719907404</v>
      </c>
      <c r="F373" s="1" t="s">
        <v>96</v>
      </c>
      <c r="G373" t="s">
        <v>30</v>
      </c>
      <c r="H373" s="1">
        <v>46314.777719907404</v>
      </c>
      <c r="I373" t="s">
        <v>268</v>
      </c>
      <c r="K373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373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373" s="2">
        <f>IF(OR(Bandeja_SCTR[[#This Row],[FechaRecepcion]]="",Bandeja_SCTR[[#This Row],[FechaCierre]]=""),"",ROUND((Bandeja_SCTR[[#This Row],[FechaCierre]]-Bandeja_SCTR[[#This Row],[FechaRecepcion]])*24,1))</f>
        <v>0.1</v>
      </c>
      <c r="N373" s="3">
        <f>IF(Bandeja_SCTR[[#This Row],[FechaRecepcion]]="","",DATE(YEAR(Bandeja_SCTR[[#This Row],[FechaRecepcion]]),MONTH(Bandeja_SCTR[[#This Row],[FechaRecepcion]]),1))</f>
        <v>46296</v>
      </c>
      <c r="O373">
        <f>IF(Bandeja_SCTR[[#This Row],[Estado]]="FINALIZADO",1,0)</f>
        <v>1</v>
      </c>
      <c r="P373">
        <f>IF(Bandeja_SCTR[[#This Row],[CasoId]]="",0,IF(Bandeja_SCTR[[#This Row],[Estado]]="FINALIZADO",0,1))</f>
        <v>0</v>
      </c>
    </row>
    <row r="374" spans="1:16">
      <c r="A374" t="s">
        <v>1432</v>
      </c>
      <c r="B374" t="s">
        <v>1148</v>
      </c>
      <c r="C374" t="s">
        <v>1433</v>
      </c>
      <c r="D374" s="1">
        <v>46314.773402777777</v>
      </c>
      <c r="E374" s="1">
        <v>46314.773865740739</v>
      </c>
      <c r="F374" s="1" t="s">
        <v>35</v>
      </c>
      <c r="H374" s="1"/>
      <c r="I374" t="s">
        <v>36</v>
      </c>
      <c r="J374" t="s">
        <v>1434</v>
      </c>
      <c r="K374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2</v>
      </c>
      <c r="L374">
        <f ca="1">IF(Bandeja_SCTR[[#This Row],[FechaRecepcion]]="","",NETWORKDAYS(INT(Bandeja_SCTR[[#This Row],[FechaRecepcion]]),IF(Bandeja_SCTR[[#This Row],[FechaCierre]]="",TODAY(),INT(Bandeja_SCTR[[#This Row],[FechaCierre]])),DIAS_NOLAB[Feriados]))</f>
        <v>2</v>
      </c>
      <c r="M374" s="2" t="str">
        <f>IF(OR(Bandeja_SCTR[[#This Row],[FechaRecepcion]]="",Bandeja_SCTR[[#This Row],[FechaCierre]]=""),"",ROUND((Bandeja_SCTR[[#This Row],[FechaCierre]]-Bandeja_SCTR[[#This Row],[FechaRecepcion]])*24,1))</f>
        <v/>
      </c>
      <c r="N374" s="3">
        <f>IF(Bandeja_SCTR[[#This Row],[FechaRecepcion]]="","",DATE(YEAR(Bandeja_SCTR[[#This Row],[FechaRecepcion]]),MONTH(Bandeja_SCTR[[#This Row],[FechaRecepcion]]),1))</f>
        <v>46296</v>
      </c>
      <c r="O374">
        <f>IF(Bandeja_SCTR[[#This Row],[Estado]]="FINALIZADO",1,0)</f>
        <v>0</v>
      </c>
      <c r="P374">
        <f>IF(Bandeja_SCTR[[#This Row],[CasoId]]="",0,IF(Bandeja_SCTR[[#This Row],[Estado]]="FINALIZADO",0,1))</f>
        <v>1</v>
      </c>
    </row>
    <row r="375" spans="1:16">
      <c r="A375" t="s">
        <v>1435</v>
      </c>
      <c r="B375" t="s">
        <v>990</v>
      </c>
      <c r="C375" t="s">
        <v>1436</v>
      </c>
      <c r="D375" s="1">
        <v>46314.783101851848</v>
      </c>
      <c r="E375" s="1">
        <v>46315.374062499999</v>
      </c>
      <c r="F375" s="1" t="s">
        <v>144</v>
      </c>
      <c r="H375" s="1"/>
      <c r="I375" t="s">
        <v>210</v>
      </c>
      <c r="J375" t="s">
        <v>1437</v>
      </c>
      <c r="K375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1</v>
      </c>
      <c r="L375">
        <f ca="1">IF(Bandeja_SCTR[[#This Row],[FechaRecepcion]]="","",NETWORKDAYS(INT(Bandeja_SCTR[[#This Row],[FechaRecepcion]]),IF(Bandeja_SCTR[[#This Row],[FechaCierre]]="",TODAY(),INT(Bandeja_SCTR[[#This Row],[FechaCierre]])),DIAS_NOLAB[Feriados]))</f>
        <v>2</v>
      </c>
      <c r="M375" s="2" t="str">
        <f>IF(OR(Bandeja_SCTR[[#This Row],[FechaRecepcion]]="",Bandeja_SCTR[[#This Row],[FechaCierre]]=""),"",ROUND((Bandeja_SCTR[[#This Row],[FechaCierre]]-Bandeja_SCTR[[#This Row],[FechaRecepcion]])*24,1))</f>
        <v/>
      </c>
      <c r="N375" s="3">
        <f>IF(Bandeja_SCTR[[#This Row],[FechaRecepcion]]="","",DATE(YEAR(Bandeja_SCTR[[#This Row],[FechaRecepcion]]),MONTH(Bandeja_SCTR[[#This Row],[FechaRecepcion]]),1))</f>
        <v>46296</v>
      </c>
      <c r="O375">
        <f>IF(Bandeja_SCTR[[#This Row],[Estado]]="FINALIZADO",1,0)</f>
        <v>0</v>
      </c>
      <c r="P375">
        <f>IF(Bandeja_SCTR[[#This Row],[CasoId]]="",0,IF(Bandeja_SCTR[[#This Row],[Estado]]="FINALIZADO",0,1))</f>
        <v>1</v>
      </c>
    </row>
    <row r="376" spans="1:16" hidden="1">
      <c r="A376" t="s">
        <v>1438</v>
      </c>
      <c r="B376" t="s">
        <v>1439</v>
      </c>
      <c r="C376" t="s">
        <v>1440</v>
      </c>
      <c r="D376" s="1">
        <v>46314.818761574075</v>
      </c>
      <c r="E376" s="1">
        <v>46315.375972222224</v>
      </c>
      <c r="F376" s="1" t="s">
        <v>96</v>
      </c>
      <c r="G376" t="s">
        <v>30</v>
      </c>
      <c r="H376" s="1">
        <v>46315.375972222224</v>
      </c>
      <c r="I376" t="s">
        <v>268</v>
      </c>
      <c r="J376" t="s">
        <v>1441</v>
      </c>
      <c r="K376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376">
        <f ca="1">IF(Bandeja_SCTR[[#This Row],[FechaRecepcion]]="","",NETWORKDAYS(INT(Bandeja_SCTR[[#This Row],[FechaRecepcion]]),IF(Bandeja_SCTR[[#This Row],[FechaCierre]]="",TODAY(),INT(Bandeja_SCTR[[#This Row],[FechaCierre]])),DIAS_NOLAB[Feriados]))</f>
        <v>2</v>
      </c>
      <c r="M376" s="2">
        <f>IF(OR(Bandeja_SCTR[[#This Row],[FechaRecepcion]]="",Bandeja_SCTR[[#This Row],[FechaCierre]]=""),"",ROUND((Bandeja_SCTR[[#This Row],[FechaCierre]]-Bandeja_SCTR[[#This Row],[FechaRecepcion]])*24,1))</f>
        <v>13.4</v>
      </c>
      <c r="N376" s="3">
        <f>IF(Bandeja_SCTR[[#This Row],[FechaRecepcion]]="","",DATE(YEAR(Bandeja_SCTR[[#This Row],[FechaRecepcion]]),MONTH(Bandeja_SCTR[[#This Row],[FechaRecepcion]]),1))</f>
        <v>46296</v>
      </c>
      <c r="O376">
        <f>IF(Bandeja_SCTR[[#This Row],[Estado]]="FINALIZADO",1,0)</f>
        <v>1</v>
      </c>
      <c r="P376">
        <f>IF(Bandeja_SCTR[[#This Row],[CasoId]]="",0,IF(Bandeja_SCTR[[#This Row],[Estado]]="FINALIZADO",0,1))</f>
        <v>0</v>
      </c>
    </row>
    <row r="377" spans="1:16" hidden="1">
      <c r="A377" t="s">
        <v>1442</v>
      </c>
      <c r="B377" t="s">
        <v>1443</v>
      </c>
      <c r="C377" t="s">
        <v>1444</v>
      </c>
      <c r="D377" s="1">
        <v>46314.864375000005</v>
      </c>
      <c r="E377" s="1">
        <v>46315.54074074074</v>
      </c>
      <c r="F377" s="1" t="s">
        <v>96</v>
      </c>
      <c r="G377" t="s">
        <v>30</v>
      </c>
      <c r="H377" s="1">
        <v>46315.54074074074</v>
      </c>
      <c r="I377" t="s">
        <v>268</v>
      </c>
      <c r="J377" t="s">
        <v>1445</v>
      </c>
      <c r="K377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377">
        <f ca="1">IF(Bandeja_SCTR[[#This Row],[FechaRecepcion]]="","",NETWORKDAYS(INT(Bandeja_SCTR[[#This Row],[FechaRecepcion]]),IF(Bandeja_SCTR[[#This Row],[FechaCierre]]="",TODAY(),INT(Bandeja_SCTR[[#This Row],[FechaCierre]])),DIAS_NOLAB[Feriados]))</f>
        <v>2</v>
      </c>
      <c r="M377" s="2">
        <f>IF(OR(Bandeja_SCTR[[#This Row],[FechaRecepcion]]="",Bandeja_SCTR[[#This Row],[FechaCierre]]=""),"",ROUND((Bandeja_SCTR[[#This Row],[FechaCierre]]-Bandeja_SCTR[[#This Row],[FechaRecepcion]])*24,1))</f>
        <v>16.2</v>
      </c>
      <c r="N377" s="3">
        <f>IF(Bandeja_SCTR[[#This Row],[FechaRecepcion]]="","",DATE(YEAR(Bandeja_SCTR[[#This Row],[FechaRecepcion]]),MONTH(Bandeja_SCTR[[#This Row],[FechaRecepcion]]),1))</f>
        <v>46296</v>
      </c>
      <c r="O377">
        <f>IF(Bandeja_SCTR[[#This Row],[Estado]]="FINALIZADO",1,0)</f>
        <v>1</v>
      </c>
      <c r="P377">
        <f>IF(Bandeja_SCTR[[#This Row],[CasoId]]="",0,IF(Bandeja_SCTR[[#This Row],[Estado]]="FINALIZADO",0,1))</f>
        <v>0</v>
      </c>
    </row>
    <row r="378" spans="1:16" hidden="1">
      <c r="A378" t="s">
        <v>1446</v>
      </c>
      <c r="B378" t="s">
        <v>1384</v>
      </c>
      <c r="C378" t="s">
        <v>1447</v>
      </c>
      <c r="D378" s="1">
        <v>46314.869872685187</v>
      </c>
      <c r="E378" s="1">
        <v>46315.53597222222</v>
      </c>
      <c r="F378" s="1" t="s">
        <v>96</v>
      </c>
      <c r="G378" t="s">
        <v>30</v>
      </c>
      <c r="H378" s="1">
        <v>46315.53597222222</v>
      </c>
      <c r="I378" t="s">
        <v>268</v>
      </c>
      <c r="J378" t="s">
        <v>1448</v>
      </c>
      <c r="K378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378">
        <f ca="1">IF(Bandeja_SCTR[[#This Row],[FechaRecepcion]]="","",NETWORKDAYS(INT(Bandeja_SCTR[[#This Row],[FechaRecepcion]]),IF(Bandeja_SCTR[[#This Row],[FechaCierre]]="",TODAY(),INT(Bandeja_SCTR[[#This Row],[FechaCierre]])),DIAS_NOLAB[Feriados]))</f>
        <v>2</v>
      </c>
      <c r="M378" s="2">
        <f>IF(OR(Bandeja_SCTR[[#This Row],[FechaRecepcion]]="",Bandeja_SCTR[[#This Row],[FechaCierre]]=""),"",ROUND((Bandeja_SCTR[[#This Row],[FechaCierre]]-Bandeja_SCTR[[#This Row],[FechaRecepcion]])*24,1))</f>
        <v>16</v>
      </c>
      <c r="N378" s="3">
        <f>IF(Bandeja_SCTR[[#This Row],[FechaRecepcion]]="","",DATE(YEAR(Bandeja_SCTR[[#This Row],[FechaRecepcion]]),MONTH(Bandeja_SCTR[[#This Row],[FechaRecepcion]]),1))</f>
        <v>46296</v>
      </c>
      <c r="O378">
        <f>IF(Bandeja_SCTR[[#This Row],[Estado]]="FINALIZADO",1,0)</f>
        <v>1</v>
      </c>
      <c r="P378">
        <f>IF(Bandeja_SCTR[[#This Row],[CasoId]]="",0,IF(Bandeja_SCTR[[#This Row],[Estado]]="FINALIZADO",0,1))</f>
        <v>0</v>
      </c>
    </row>
    <row r="379" spans="1:16" hidden="1">
      <c r="A379" t="s">
        <v>1449</v>
      </c>
      <c r="B379" t="s">
        <v>1372</v>
      </c>
      <c r="C379" t="s">
        <v>1450</v>
      </c>
      <c r="D379" s="1">
        <v>46314.881400462968</v>
      </c>
      <c r="E379" s="1">
        <v>46315.522974537038</v>
      </c>
      <c r="F379" s="1" t="s">
        <v>96</v>
      </c>
      <c r="G379" t="s">
        <v>30</v>
      </c>
      <c r="H379" s="1">
        <v>46315.522974537038</v>
      </c>
      <c r="I379" t="s">
        <v>268</v>
      </c>
      <c r="J379" t="s">
        <v>1451</v>
      </c>
      <c r="K379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379">
        <f ca="1">IF(Bandeja_SCTR[[#This Row],[FechaRecepcion]]="","",NETWORKDAYS(INT(Bandeja_SCTR[[#This Row],[FechaRecepcion]]),IF(Bandeja_SCTR[[#This Row],[FechaCierre]]="",TODAY(),INT(Bandeja_SCTR[[#This Row],[FechaCierre]])),DIAS_NOLAB[Feriados]))</f>
        <v>2</v>
      </c>
      <c r="M379" s="2">
        <f>IF(OR(Bandeja_SCTR[[#This Row],[FechaRecepcion]]="",Bandeja_SCTR[[#This Row],[FechaCierre]]=""),"",ROUND((Bandeja_SCTR[[#This Row],[FechaCierre]]-Bandeja_SCTR[[#This Row],[FechaRecepcion]])*24,1))</f>
        <v>15.4</v>
      </c>
      <c r="N379" s="3">
        <f>IF(Bandeja_SCTR[[#This Row],[FechaRecepcion]]="","",DATE(YEAR(Bandeja_SCTR[[#This Row],[FechaRecepcion]]),MONTH(Bandeja_SCTR[[#This Row],[FechaRecepcion]]),1))</f>
        <v>46296</v>
      </c>
      <c r="O379">
        <f>IF(Bandeja_SCTR[[#This Row],[Estado]]="FINALIZADO",1,0)</f>
        <v>1</v>
      </c>
      <c r="P379">
        <f>IF(Bandeja_SCTR[[#This Row],[CasoId]]="",0,IF(Bandeja_SCTR[[#This Row],[Estado]]="FINALIZADO",0,1))</f>
        <v>0</v>
      </c>
    </row>
    <row r="380" spans="1:16" hidden="1">
      <c r="A380" t="s">
        <v>1452</v>
      </c>
      <c r="B380" t="s">
        <v>1453</v>
      </c>
      <c r="C380" t="s">
        <v>1454</v>
      </c>
      <c r="D380" s="1">
        <v>46314.882511574076</v>
      </c>
      <c r="E380" s="1">
        <v>46315.522268518514</v>
      </c>
      <c r="F380" s="1" t="s">
        <v>96</v>
      </c>
      <c r="G380" t="s">
        <v>30</v>
      </c>
      <c r="H380" s="1">
        <v>46315.522268518514</v>
      </c>
      <c r="I380" t="s">
        <v>268</v>
      </c>
      <c r="J380" t="s">
        <v>1455</v>
      </c>
      <c r="K380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380">
        <f ca="1">IF(Bandeja_SCTR[[#This Row],[FechaRecepcion]]="","",NETWORKDAYS(INT(Bandeja_SCTR[[#This Row],[FechaRecepcion]]),IF(Bandeja_SCTR[[#This Row],[FechaCierre]]="",TODAY(),INT(Bandeja_SCTR[[#This Row],[FechaCierre]])),DIAS_NOLAB[Feriados]))</f>
        <v>2</v>
      </c>
      <c r="M380" s="2">
        <f>IF(OR(Bandeja_SCTR[[#This Row],[FechaRecepcion]]="",Bandeja_SCTR[[#This Row],[FechaCierre]]=""),"",ROUND((Bandeja_SCTR[[#This Row],[FechaCierre]]-Bandeja_SCTR[[#This Row],[FechaRecepcion]])*24,1))</f>
        <v>15.4</v>
      </c>
      <c r="N380" s="3">
        <f>IF(Bandeja_SCTR[[#This Row],[FechaRecepcion]]="","",DATE(YEAR(Bandeja_SCTR[[#This Row],[FechaRecepcion]]),MONTH(Bandeja_SCTR[[#This Row],[FechaRecepcion]]),1))</f>
        <v>46296</v>
      </c>
      <c r="O380">
        <f>IF(Bandeja_SCTR[[#This Row],[Estado]]="FINALIZADO",1,0)</f>
        <v>1</v>
      </c>
      <c r="P380">
        <f>IF(Bandeja_SCTR[[#This Row],[CasoId]]="",0,IF(Bandeja_SCTR[[#This Row],[Estado]]="FINALIZADO",0,1))</f>
        <v>0</v>
      </c>
    </row>
    <row r="381" spans="1:16" hidden="1">
      <c r="A381" t="s">
        <v>1456</v>
      </c>
      <c r="B381" t="s">
        <v>1457</v>
      </c>
      <c r="C381" t="s">
        <v>1458</v>
      </c>
      <c r="D381" s="1">
        <v>46314.986909722225</v>
      </c>
      <c r="E381" s="1">
        <v>46315.521111111113</v>
      </c>
      <c r="F381" s="1" t="s">
        <v>96</v>
      </c>
      <c r="G381" t="s">
        <v>30</v>
      </c>
      <c r="H381" s="1">
        <v>46315.521111111113</v>
      </c>
      <c r="I381" t="s">
        <v>268</v>
      </c>
      <c r="J381" t="s">
        <v>1459</v>
      </c>
      <c r="K381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381">
        <f ca="1">IF(Bandeja_SCTR[[#This Row],[FechaRecepcion]]="","",NETWORKDAYS(INT(Bandeja_SCTR[[#This Row],[FechaRecepcion]]),IF(Bandeja_SCTR[[#This Row],[FechaCierre]]="",TODAY(),INT(Bandeja_SCTR[[#This Row],[FechaCierre]])),DIAS_NOLAB[Feriados]))</f>
        <v>2</v>
      </c>
      <c r="M381" s="2">
        <f>IF(OR(Bandeja_SCTR[[#This Row],[FechaRecepcion]]="",Bandeja_SCTR[[#This Row],[FechaCierre]]=""),"",ROUND((Bandeja_SCTR[[#This Row],[FechaCierre]]-Bandeja_SCTR[[#This Row],[FechaRecepcion]])*24,1))</f>
        <v>12.8</v>
      </c>
      <c r="N381" s="3">
        <f>IF(Bandeja_SCTR[[#This Row],[FechaRecepcion]]="","",DATE(YEAR(Bandeja_SCTR[[#This Row],[FechaRecepcion]]),MONTH(Bandeja_SCTR[[#This Row],[FechaRecepcion]]),1))</f>
        <v>46296</v>
      </c>
      <c r="O381">
        <f>IF(Bandeja_SCTR[[#This Row],[Estado]]="FINALIZADO",1,0)</f>
        <v>1</v>
      </c>
      <c r="P381">
        <f>IF(Bandeja_SCTR[[#This Row],[CasoId]]="",0,IF(Bandeja_SCTR[[#This Row],[Estado]]="FINALIZADO",0,1))</f>
        <v>0</v>
      </c>
    </row>
    <row r="382" spans="1:16" hidden="1">
      <c r="A382" t="s">
        <v>1460</v>
      </c>
      <c r="B382" t="s">
        <v>1461</v>
      </c>
      <c r="C382" t="s">
        <v>1462</v>
      </c>
      <c r="D382" s="1">
        <v>46315.255787037036</v>
      </c>
      <c r="E382" s="1">
        <v>46315.513090277775</v>
      </c>
      <c r="F382" s="1" t="s">
        <v>96</v>
      </c>
      <c r="G382" t="s">
        <v>30</v>
      </c>
      <c r="H382" s="1">
        <v>46315.513090277775</v>
      </c>
      <c r="I382" t="s">
        <v>268</v>
      </c>
      <c r="J382" t="s">
        <v>493</v>
      </c>
      <c r="K382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382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382" s="2">
        <f>IF(OR(Bandeja_SCTR[[#This Row],[FechaRecepcion]]="",Bandeja_SCTR[[#This Row],[FechaCierre]]=""),"",ROUND((Bandeja_SCTR[[#This Row],[FechaCierre]]-Bandeja_SCTR[[#This Row],[FechaRecepcion]])*24,1))</f>
        <v>6.2</v>
      </c>
      <c r="N382" s="3">
        <f>IF(Bandeja_SCTR[[#This Row],[FechaRecepcion]]="","",DATE(YEAR(Bandeja_SCTR[[#This Row],[FechaRecepcion]]),MONTH(Bandeja_SCTR[[#This Row],[FechaRecepcion]]),1))</f>
        <v>46296</v>
      </c>
      <c r="O382">
        <f>IF(Bandeja_SCTR[[#This Row],[Estado]]="FINALIZADO",1,0)</f>
        <v>1</v>
      </c>
      <c r="P382">
        <f>IF(Bandeja_SCTR[[#This Row],[CasoId]]="",0,IF(Bandeja_SCTR[[#This Row],[Estado]]="FINALIZADO",0,1))</f>
        <v>0</v>
      </c>
    </row>
    <row r="383" spans="1:16">
      <c r="A383" t="s">
        <v>1463</v>
      </c>
      <c r="B383" t="s">
        <v>1207</v>
      </c>
      <c r="C383" t="s">
        <v>1464</v>
      </c>
      <c r="D383" s="1">
        <v>46315.304560185185</v>
      </c>
      <c r="E383" s="1">
        <v>46315.304560185185</v>
      </c>
      <c r="F383" s="1" t="s">
        <v>1300</v>
      </c>
      <c r="H383" s="1"/>
      <c r="I383" t="s">
        <v>1301</v>
      </c>
      <c r="J383" t="s">
        <v>1465</v>
      </c>
      <c r="K383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1</v>
      </c>
      <c r="L383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383" s="2" t="str">
        <f>IF(OR(Bandeja_SCTR[[#This Row],[FechaRecepcion]]="",Bandeja_SCTR[[#This Row],[FechaCierre]]=""),"",ROUND((Bandeja_SCTR[[#This Row],[FechaCierre]]-Bandeja_SCTR[[#This Row],[FechaRecepcion]])*24,1))</f>
        <v/>
      </c>
      <c r="N383" s="3">
        <f>IF(Bandeja_SCTR[[#This Row],[FechaRecepcion]]="","",DATE(YEAR(Bandeja_SCTR[[#This Row],[FechaRecepcion]]),MONTH(Bandeja_SCTR[[#This Row],[FechaRecepcion]]),1))</f>
        <v>46296</v>
      </c>
      <c r="O383">
        <f>IF(Bandeja_SCTR[[#This Row],[Estado]]="FINALIZADO",1,0)</f>
        <v>0</v>
      </c>
      <c r="P383">
        <f>IF(Bandeja_SCTR[[#This Row],[CasoId]]="",0,IF(Bandeja_SCTR[[#This Row],[Estado]]="FINALIZADO",0,1))</f>
        <v>1</v>
      </c>
    </row>
    <row r="384" spans="1:16">
      <c r="A384" t="s">
        <v>1466</v>
      </c>
      <c r="B384" t="s">
        <v>1467</v>
      </c>
      <c r="C384" t="s">
        <v>1468</v>
      </c>
      <c r="D384" s="1">
        <v>46315.34239583333</v>
      </c>
      <c r="E384" s="1">
        <v>46315.343773148154</v>
      </c>
      <c r="F384" s="1" t="s">
        <v>1469</v>
      </c>
      <c r="H384" s="1"/>
      <c r="I384" t="s">
        <v>1469</v>
      </c>
      <c r="J384" t="s">
        <v>577</v>
      </c>
      <c r="K384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1</v>
      </c>
      <c r="L384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384" s="2" t="str">
        <f>IF(OR(Bandeja_SCTR[[#This Row],[FechaRecepcion]]="",Bandeja_SCTR[[#This Row],[FechaCierre]]=""),"",ROUND((Bandeja_SCTR[[#This Row],[FechaCierre]]-Bandeja_SCTR[[#This Row],[FechaRecepcion]])*24,1))</f>
        <v/>
      </c>
      <c r="N384" s="3">
        <f>IF(Bandeja_SCTR[[#This Row],[FechaRecepcion]]="","",DATE(YEAR(Bandeja_SCTR[[#This Row],[FechaRecepcion]]),MONTH(Bandeja_SCTR[[#This Row],[FechaRecepcion]]),1))</f>
        <v>46296</v>
      </c>
      <c r="O384">
        <f>IF(Bandeja_SCTR[[#This Row],[Estado]]="FINALIZADO",1,0)</f>
        <v>0</v>
      </c>
      <c r="P384">
        <f>IF(Bandeja_SCTR[[#This Row],[CasoId]]="",0,IF(Bandeja_SCTR[[#This Row],[Estado]]="FINALIZADO",0,1))</f>
        <v>1</v>
      </c>
    </row>
    <row r="385" spans="1:16">
      <c r="A385" t="s">
        <v>1470</v>
      </c>
      <c r="B385" t="s">
        <v>1471</v>
      </c>
      <c r="C385" t="s">
        <v>1472</v>
      </c>
      <c r="D385" s="1">
        <v>46315.342546296291</v>
      </c>
      <c r="E385" s="1">
        <v>46315.35737268519</v>
      </c>
      <c r="F385" s="1" t="s">
        <v>1469</v>
      </c>
      <c r="H385" s="1"/>
      <c r="I385" t="s">
        <v>1469</v>
      </c>
      <c r="K385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1</v>
      </c>
      <c r="L385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385" s="2" t="str">
        <f>IF(OR(Bandeja_SCTR[[#This Row],[FechaRecepcion]]="",Bandeja_SCTR[[#This Row],[FechaCierre]]=""),"",ROUND((Bandeja_SCTR[[#This Row],[FechaCierre]]-Bandeja_SCTR[[#This Row],[FechaRecepcion]])*24,1))</f>
        <v/>
      </c>
      <c r="N385" s="3">
        <f>IF(Bandeja_SCTR[[#This Row],[FechaRecepcion]]="","",DATE(YEAR(Bandeja_SCTR[[#This Row],[FechaRecepcion]]),MONTH(Bandeja_SCTR[[#This Row],[FechaRecepcion]]),1))</f>
        <v>46296</v>
      </c>
      <c r="O385">
        <f>IF(Bandeja_SCTR[[#This Row],[Estado]]="FINALIZADO",1,0)</f>
        <v>0</v>
      </c>
      <c r="P385">
        <f>IF(Bandeja_SCTR[[#This Row],[CasoId]]="",0,IF(Bandeja_SCTR[[#This Row],[Estado]]="FINALIZADO",0,1))</f>
        <v>1</v>
      </c>
    </row>
    <row r="386" spans="1:16">
      <c r="A386" t="s">
        <v>1473</v>
      </c>
      <c r="B386" t="s">
        <v>1474</v>
      </c>
      <c r="C386" t="s">
        <v>1475</v>
      </c>
      <c r="D386" s="1">
        <v>46315.35869212963</v>
      </c>
      <c r="E386" s="1">
        <v>46315.35869212963</v>
      </c>
      <c r="F386" s="1" t="s">
        <v>709</v>
      </c>
      <c r="H386" s="1"/>
      <c r="I386" t="s">
        <v>550</v>
      </c>
      <c r="K386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1</v>
      </c>
      <c r="L386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386" s="2" t="str">
        <f>IF(OR(Bandeja_SCTR[[#This Row],[FechaRecepcion]]="",Bandeja_SCTR[[#This Row],[FechaCierre]]=""),"",ROUND((Bandeja_SCTR[[#This Row],[FechaCierre]]-Bandeja_SCTR[[#This Row],[FechaRecepcion]])*24,1))</f>
        <v/>
      </c>
      <c r="N386" s="3">
        <f>IF(Bandeja_SCTR[[#This Row],[FechaRecepcion]]="","",DATE(YEAR(Bandeja_SCTR[[#This Row],[FechaRecepcion]]),MONTH(Bandeja_SCTR[[#This Row],[FechaRecepcion]]),1))</f>
        <v>46296</v>
      </c>
      <c r="O386">
        <f>IF(Bandeja_SCTR[[#This Row],[Estado]]="FINALIZADO",1,0)</f>
        <v>0</v>
      </c>
      <c r="P386">
        <f>IF(Bandeja_SCTR[[#This Row],[CasoId]]="",0,IF(Bandeja_SCTR[[#This Row],[Estado]]="FINALIZADO",0,1))</f>
        <v>1</v>
      </c>
    </row>
    <row r="387" spans="1:16">
      <c r="A387" t="s">
        <v>1476</v>
      </c>
      <c r="B387" t="s">
        <v>1346</v>
      </c>
      <c r="C387" t="s">
        <v>1477</v>
      </c>
      <c r="D387" s="1">
        <v>46315.368437500001</v>
      </c>
      <c r="E387" s="1">
        <v>46315.368437500001</v>
      </c>
      <c r="F387" s="1" t="s">
        <v>1478</v>
      </c>
      <c r="H387" s="1"/>
      <c r="I387" t="s">
        <v>1478</v>
      </c>
      <c r="J387" t="s">
        <v>1479</v>
      </c>
      <c r="K387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1</v>
      </c>
      <c r="L387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387" s="2" t="str">
        <f>IF(OR(Bandeja_SCTR[[#This Row],[FechaRecepcion]]="",Bandeja_SCTR[[#This Row],[FechaCierre]]=""),"",ROUND((Bandeja_SCTR[[#This Row],[FechaCierre]]-Bandeja_SCTR[[#This Row],[FechaRecepcion]])*24,1))</f>
        <v/>
      </c>
      <c r="N387" s="3">
        <f>IF(Bandeja_SCTR[[#This Row],[FechaRecepcion]]="","",DATE(YEAR(Bandeja_SCTR[[#This Row],[FechaRecepcion]]),MONTH(Bandeja_SCTR[[#This Row],[FechaRecepcion]]),1))</f>
        <v>46296</v>
      </c>
      <c r="O387">
        <f>IF(Bandeja_SCTR[[#This Row],[Estado]]="FINALIZADO",1,0)</f>
        <v>0</v>
      </c>
      <c r="P387">
        <f>IF(Bandeja_SCTR[[#This Row],[CasoId]]="",0,IF(Bandeja_SCTR[[#This Row],[Estado]]="FINALIZADO",0,1))</f>
        <v>1</v>
      </c>
    </row>
    <row r="388" spans="1:16">
      <c r="A388" t="s">
        <v>1480</v>
      </c>
      <c r="B388" t="s">
        <v>1481</v>
      </c>
      <c r="C388" t="s">
        <v>1482</v>
      </c>
      <c r="D388" s="1">
        <v>46315.385092592594</v>
      </c>
      <c r="E388" s="1">
        <v>46315.385092592594</v>
      </c>
      <c r="F388" s="1" t="s">
        <v>1483</v>
      </c>
      <c r="H388" s="1"/>
      <c r="I388" t="s">
        <v>1305</v>
      </c>
      <c r="J388" t="s">
        <v>620</v>
      </c>
      <c r="K388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1</v>
      </c>
      <c r="L388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388" s="2" t="str">
        <f>IF(OR(Bandeja_SCTR[[#This Row],[FechaRecepcion]]="",Bandeja_SCTR[[#This Row],[FechaCierre]]=""),"",ROUND((Bandeja_SCTR[[#This Row],[FechaCierre]]-Bandeja_SCTR[[#This Row],[FechaRecepcion]])*24,1))</f>
        <v/>
      </c>
      <c r="N388" s="3">
        <f>IF(Bandeja_SCTR[[#This Row],[FechaRecepcion]]="","",DATE(YEAR(Bandeja_SCTR[[#This Row],[FechaRecepcion]]),MONTH(Bandeja_SCTR[[#This Row],[FechaRecepcion]]),1))</f>
        <v>46296</v>
      </c>
      <c r="O388">
        <f>IF(Bandeja_SCTR[[#This Row],[Estado]]="FINALIZADO",1,0)</f>
        <v>0</v>
      </c>
      <c r="P388">
        <f>IF(Bandeja_SCTR[[#This Row],[CasoId]]="",0,IF(Bandeja_SCTR[[#This Row],[Estado]]="FINALIZADO",0,1))</f>
        <v>1</v>
      </c>
    </row>
    <row r="389" spans="1:16">
      <c r="A389" t="s">
        <v>1484</v>
      </c>
      <c r="B389" t="s">
        <v>1485</v>
      </c>
      <c r="C389" t="s">
        <v>1486</v>
      </c>
      <c r="D389" s="1">
        <v>46315.387361111112</v>
      </c>
      <c r="E389" s="1">
        <v>46315.411238425921</v>
      </c>
      <c r="F389" s="1" t="s">
        <v>150</v>
      </c>
      <c r="I389" t="s">
        <v>150</v>
      </c>
      <c r="K389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1</v>
      </c>
      <c r="L389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389" s="2" t="str">
        <f>IF(OR(Bandeja_SCTR[[#This Row],[FechaRecepcion]]="",Bandeja_SCTR[[#This Row],[FechaCierre]]=""),"",ROUND((Bandeja_SCTR[[#This Row],[FechaCierre]]-Bandeja_SCTR[[#This Row],[FechaRecepcion]])*24,1))</f>
        <v/>
      </c>
      <c r="N389" s="3">
        <f>IF(Bandeja_SCTR[[#This Row],[FechaRecepcion]]="","",DATE(YEAR(Bandeja_SCTR[[#This Row],[FechaRecepcion]]),MONTH(Bandeja_SCTR[[#This Row],[FechaRecepcion]]),1))</f>
        <v>46296</v>
      </c>
      <c r="O389">
        <f>IF(Bandeja_SCTR[[#This Row],[Estado]]="FINALIZADO",1,0)</f>
        <v>0</v>
      </c>
      <c r="P389">
        <f>IF(Bandeja_SCTR[[#This Row],[CasoId]]="",0,IF(Bandeja_SCTR[[#This Row],[Estado]]="FINALIZADO",0,1))</f>
        <v>1</v>
      </c>
    </row>
    <row r="390" spans="1:16" hidden="1">
      <c r="A390" t="s">
        <v>1487</v>
      </c>
      <c r="B390" t="s">
        <v>1488</v>
      </c>
      <c r="C390" t="s">
        <v>1489</v>
      </c>
      <c r="D390" s="1">
        <v>46315.391377314816</v>
      </c>
      <c r="E390" s="1">
        <v>46315.507048611107</v>
      </c>
      <c r="F390" s="1" t="s">
        <v>96</v>
      </c>
      <c r="G390" t="s">
        <v>30</v>
      </c>
      <c r="H390" s="1">
        <v>46315.507048611107</v>
      </c>
      <c r="I390" t="s">
        <v>268</v>
      </c>
      <c r="J390" t="s">
        <v>1490</v>
      </c>
      <c r="K390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390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390" s="2">
        <f>IF(OR(Bandeja_SCTR[[#This Row],[FechaRecepcion]]="",Bandeja_SCTR[[#This Row],[FechaCierre]]=""),"",ROUND((Bandeja_SCTR[[#This Row],[FechaCierre]]-Bandeja_SCTR[[#This Row],[FechaRecepcion]])*24,1))</f>
        <v>2.8</v>
      </c>
      <c r="N390" s="3">
        <f>IF(Bandeja_SCTR[[#This Row],[FechaRecepcion]]="","",DATE(YEAR(Bandeja_SCTR[[#This Row],[FechaRecepcion]]),MONTH(Bandeja_SCTR[[#This Row],[FechaRecepcion]]),1))</f>
        <v>46296</v>
      </c>
      <c r="O390">
        <f>IF(Bandeja_SCTR[[#This Row],[Estado]]="FINALIZADO",1,0)</f>
        <v>1</v>
      </c>
      <c r="P390">
        <f>IF(Bandeja_SCTR[[#This Row],[CasoId]]="",0,IF(Bandeja_SCTR[[#This Row],[Estado]]="FINALIZADO",0,1))</f>
        <v>0</v>
      </c>
    </row>
    <row r="391" spans="1:16" hidden="1">
      <c r="A391" t="s">
        <v>1491</v>
      </c>
      <c r="B391" t="s">
        <v>1492</v>
      </c>
      <c r="C391" t="s">
        <v>1493</v>
      </c>
      <c r="D391" s="1">
        <v>46315.392511574071</v>
      </c>
      <c r="E391" s="1">
        <v>46315.504212962958</v>
      </c>
      <c r="F391" s="1" t="s">
        <v>96</v>
      </c>
      <c r="G391" t="s">
        <v>30</v>
      </c>
      <c r="H391" s="1">
        <v>46315.504212962958</v>
      </c>
      <c r="I391" t="s">
        <v>268</v>
      </c>
      <c r="K391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391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391" s="2">
        <f>IF(OR(Bandeja_SCTR[[#This Row],[FechaRecepcion]]="",Bandeja_SCTR[[#This Row],[FechaCierre]]=""),"",ROUND((Bandeja_SCTR[[#This Row],[FechaCierre]]-Bandeja_SCTR[[#This Row],[FechaRecepcion]])*24,1))</f>
        <v>2.7</v>
      </c>
      <c r="N391" s="3">
        <f>IF(Bandeja_SCTR[[#This Row],[FechaRecepcion]]="","",DATE(YEAR(Bandeja_SCTR[[#This Row],[FechaRecepcion]]),MONTH(Bandeja_SCTR[[#This Row],[FechaRecepcion]]),1))</f>
        <v>46296</v>
      </c>
      <c r="O391">
        <f>IF(Bandeja_SCTR[[#This Row],[Estado]]="FINALIZADO",1,0)</f>
        <v>1</v>
      </c>
      <c r="P391">
        <f>IF(Bandeja_SCTR[[#This Row],[CasoId]]="",0,IF(Bandeja_SCTR[[#This Row],[Estado]]="FINALIZADO",0,1))</f>
        <v>0</v>
      </c>
    </row>
    <row r="392" spans="1:16" hidden="1">
      <c r="A392" t="s">
        <v>1494</v>
      </c>
      <c r="B392" t="s">
        <v>1495</v>
      </c>
      <c r="C392" t="s">
        <v>1496</v>
      </c>
      <c r="D392" s="1">
        <v>46315.393935185188</v>
      </c>
      <c r="E392" s="1">
        <v>46315.502662037034</v>
      </c>
      <c r="F392" s="1" t="s">
        <v>96</v>
      </c>
      <c r="G392" t="s">
        <v>30</v>
      </c>
      <c r="H392" s="1">
        <v>46315.502662037034</v>
      </c>
      <c r="I392" t="s">
        <v>268</v>
      </c>
      <c r="K392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392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392" s="2">
        <f>IF(OR(Bandeja_SCTR[[#This Row],[FechaRecepcion]]="",Bandeja_SCTR[[#This Row],[FechaCierre]]=""),"",ROUND((Bandeja_SCTR[[#This Row],[FechaCierre]]-Bandeja_SCTR[[#This Row],[FechaRecepcion]])*24,1))</f>
        <v>2.6</v>
      </c>
      <c r="N392" s="3">
        <f>IF(Bandeja_SCTR[[#This Row],[FechaRecepcion]]="","",DATE(YEAR(Bandeja_SCTR[[#This Row],[FechaRecepcion]]),MONTH(Bandeja_SCTR[[#This Row],[FechaRecepcion]]),1))</f>
        <v>46296</v>
      </c>
      <c r="O392">
        <f>IF(Bandeja_SCTR[[#This Row],[Estado]]="FINALIZADO",1,0)</f>
        <v>1</v>
      </c>
      <c r="P392">
        <f>IF(Bandeja_SCTR[[#This Row],[CasoId]]="",0,IF(Bandeja_SCTR[[#This Row],[Estado]]="FINALIZADO",0,1))</f>
        <v>0</v>
      </c>
    </row>
    <row r="393" spans="1:16">
      <c r="A393" t="s">
        <v>1497</v>
      </c>
      <c r="B393" t="s">
        <v>1319</v>
      </c>
      <c r="C393" t="s">
        <v>1369</v>
      </c>
      <c r="D393" s="1">
        <v>46315.39708333333</v>
      </c>
      <c r="E393" s="1">
        <v>46315.397905092592</v>
      </c>
      <c r="F393" s="1" t="s">
        <v>1498</v>
      </c>
      <c r="H393" s="1"/>
      <c r="I393" t="s">
        <v>1498</v>
      </c>
      <c r="J393" t="s">
        <v>1499</v>
      </c>
      <c r="K393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1</v>
      </c>
      <c r="L393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393" s="2" t="str">
        <f>IF(OR(Bandeja_SCTR[[#This Row],[FechaRecepcion]]="",Bandeja_SCTR[[#This Row],[FechaCierre]]=""),"",ROUND((Bandeja_SCTR[[#This Row],[FechaCierre]]-Bandeja_SCTR[[#This Row],[FechaRecepcion]])*24,1))</f>
        <v/>
      </c>
      <c r="N393" s="3">
        <f>IF(Bandeja_SCTR[[#This Row],[FechaRecepcion]]="","",DATE(YEAR(Bandeja_SCTR[[#This Row],[FechaRecepcion]]),MONTH(Bandeja_SCTR[[#This Row],[FechaRecepcion]]),1))</f>
        <v>46296</v>
      </c>
      <c r="O393">
        <f>IF(Bandeja_SCTR[[#This Row],[Estado]]="FINALIZADO",1,0)</f>
        <v>0</v>
      </c>
      <c r="P393">
        <f>IF(Bandeja_SCTR[[#This Row],[CasoId]]="",0,IF(Bandeja_SCTR[[#This Row],[Estado]]="FINALIZADO",0,1))</f>
        <v>1</v>
      </c>
    </row>
    <row r="394" spans="1:16" hidden="1">
      <c r="A394" t="s">
        <v>1500</v>
      </c>
      <c r="B394" t="s">
        <v>1501</v>
      </c>
      <c r="C394" t="s">
        <v>1502</v>
      </c>
      <c r="D394" s="1">
        <v>46315.398831018523</v>
      </c>
      <c r="E394" s="1">
        <v>46315.45410206019</v>
      </c>
      <c r="F394" s="1" t="s">
        <v>1503</v>
      </c>
      <c r="G394" t="s">
        <v>30</v>
      </c>
      <c r="H394" s="1">
        <v>46315.45410206019</v>
      </c>
      <c r="I394" t="s">
        <v>268</v>
      </c>
      <c r="J394" t="s">
        <v>1504</v>
      </c>
      <c r="K394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394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394" s="2">
        <f>IF(OR(Bandeja_SCTR[[#This Row],[FechaRecepcion]]="",Bandeja_SCTR[[#This Row],[FechaCierre]]=""),"",ROUND((Bandeja_SCTR[[#This Row],[FechaCierre]]-Bandeja_SCTR[[#This Row],[FechaRecepcion]])*24,1))</f>
        <v>1.3</v>
      </c>
      <c r="N394" s="3">
        <f>IF(Bandeja_SCTR[[#This Row],[FechaRecepcion]]="","",DATE(YEAR(Bandeja_SCTR[[#This Row],[FechaRecepcion]]),MONTH(Bandeja_SCTR[[#This Row],[FechaRecepcion]]),1))</f>
        <v>46296</v>
      </c>
      <c r="O394">
        <f>IF(Bandeja_SCTR[[#This Row],[Estado]]="FINALIZADO",1,0)</f>
        <v>1</v>
      </c>
      <c r="P394">
        <f>IF(Bandeja_SCTR[[#This Row],[CasoId]]="",0,IF(Bandeja_SCTR[[#This Row],[Estado]]="FINALIZADO",0,1))</f>
        <v>0</v>
      </c>
    </row>
    <row r="395" spans="1:16">
      <c r="A395" t="s">
        <v>1505</v>
      </c>
      <c r="B395" t="s">
        <v>1506</v>
      </c>
      <c r="C395" t="s">
        <v>1507</v>
      </c>
      <c r="D395" s="1">
        <v>46315.4</v>
      </c>
      <c r="E395" s="1">
        <v>46315.654583333337</v>
      </c>
      <c r="F395" s="1" t="s">
        <v>1508</v>
      </c>
      <c r="H395" s="1"/>
      <c r="I395" t="s">
        <v>1508</v>
      </c>
      <c r="J395" t="s">
        <v>1509</v>
      </c>
      <c r="K395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1</v>
      </c>
      <c r="L395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395" s="2" t="str">
        <f>IF(OR(Bandeja_SCTR[[#This Row],[FechaRecepcion]]="",Bandeja_SCTR[[#This Row],[FechaCierre]]=""),"",ROUND((Bandeja_SCTR[[#This Row],[FechaCierre]]-Bandeja_SCTR[[#This Row],[FechaRecepcion]])*24,1))</f>
        <v/>
      </c>
      <c r="N395" s="3">
        <f>IF(Bandeja_SCTR[[#This Row],[FechaRecepcion]]="","",DATE(YEAR(Bandeja_SCTR[[#This Row],[FechaRecepcion]]),MONTH(Bandeja_SCTR[[#This Row],[FechaRecepcion]]),1))</f>
        <v>46296</v>
      </c>
      <c r="O395">
        <f>IF(Bandeja_SCTR[[#This Row],[Estado]]="FINALIZADO",1,0)</f>
        <v>0</v>
      </c>
      <c r="P395">
        <f>IF(Bandeja_SCTR[[#This Row],[CasoId]]="",0,IF(Bandeja_SCTR[[#This Row],[Estado]]="FINALIZADO",0,1))</f>
        <v>1</v>
      </c>
    </row>
    <row r="396" spans="1:16" hidden="1">
      <c r="A396" t="s">
        <v>1510</v>
      </c>
      <c r="B396" t="s">
        <v>1511</v>
      </c>
      <c r="C396" t="s">
        <v>1512</v>
      </c>
      <c r="D396" s="1">
        <v>46315.403773148151</v>
      </c>
      <c r="E396" s="1">
        <v>46315.477800925924</v>
      </c>
      <c r="F396" s="1" t="s">
        <v>96</v>
      </c>
      <c r="G396" t="s">
        <v>30</v>
      </c>
      <c r="H396" s="1">
        <v>46315.477800925924</v>
      </c>
      <c r="I396" t="s">
        <v>97</v>
      </c>
      <c r="J396" t="s">
        <v>530</v>
      </c>
      <c r="K396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396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396" s="2">
        <f>IF(OR(Bandeja_SCTR[[#This Row],[FechaRecepcion]]="",Bandeja_SCTR[[#This Row],[FechaCierre]]=""),"",ROUND((Bandeja_SCTR[[#This Row],[FechaCierre]]-Bandeja_SCTR[[#This Row],[FechaRecepcion]])*24,1))</f>
        <v>1.8</v>
      </c>
      <c r="N396" s="3">
        <f>IF(Bandeja_SCTR[[#This Row],[FechaRecepcion]]="","",DATE(YEAR(Bandeja_SCTR[[#This Row],[FechaRecepcion]]),MONTH(Bandeja_SCTR[[#This Row],[FechaRecepcion]]),1))</f>
        <v>46296</v>
      </c>
      <c r="O396">
        <f>IF(Bandeja_SCTR[[#This Row],[Estado]]="FINALIZADO",1,0)</f>
        <v>1</v>
      </c>
      <c r="P396">
        <f>IF(Bandeja_SCTR[[#This Row],[CasoId]]="",0,IF(Bandeja_SCTR[[#This Row],[Estado]]="FINALIZADO",0,1))</f>
        <v>0</v>
      </c>
    </row>
    <row r="397" spans="1:16" hidden="1">
      <c r="A397" t="s">
        <v>1513</v>
      </c>
      <c r="B397" t="s">
        <v>1514</v>
      </c>
      <c r="C397" t="s">
        <v>1515</v>
      </c>
      <c r="D397" s="1">
        <v>46315.410393518519</v>
      </c>
      <c r="E397" s="1">
        <v>46315.410393518519</v>
      </c>
      <c r="F397" s="1" t="s">
        <v>956</v>
      </c>
      <c r="G397" t="s">
        <v>30</v>
      </c>
      <c r="H397" s="1">
        <v>46315.479040150458</v>
      </c>
      <c r="I397" t="s">
        <v>268</v>
      </c>
      <c r="J397" t="s">
        <v>1516</v>
      </c>
      <c r="K397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397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397" s="2">
        <f>IF(OR(Bandeja_SCTR[[#This Row],[FechaRecepcion]]="",Bandeja_SCTR[[#This Row],[FechaCierre]]=""),"",ROUND((Bandeja_SCTR[[#This Row],[FechaCierre]]-Bandeja_SCTR[[#This Row],[FechaRecepcion]])*24,1))</f>
        <v>1.6</v>
      </c>
      <c r="N397" s="3">
        <f>IF(Bandeja_SCTR[[#This Row],[FechaRecepcion]]="","",DATE(YEAR(Bandeja_SCTR[[#This Row],[FechaRecepcion]]),MONTH(Bandeja_SCTR[[#This Row],[FechaRecepcion]]),1))</f>
        <v>46296</v>
      </c>
      <c r="O397">
        <f>IF(Bandeja_SCTR[[#This Row],[Estado]]="FINALIZADO",1,0)</f>
        <v>1</v>
      </c>
      <c r="P397">
        <f>IF(Bandeja_SCTR[[#This Row],[CasoId]]="",0,IF(Bandeja_SCTR[[#This Row],[Estado]]="FINALIZADO",0,1))</f>
        <v>0</v>
      </c>
    </row>
    <row r="398" spans="1:16" hidden="1">
      <c r="A398" t="s">
        <v>1517</v>
      </c>
      <c r="B398" t="s">
        <v>841</v>
      </c>
      <c r="C398" t="s">
        <v>1518</v>
      </c>
      <c r="D398" s="1">
        <v>46315.414606481485</v>
      </c>
      <c r="E398" s="1">
        <v>46315.446998275467</v>
      </c>
      <c r="F398" s="1" t="s">
        <v>1503</v>
      </c>
      <c r="G398" t="s">
        <v>30</v>
      </c>
      <c r="H398" s="1">
        <v>46315.446998275467</v>
      </c>
      <c r="I398" t="s">
        <v>268</v>
      </c>
      <c r="J398" t="s">
        <v>1519</v>
      </c>
      <c r="K398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398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398" s="2">
        <f>IF(OR(Bandeja_SCTR[[#This Row],[FechaRecepcion]]="",Bandeja_SCTR[[#This Row],[FechaCierre]]=""),"",ROUND((Bandeja_SCTR[[#This Row],[FechaCierre]]-Bandeja_SCTR[[#This Row],[FechaRecepcion]])*24,1))</f>
        <v>0.8</v>
      </c>
      <c r="N398" s="3">
        <f>IF(Bandeja_SCTR[[#This Row],[FechaRecepcion]]="","",DATE(YEAR(Bandeja_SCTR[[#This Row],[FechaRecepcion]]),MONTH(Bandeja_SCTR[[#This Row],[FechaRecepcion]]),1))</f>
        <v>46296</v>
      </c>
      <c r="O398">
        <f>IF(Bandeja_SCTR[[#This Row],[Estado]]="FINALIZADO",1,0)</f>
        <v>1</v>
      </c>
      <c r="P398">
        <f>IF(Bandeja_SCTR[[#This Row],[CasoId]]="",0,IF(Bandeja_SCTR[[#This Row],[Estado]]="FINALIZADO",0,1))</f>
        <v>0</v>
      </c>
    </row>
    <row r="399" spans="1:16" hidden="1">
      <c r="A399" t="s">
        <v>1520</v>
      </c>
      <c r="B399" t="s">
        <v>1521</v>
      </c>
      <c r="C399" t="s">
        <v>1522</v>
      </c>
      <c r="D399" s="1">
        <v>46315.425486111111</v>
      </c>
      <c r="E399" s="1">
        <v>46315.428912037038</v>
      </c>
      <c r="F399" s="1" t="s">
        <v>96</v>
      </c>
      <c r="G399" t="s">
        <v>30</v>
      </c>
      <c r="H399" s="1">
        <v>46315.428912037038</v>
      </c>
      <c r="I399" t="s">
        <v>268</v>
      </c>
      <c r="J399" t="s">
        <v>1523</v>
      </c>
      <c r="K399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399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399" s="2">
        <f>IF(OR(Bandeja_SCTR[[#This Row],[FechaRecepcion]]="",Bandeja_SCTR[[#This Row],[FechaCierre]]=""),"",ROUND((Bandeja_SCTR[[#This Row],[FechaCierre]]-Bandeja_SCTR[[#This Row],[FechaRecepcion]])*24,1))</f>
        <v>0.1</v>
      </c>
      <c r="N399" s="3">
        <f>IF(Bandeja_SCTR[[#This Row],[FechaRecepcion]]="","",DATE(YEAR(Bandeja_SCTR[[#This Row],[FechaRecepcion]]),MONTH(Bandeja_SCTR[[#This Row],[FechaRecepcion]]),1))</f>
        <v>46296</v>
      </c>
      <c r="O399">
        <f>IF(Bandeja_SCTR[[#This Row],[Estado]]="FINALIZADO",1,0)</f>
        <v>1</v>
      </c>
      <c r="P399">
        <f>IF(Bandeja_SCTR[[#This Row],[CasoId]]="",0,IF(Bandeja_SCTR[[#This Row],[Estado]]="FINALIZADO",0,1))</f>
        <v>0</v>
      </c>
    </row>
    <row r="400" spans="1:16">
      <c r="A400" t="s">
        <v>1524</v>
      </c>
      <c r="B400" t="s">
        <v>1525</v>
      </c>
      <c r="C400" t="s">
        <v>1526</v>
      </c>
      <c r="D400" s="1">
        <v>46315.442384259259</v>
      </c>
      <c r="E400" s="1">
        <v>46315.442384259259</v>
      </c>
      <c r="F400" s="1" t="s">
        <v>144</v>
      </c>
      <c r="H400" s="1"/>
      <c r="I400" t="s">
        <v>210</v>
      </c>
      <c r="J400" t="s">
        <v>534</v>
      </c>
      <c r="K400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1</v>
      </c>
      <c r="L400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400" s="2" t="str">
        <f>IF(OR(Bandeja_SCTR[[#This Row],[FechaRecepcion]]="",Bandeja_SCTR[[#This Row],[FechaCierre]]=""),"",ROUND((Bandeja_SCTR[[#This Row],[FechaCierre]]-Bandeja_SCTR[[#This Row],[FechaRecepcion]])*24,1))</f>
        <v/>
      </c>
      <c r="N400" s="3">
        <f>IF(Bandeja_SCTR[[#This Row],[FechaRecepcion]]="","",DATE(YEAR(Bandeja_SCTR[[#This Row],[FechaRecepcion]]),MONTH(Bandeja_SCTR[[#This Row],[FechaRecepcion]]),1))</f>
        <v>46296</v>
      </c>
      <c r="O400">
        <f>IF(Bandeja_SCTR[[#This Row],[Estado]]="FINALIZADO",1,0)</f>
        <v>0</v>
      </c>
      <c r="P400">
        <f>IF(Bandeja_SCTR[[#This Row],[CasoId]]="",0,IF(Bandeja_SCTR[[#This Row],[Estado]]="FINALIZADO",0,1))</f>
        <v>1</v>
      </c>
    </row>
    <row r="401" spans="1:16">
      <c r="A401" t="s">
        <v>1527</v>
      </c>
      <c r="B401" t="s">
        <v>1323</v>
      </c>
      <c r="C401" t="s">
        <v>1528</v>
      </c>
      <c r="D401" s="1">
        <v>46315.442719907413</v>
      </c>
      <c r="E401" s="1">
        <v>46315.48164351852</v>
      </c>
      <c r="F401" s="1" t="s">
        <v>1529</v>
      </c>
      <c r="H401" s="1"/>
      <c r="I401" t="s">
        <v>1529</v>
      </c>
      <c r="J401" t="s">
        <v>1530</v>
      </c>
      <c r="K401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1</v>
      </c>
      <c r="L401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401" s="2" t="str">
        <f>IF(OR(Bandeja_SCTR[[#This Row],[FechaRecepcion]]="",Bandeja_SCTR[[#This Row],[FechaCierre]]=""),"",ROUND((Bandeja_SCTR[[#This Row],[FechaCierre]]-Bandeja_SCTR[[#This Row],[FechaRecepcion]])*24,1))</f>
        <v/>
      </c>
      <c r="N401" s="3">
        <f>IF(Bandeja_SCTR[[#This Row],[FechaRecepcion]]="","",DATE(YEAR(Bandeja_SCTR[[#This Row],[FechaRecepcion]]),MONTH(Bandeja_SCTR[[#This Row],[FechaRecepcion]]),1))</f>
        <v>46296</v>
      </c>
      <c r="O401">
        <f>IF(Bandeja_SCTR[[#This Row],[Estado]]="FINALIZADO",1,0)</f>
        <v>0</v>
      </c>
      <c r="P401">
        <f>IF(Bandeja_SCTR[[#This Row],[CasoId]]="",0,IF(Bandeja_SCTR[[#This Row],[Estado]]="FINALIZADO",0,1))</f>
        <v>1</v>
      </c>
    </row>
    <row r="402" spans="1:16">
      <c r="A402" t="s">
        <v>1531</v>
      </c>
      <c r="B402" t="s">
        <v>1419</v>
      </c>
      <c r="C402" t="s">
        <v>1532</v>
      </c>
      <c r="D402" s="1">
        <v>46315.447777777779</v>
      </c>
      <c r="E402" s="1">
        <v>46315.452199074076</v>
      </c>
      <c r="F402" s="1" t="s">
        <v>91</v>
      </c>
      <c r="H402" s="1"/>
      <c r="I402" t="s">
        <v>91</v>
      </c>
      <c r="J402" t="s">
        <v>1533</v>
      </c>
      <c r="K402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1</v>
      </c>
      <c r="L402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402" s="2" t="str">
        <f>IF(OR(Bandeja_SCTR[[#This Row],[FechaRecepcion]]="",Bandeja_SCTR[[#This Row],[FechaCierre]]=""),"",ROUND((Bandeja_SCTR[[#This Row],[FechaCierre]]-Bandeja_SCTR[[#This Row],[FechaRecepcion]])*24,1))</f>
        <v/>
      </c>
      <c r="N402" s="3">
        <f>IF(Bandeja_SCTR[[#This Row],[FechaRecepcion]]="","",DATE(YEAR(Bandeja_SCTR[[#This Row],[FechaRecepcion]]),MONTH(Bandeja_SCTR[[#This Row],[FechaRecepcion]]),1))</f>
        <v>46296</v>
      </c>
      <c r="O402">
        <f>IF(Bandeja_SCTR[[#This Row],[Estado]]="FINALIZADO",1,0)</f>
        <v>0</v>
      </c>
      <c r="P402">
        <f>IF(Bandeja_SCTR[[#This Row],[CasoId]]="",0,IF(Bandeja_SCTR[[#This Row],[Estado]]="FINALIZADO",0,1))</f>
        <v>1</v>
      </c>
    </row>
    <row r="403" spans="1:16" hidden="1">
      <c r="A403" t="s">
        <v>1534</v>
      </c>
      <c r="B403" t="s">
        <v>1535</v>
      </c>
      <c r="C403" t="s">
        <v>1536</v>
      </c>
      <c r="D403" s="1">
        <v>46315.453553240739</v>
      </c>
      <c r="E403" s="1">
        <v>46315.494398148148</v>
      </c>
      <c r="F403" s="1" t="s">
        <v>96</v>
      </c>
      <c r="G403" t="s">
        <v>30</v>
      </c>
      <c r="H403" s="1">
        <v>46315.494398148148</v>
      </c>
      <c r="I403" t="s">
        <v>268</v>
      </c>
      <c r="K403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403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403" s="2">
        <f>IF(OR(Bandeja_SCTR[[#This Row],[FechaRecepcion]]="",Bandeja_SCTR[[#This Row],[FechaCierre]]=""),"",ROUND((Bandeja_SCTR[[#This Row],[FechaCierre]]-Bandeja_SCTR[[#This Row],[FechaRecepcion]])*24,1))</f>
        <v>1</v>
      </c>
      <c r="N403" s="3">
        <f>IF(Bandeja_SCTR[[#This Row],[FechaRecepcion]]="","",DATE(YEAR(Bandeja_SCTR[[#This Row],[FechaRecepcion]]),MONTH(Bandeja_SCTR[[#This Row],[FechaRecepcion]]),1))</f>
        <v>46296</v>
      </c>
      <c r="O403">
        <f>IF(Bandeja_SCTR[[#This Row],[Estado]]="FINALIZADO",1,0)</f>
        <v>1</v>
      </c>
      <c r="P403">
        <f>IF(Bandeja_SCTR[[#This Row],[CasoId]]="",0,IF(Bandeja_SCTR[[#This Row],[Estado]]="FINALIZADO",0,1))</f>
        <v>0</v>
      </c>
    </row>
    <row r="404" spans="1:16">
      <c r="A404" t="s">
        <v>1537</v>
      </c>
      <c r="B404" t="s">
        <v>1538</v>
      </c>
      <c r="C404" t="s">
        <v>1539</v>
      </c>
      <c r="D404" s="1">
        <v>46315.454351851848</v>
      </c>
      <c r="E404" s="1">
        <v>46315.454351851848</v>
      </c>
      <c r="F404" s="1" t="s">
        <v>1540</v>
      </c>
      <c r="H404" s="1"/>
      <c r="I404" t="s">
        <v>1541</v>
      </c>
      <c r="K404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1</v>
      </c>
      <c r="L404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404" s="2" t="str">
        <f>IF(OR(Bandeja_SCTR[[#This Row],[FechaRecepcion]]="",Bandeja_SCTR[[#This Row],[FechaCierre]]=""),"",ROUND((Bandeja_SCTR[[#This Row],[FechaCierre]]-Bandeja_SCTR[[#This Row],[FechaRecepcion]])*24,1))</f>
        <v/>
      </c>
      <c r="N404" s="3">
        <f>IF(Bandeja_SCTR[[#This Row],[FechaRecepcion]]="","",DATE(YEAR(Bandeja_SCTR[[#This Row],[FechaRecepcion]]),MONTH(Bandeja_SCTR[[#This Row],[FechaRecepcion]]),1))</f>
        <v>46296</v>
      </c>
      <c r="O404">
        <f>IF(Bandeja_SCTR[[#This Row],[Estado]]="FINALIZADO",1,0)</f>
        <v>0</v>
      </c>
      <c r="P404">
        <f>IF(Bandeja_SCTR[[#This Row],[CasoId]]="",0,IF(Bandeja_SCTR[[#This Row],[Estado]]="FINALIZADO",0,1))</f>
        <v>1</v>
      </c>
    </row>
    <row r="405" spans="1:16" hidden="1">
      <c r="A405" t="s">
        <v>1542</v>
      </c>
      <c r="B405" t="s">
        <v>1543</v>
      </c>
      <c r="C405" t="s">
        <v>1544</v>
      </c>
      <c r="D405" s="1">
        <v>46315.454895833333</v>
      </c>
      <c r="E405" s="1">
        <v>46315.493692129632</v>
      </c>
      <c r="F405" s="1" t="s">
        <v>96</v>
      </c>
      <c r="G405" t="s">
        <v>30</v>
      </c>
      <c r="H405" s="1">
        <v>46315.493692129632</v>
      </c>
      <c r="I405" t="s">
        <v>268</v>
      </c>
      <c r="K405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405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405" s="2">
        <f>IF(OR(Bandeja_SCTR[[#This Row],[FechaRecepcion]]="",Bandeja_SCTR[[#This Row],[FechaCierre]]=""),"",ROUND((Bandeja_SCTR[[#This Row],[FechaCierre]]-Bandeja_SCTR[[#This Row],[FechaRecepcion]])*24,1))</f>
        <v>0.9</v>
      </c>
      <c r="N405" s="3">
        <f>IF(Bandeja_SCTR[[#This Row],[FechaRecepcion]]="","",DATE(YEAR(Bandeja_SCTR[[#This Row],[FechaRecepcion]]),MONTH(Bandeja_SCTR[[#This Row],[FechaRecepcion]]),1))</f>
        <v>46296</v>
      </c>
      <c r="O405">
        <f>IF(Bandeja_SCTR[[#This Row],[Estado]]="FINALIZADO",1,0)</f>
        <v>1</v>
      </c>
      <c r="P405">
        <f>IF(Bandeja_SCTR[[#This Row],[CasoId]]="",0,IF(Bandeja_SCTR[[#This Row],[Estado]]="FINALIZADO",0,1))</f>
        <v>0</v>
      </c>
    </row>
    <row r="406" spans="1:16" hidden="1">
      <c r="A406" t="s">
        <v>1545</v>
      </c>
      <c r="B406" t="s">
        <v>1546</v>
      </c>
      <c r="C406" t="s">
        <v>1547</v>
      </c>
      <c r="D406" s="1">
        <v>46315.456909722227</v>
      </c>
      <c r="E406" s="1">
        <v>46315.492569444439</v>
      </c>
      <c r="F406" s="1" t="s">
        <v>96</v>
      </c>
      <c r="G406" t="s">
        <v>30</v>
      </c>
      <c r="H406" s="1">
        <v>46315.492569444439</v>
      </c>
      <c r="I406" t="s">
        <v>268</v>
      </c>
      <c r="K406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406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406" s="2">
        <f>IF(OR(Bandeja_SCTR[[#This Row],[FechaRecepcion]]="",Bandeja_SCTR[[#This Row],[FechaCierre]]=""),"",ROUND((Bandeja_SCTR[[#This Row],[FechaCierre]]-Bandeja_SCTR[[#This Row],[FechaRecepcion]])*24,1))</f>
        <v>0.9</v>
      </c>
      <c r="N406" s="3">
        <f>IF(Bandeja_SCTR[[#This Row],[FechaRecepcion]]="","",DATE(YEAR(Bandeja_SCTR[[#This Row],[FechaRecepcion]]),MONTH(Bandeja_SCTR[[#This Row],[FechaRecepcion]]),1))</f>
        <v>46296</v>
      </c>
      <c r="O406">
        <f>IF(Bandeja_SCTR[[#This Row],[Estado]]="FINALIZADO",1,0)</f>
        <v>1</v>
      </c>
      <c r="P406">
        <f>IF(Bandeja_SCTR[[#This Row],[CasoId]]="",0,IF(Bandeja_SCTR[[#This Row],[Estado]]="FINALIZADO",0,1))</f>
        <v>0</v>
      </c>
    </row>
    <row r="407" spans="1:16">
      <c r="A407" t="s">
        <v>1548</v>
      </c>
      <c r="B407" t="s">
        <v>1549</v>
      </c>
      <c r="C407" t="s">
        <v>1550</v>
      </c>
      <c r="D407" s="1">
        <v>46315.460844907408</v>
      </c>
      <c r="E407" s="1">
        <v>46315.460844907408</v>
      </c>
      <c r="F407" s="1" t="s">
        <v>549</v>
      </c>
      <c r="H407" s="1"/>
      <c r="I407" t="s">
        <v>550</v>
      </c>
      <c r="J407" t="s">
        <v>1551</v>
      </c>
      <c r="K407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1</v>
      </c>
      <c r="L407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407" s="2" t="str">
        <f>IF(OR(Bandeja_SCTR[[#This Row],[FechaRecepcion]]="",Bandeja_SCTR[[#This Row],[FechaCierre]]=""),"",ROUND((Bandeja_SCTR[[#This Row],[FechaCierre]]-Bandeja_SCTR[[#This Row],[FechaRecepcion]])*24,1))</f>
        <v/>
      </c>
      <c r="N407" s="3">
        <f>IF(Bandeja_SCTR[[#This Row],[FechaRecepcion]]="","",DATE(YEAR(Bandeja_SCTR[[#This Row],[FechaRecepcion]]),MONTH(Bandeja_SCTR[[#This Row],[FechaRecepcion]]),1))</f>
        <v>46296</v>
      </c>
      <c r="O407">
        <f>IF(Bandeja_SCTR[[#This Row],[Estado]]="FINALIZADO",1,0)</f>
        <v>0</v>
      </c>
      <c r="P407">
        <f>IF(Bandeja_SCTR[[#This Row],[CasoId]]="",0,IF(Bandeja_SCTR[[#This Row],[Estado]]="FINALIZADO",0,1))</f>
        <v>1</v>
      </c>
    </row>
    <row r="408" spans="1:16" hidden="1">
      <c r="A408" t="s">
        <v>1552</v>
      </c>
      <c r="B408" t="s">
        <v>1266</v>
      </c>
      <c r="C408" t="s">
        <v>1553</v>
      </c>
      <c r="D408" s="1">
        <v>46315.467893518522</v>
      </c>
      <c r="E408" s="1">
        <v>46315.491875</v>
      </c>
      <c r="F408" s="1" t="s">
        <v>96</v>
      </c>
      <c r="G408" t="s">
        <v>30</v>
      </c>
      <c r="H408" s="1">
        <v>46315.491875</v>
      </c>
      <c r="I408" t="s">
        <v>268</v>
      </c>
      <c r="J408" t="s">
        <v>1554</v>
      </c>
      <c r="K408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408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408" s="2">
        <f>IF(OR(Bandeja_SCTR[[#This Row],[FechaRecepcion]]="",Bandeja_SCTR[[#This Row],[FechaCierre]]=""),"",ROUND((Bandeja_SCTR[[#This Row],[FechaCierre]]-Bandeja_SCTR[[#This Row],[FechaRecepcion]])*24,1))</f>
        <v>0.6</v>
      </c>
      <c r="N408" s="3">
        <f>IF(Bandeja_SCTR[[#This Row],[FechaRecepcion]]="","",DATE(YEAR(Bandeja_SCTR[[#This Row],[FechaRecepcion]]),MONTH(Bandeja_SCTR[[#This Row],[FechaRecepcion]]),1))</f>
        <v>46296</v>
      </c>
      <c r="O408">
        <f>IF(Bandeja_SCTR[[#This Row],[Estado]]="FINALIZADO",1,0)</f>
        <v>1</v>
      </c>
      <c r="P408">
        <f>IF(Bandeja_SCTR[[#This Row],[CasoId]]="",0,IF(Bandeja_SCTR[[#This Row],[Estado]]="FINALIZADO",0,1))</f>
        <v>0</v>
      </c>
    </row>
    <row r="409" spans="1:16">
      <c r="A409" t="s">
        <v>1555</v>
      </c>
      <c r="B409" t="s">
        <v>1556</v>
      </c>
      <c r="C409" t="s">
        <v>1557</v>
      </c>
      <c r="D409" s="1">
        <v>46315.475868055553</v>
      </c>
      <c r="E409" s="1">
        <v>46315.475868055553</v>
      </c>
      <c r="F409" s="1" t="s">
        <v>45</v>
      </c>
      <c r="H409" s="1"/>
      <c r="I409" t="s">
        <v>46</v>
      </c>
      <c r="J409" t="s">
        <v>534</v>
      </c>
      <c r="K409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1</v>
      </c>
      <c r="L409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409" s="2" t="str">
        <f>IF(OR(Bandeja_SCTR[[#This Row],[FechaRecepcion]]="",Bandeja_SCTR[[#This Row],[FechaCierre]]=""),"",ROUND((Bandeja_SCTR[[#This Row],[FechaCierre]]-Bandeja_SCTR[[#This Row],[FechaRecepcion]])*24,1))</f>
        <v/>
      </c>
      <c r="N409" s="3">
        <f>IF(Bandeja_SCTR[[#This Row],[FechaRecepcion]]="","",DATE(YEAR(Bandeja_SCTR[[#This Row],[FechaRecepcion]]),MONTH(Bandeja_SCTR[[#This Row],[FechaRecepcion]]),1))</f>
        <v>46296</v>
      </c>
      <c r="O409">
        <f>IF(Bandeja_SCTR[[#This Row],[Estado]]="FINALIZADO",1,0)</f>
        <v>0</v>
      </c>
      <c r="P409">
        <f>IF(Bandeja_SCTR[[#This Row],[CasoId]]="",0,IF(Bandeja_SCTR[[#This Row],[Estado]]="FINALIZADO",0,1))</f>
        <v>1</v>
      </c>
    </row>
    <row r="410" spans="1:16">
      <c r="A410" t="s">
        <v>1558</v>
      </c>
      <c r="B410" t="s">
        <v>1156</v>
      </c>
      <c r="C410" t="s">
        <v>1401</v>
      </c>
      <c r="D410" s="1">
        <v>46315.481666666667</v>
      </c>
      <c r="E410" s="1">
        <v>46315.481666666667</v>
      </c>
      <c r="F410" s="1" t="s">
        <v>581</v>
      </c>
      <c r="H410" s="1"/>
      <c r="I410" t="s">
        <v>581</v>
      </c>
      <c r="J410" t="s">
        <v>1559</v>
      </c>
      <c r="K410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1</v>
      </c>
      <c r="L410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410" s="2" t="str">
        <f>IF(OR(Bandeja_SCTR[[#This Row],[FechaRecepcion]]="",Bandeja_SCTR[[#This Row],[FechaCierre]]=""),"",ROUND((Bandeja_SCTR[[#This Row],[FechaCierre]]-Bandeja_SCTR[[#This Row],[FechaRecepcion]])*24,1))</f>
        <v/>
      </c>
      <c r="N410" s="3">
        <f>IF(Bandeja_SCTR[[#This Row],[FechaRecepcion]]="","",DATE(YEAR(Bandeja_SCTR[[#This Row],[FechaRecepcion]]),MONTH(Bandeja_SCTR[[#This Row],[FechaRecepcion]]),1))</f>
        <v>46296</v>
      </c>
      <c r="O410">
        <f>IF(Bandeja_SCTR[[#This Row],[Estado]]="FINALIZADO",1,0)</f>
        <v>0</v>
      </c>
      <c r="P410">
        <f>IF(Bandeja_SCTR[[#This Row],[CasoId]]="",0,IF(Bandeja_SCTR[[#This Row],[Estado]]="FINALIZADO",0,1))</f>
        <v>1</v>
      </c>
    </row>
    <row r="411" spans="1:16">
      <c r="A411" t="s">
        <v>1560</v>
      </c>
      <c r="B411" t="s">
        <v>959</v>
      </c>
      <c r="C411" t="s">
        <v>1561</v>
      </c>
      <c r="D411" s="1">
        <v>46315.488182870366</v>
      </c>
      <c r="E411" s="1">
        <v>46315.622048611112</v>
      </c>
      <c r="F411" s="1" t="s">
        <v>1562</v>
      </c>
      <c r="H411" s="1"/>
      <c r="I411" t="s">
        <v>1562</v>
      </c>
      <c r="J411" t="s">
        <v>1563</v>
      </c>
      <c r="K411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1</v>
      </c>
      <c r="L411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411" s="2" t="str">
        <f>IF(OR(Bandeja_SCTR[[#This Row],[FechaRecepcion]]="",Bandeja_SCTR[[#This Row],[FechaCierre]]=""),"",ROUND((Bandeja_SCTR[[#This Row],[FechaCierre]]-Bandeja_SCTR[[#This Row],[FechaRecepcion]])*24,1))</f>
        <v/>
      </c>
      <c r="N411" s="3">
        <f>IF(Bandeja_SCTR[[#This Row],[FechaRecepcion]]="","",DATE(YEAR(Bandeja_SCTR[[#This Row],[FechaRecepcion]]),MONTH(Bandeja_SCTR[[#This Row],[FechaRecepcion]]),1))</f>
        <v>46296</v>
      </c>
      <c r="O411">
        <f>IF(Bandeja_SCTR[[#This Row],[Estado]]="FINALIZADO",1,0)</f>
        <v>0</v>
      </c>
      <c r="P411">
        <f>IF(Bandeja_SCTR[[#This Row],[CasoId]]="",0,IF(Bandeja_SCTR[[#This Row],[Estado]]="FINALIZADO",0,1))</f>
        <v>1</v>
      </c>
    </row>
    <row r="412" spans="1:16">
      <c r="A412" t="s">
        <v>1564</v>
      </c>
      <c r="B412" t="s">
        <v>1565</v>
      </c>
      <c r="C412" t="s">
        <v>1566</v>
      </c>
      <c r="D412" s="1">
        <v>46315.501863425925</v>
      </c>
      <c r="E412" s="1">
        <v>46315.501863425925</v>
      </c>
      <c r="F412" s="1" t="s">
        <v>1567</v>
      </c>
      <c r="H412" s="1"/>
      <c r="I412" t="s">
        <v>1567</v>
      </c>
      <c r="K412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1</v>
      </c>
      <c r="L412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412" s="2" t="str">
        <f>IF(OR(Bandeja_SCTR[[#This Row],[FechaRecepcion]]="",Bandeja_SCTR[[#This Row],[FechaCierre]]=""),"",ROUND((Bandeja_SCTR[[#This Row],[FechaCierre]]-Bandeja_SCTR[[#This Row],[FechaRecepcion]])*24,1))</f>
        <v/>
      </c>
      <c r="N412" s="3">
        <f>IF(Bandeja_SCTR[[#This Row],[FechaRecepcion]]="","",DATE(YEAR(Bandeja_SCTR[[#This Row],[FechaRecepcion]]),MONTH(Bandeja_SCTR[[#This Row],[FechaRecepcion]]),1))</f>
        <v>46296</v>
      </c>
      <c r="O412">
        <f>IF(Bandeja_SCTR[[#This Row],[Estado]]="FINALIZADO",1,0)</f>
        <v>0</v>
      </c>
      <c r="P412">
        <f>IF(Bandeja_SCTR[[#This Row],[CasoId]]="",0,IF(Bandeja_SCTR[[#This Row],[Estado]]="FINALIZADO",0,1))</f>
        <v>1</v>
      </c>
    </row>
    <row r="413" spans="1:16">
      <c r="A413" t="s">
        <v>1568</v>
      </c>
      <c r="B413" t="s">
        <v>1569</v>
      </c>
      <c r="C413" t="s">
        <v>1570</v>
      </c>
      <c r="D413" s="1">
        <v>46315.507627314815</v>
      </c>
      <c r="E413" s="1">
        <v>46315.523657407408</v>
      </c>
      <c r="F413" s="1" t="s">
        <v>438</v>
      </c>
      <c r="H413" s="1"/>
      <c r="I413" t="s">
        <v>1251</v>
      </c>
      <c r="J413" t="s">
        <v>1571</v>
      </c>
      <c r="K413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1</v>
      </c>
      <c r="L413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413" s="2" t="str">
        <f>IF(OR(Bandeja_SCTR[[#This Row],[FechaRecepcion]]="",Bandeja_SCTR[[#This Row],[FechaCierre]]=""),"",ROUND((Bandeja_SCTR[[#This Row],[FechaCierre]]-Bandeja_SCTR[[#This Row],[FechaRecepcion]])*24,1))</f>
        <v/>
      </c>
      <c r="N413" s="3">
        <f>IF(Bandeja_SCTR[[#This Row],[FechaRecepcion]]="","",DATE(YEAR(Bandeja_SCTR[[#This Row],[FechaRecepcion]]),MONTH(Bandeja_SCTR[[#This Row],[FechaRecepcion]]),1))</f>
        <v>46296</v>
      </c>
      <c r="O413">
        <f>IF(Bandeja_SCTR[[#This Row],[Estado]]="FINALIZADO",1,0)</f>
        <v>0</v>
      </c>
      <c r="P413">
        <f>IF(Bandeja_SCTR[[#This Row],[CasoId]]="",0,IF(Bandeja_SCTR[[#This Row],[Estado]]="FINALIZADO",0,1))</f>
        <v>1</v>
      </c>
    </row>
    <row r="414" spans="1:16">
      <c r="A414" t="s">
        <v>1572</v>
      </c>
      <c r="B414" t="s">
        <v>320</v>
      </c>
      <c r="C414" t="s">
        <v>1573</v>
      </c>
      <c r="D414" s="1">
        <v>46315.511388888888</v>
      </c>
      <c r="E414" s="1">
        <v>46315.511967592596</v>
      </c>
      <c r="F414" s="1" t="s">
        <v>1077</v>
      </c>
      <c r="H414" s="1"/>
      <c r="I414" t="s">
        <v>97</v>
      </c>
      <c r="J414" t="s">
        <v>1574</v>
      </c>
      <c r="K414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1</v>
      </c>
      <c r="L414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414" s="2" t="str">
        <f>IF(OR(Bandeja_SCTR[[#This Row],[FechaRecepcion]]="",Bandeja_SCTR[[#This Row],[FechaCierre]]=""),"",ROUND((Bandeja_SCTR[[#This Row],[FechaCierre]]-Bandeja_SCTR[[#This Row],[FechaRecepcion]])*24,1))</f>
        <v/>
      </c>
      <c r="N414" s="3">
        <f>IF(Bandeja_SCTR[[#This Row],[FechaRecepcion]]="","",DATE(YEAR(Bandeja_SCTR[[#This Row],[FechaRecepcion]]),MONTH(Bandeja_SCTR[[#This Row],[FechaRecepcion]]),1))</f>
        <v>46296</v>
      </c>
      <c r="O414">
        <f>IF(Bandeja_SCTR[[#This Row],[Estado]]="FINALIZADO",1,0)</f>
        <v>0</v>
      </c>
      <c r="P414">
        <f>IF(Bandeja_SCTR[[#This Row],[CasoId]]="",0,IF(Bandeja_SCTR[[#This Row],[Estado]]="FINALIZADO",0,1))</f>
        <v>1</v>
      </c>
    </row>
    <row r="415" spans="1:16">
      <c r="A415" t="s">
        <v>1575</v>
      </c>
      <c r="B415" t="s">
        <v>1576</v>
      </c>
      <c r="C415" t="s">
        <v>1577</v>
      </c>
      <c r="D415" s="1">
        <v>46315.512499999997</v>
      </c>
      <c r="E415" s="1">
        <v>46315.512499999997</v>
      </c>
      <c r="F415" s="1" t="s">
        <v>1578</v>
      </c>
      <c r="H415" s="1"/>
      <c r="I415" t="s">
        <v>1579</v>
      </c>
      <c r="K415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1</v>
      </c>
      <c r="L415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415" s="2" t="str">
        <f>IF(OR(Bandeja_SCTR[[#This Row],[FechaRecepcion]]="",Bandeja_SCTR[[#This Row],[FechaCierre]]=""),"",ROUND((Bandeja_SCTR[[#This Row],[FechaCierre]]-Bandeja_SCTR[[#This Row],[FechaRecepcion]])*24,1))</f>
        <v/>
      </c>
      <c r="N415" s="3">
        <f>IF(Bandeja_SCTR[[#This Row],[FechaRecepcion]]="","",DATE(YEAR(Bandeja_SCTR[[#This Row],[FechaRecepcion]]),MONTH(Bandeja_SCTR[[#This Row],[FechaRecepcion]]),1))</f>
        <v>46296</v>
      </c>
      <c r="O415">
        <f>IF(Bandeja_SCTR[[#This Row],[Estado]]="FINALIZADO",1,0)</f>
        <v>0</v>
      </c>
      <c r="P415">
        <f>IF(Bandeja_SCTR[[#This Row],[CasoId]]="",0,IF(Bandeja_SCTR[[#This Row],[Estado]]="FINALIZADO",0,1))</f>
        <v>1</v>
      </c>
    </row>
    <row r="416" spans="1:16">
      <c r="A416" t="s">
        <v>1580</v>
      </c>
      <c r="B416" t="s">
        <v>1581</v>
      </c>
      <c r="C416" t="s">
        <v>1582</v>
      </c>
      <c r="D416" s="1">
        <v>46315.513020833328</v>
      </c>
      <c r="E416" s="1">
        <v>46315.513020833328</v>
      </c>
      <c r="F416" s="1" t="s">
        <v>1583</v>
      </c>
      <c r="H416" s="1"/>
      <c r="I416" t="s">
        <v>1584</v>
      </c>
      <c r="K416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1</v>
      </c>
      <c r="L416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416" s="2" t="str">
        <f>IF(OR(Bandeja_SCTR[[#This Row],[FechaRecepcion]]="",Bandeja_SCTR[[#This Row],[FechaCierre]]=""),"",ROUND((Bandeja_SCTR[[#This Row],[FechaCierre]]-Bandeja_SCTR[[#This Row],[FechaRecepcion]])*24,1))</f>
        <v/>
      </c>
      <c r="N416" s="3">
        <f>IF(Bandeja_SCTR[[#This Row],[FechaRecepcion]]="","",DATE(YEAR(Bandeja_SCTR[[#This Row],[FechaRecepcion]]),MONTH(Bandeja_SCTR[[#This Row],[FechaRecepcion]]),1))</f>
        <v>46296</v>
      </c>
      <c r="O416">
        <f>IF(Bandeja_SCTR[[#This Row],[Estado]]="FINALIZADO",1,0)</f>
        <v>0</v>
      </c>
      <c r="P416">
        <f>IF(Bandeja_SCTR[[#This Row],[CasoId]]="",0,IF(Bandeja_SCTR[[#This Row],[Estado]]="FINALIZADO",0,1))</f>
        <v>1</v>
      </c>
    </row>
    <row r="417" spans="1:16">
      <c r="A417" t="s">
        <v>1585</v>
      </c>
      <c r="B417" t="s">
        <v>1535</v>
      </c>
      <c r="C417" t="s">
        <v>1586</v>
      </c>
      <c r="D417" s="1">
        <v>46315.513217592597</v>
      </c>
      <c r="E417" s="1">
        <v>46315.513217592597</v>
      </c>
      <c r="F417" s="1" t="s">
        <v>1038</v>
      </c>
      <c r="H417" s="1"/>
      <c r="I417" t="s">
        <v>1039</v>
      </c>
      <c r="J417" t="s">
        <v>1587</v>
      </c>
      <c r="K417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1</v>
      </c>
      <c r="L417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417" s="2" t="str">
        <f>IF(OR(Bandeja_SCTR[[#This Row],[FechaRecepcion]]="",Bandeja_SCTR[[#This Row],[FechaCierre]]=""),"",ROUND((Bandeja_SCTR[[#This Row],[FechaCierre]]-Bandeja_SCTR[[#This Row],[FechaRecepcion]])*24,1))</f>
        <v/>
      </c>
      <c r="N417" s="3">
        <f>IF(Bandeja_SCTR[[#This Row],[FechaRecepcion]]="","",DATE(YEAR(Bandeja_SCTR[[#This Row],[FechaRecepcion]]),MONTH(Bandeja_SCTR[[#This Row],[FechaRecepcion]]),1))</f>
        <v>46296</v>
      </c>
      <c r="O417">
        <f>IF(Bandeja_SCTR[[#This Row],[Estado]]="FINALIZADO",1,0)</f>
        <v>0</v>
      </c>
      <c r="P417">
        <f>IF(Bandeja_SCTR[[#This Row],[CasoId]]="",0,IF(Bandeja_SCTR[[#This Row],[Estado]]="FINALIZADO",0,1))</f>
        <v>1</v>
      </c>
    </row>
    <row r="418" spans="1:16">
      <c r="A418" t="s">
        <v>1588</v>
      </c>
      <c r="B418" t="s">
        <v>1589</v>
      </c>
      <c r="C418" t="s">
        <v>1590</v>
      </c>
      <c r="D418" s="1">
        <v>46315.514097222222</v>
      </c>
      <c r="E418" s="1">
        <v>46315.514097222222</v>
      </c>
      <c r="F418" s="1" t="s">
        <v>1591</v>
      </c>
      <c r="H418" s="1"/>
      <c r="I418" t="s">
        <v>1592</v>
      </c>
      <c r="J418" t="s">
        <v>1593</v>
      </c>
      <c r="K418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1</v>
      </c>
      <c r="L418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418" s="2" t="str">
        <f>IF(OR(Bandeja_SCTR[[#This Row],[FechaRecepcion]]="",Bandeja_SCTR[[#This Row],[FechaCierre]]=""),"",ROUND((Bandeja_SCTR[[#This Row],[FechaCierre]]-Bandeja_SCTR[[#This Row],[FechaRecepcion]])*24,1))</f>
        <v/>
      </c>
      <c r="N418" s="3">
        <f>IF(Bandeja_SCTR[[#This Row],[FechaRecepcion]]="","",DATE(YEAR(Bandeja_SCTR[[#This Row],[FechaRecepcion]]),MONTH(Bandeja_SCTR[[#This Row],[FechaRecepcion]]),1))</f>
        <v>46296</v>
      </c>
      <c r="O418">
        <f>IF(Bandeja_SCTR[[#This Row],[Estado]]="FINALIZADO",1,0)</f>
        <v>0</v>
      </c>
      <c r="P418">
        <f>IF(Bandeja_SCTR[[#This Row],[CasoId]]="",0,IF(Bandeja_SCTR[[#This Row],[Estado]]="FINALIZADO",0,1))</f>
        <v>1</v>
      </c>
    </row>
    <row r="419" spans="1:16">
      <c r="A419" t="s">
        <v>1594</v>
      </c>
      <c r="B419" t="s">
        <v>1595</v>
      </c>
      <c r="C419" t="s">
        <v>1596</v>
      </c>
      <c r="D419" s="1">
        <v>46315.514421296291</v>
      </c>
      <c r="E419" s="1">
        <v>46315.514421296291</v>
      </c>
      <c r="F419" s="1" t="s">
        <v>1597</v>
      </c>
      <c r="H419" s="1"/>
      <c r="I419" t="s">
        <v>1598</v>
      </c>
      <c r="K419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1</v>
      </c>
      <c r="L419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419" s="2" t="str">
        <f>IF(OR(Bandeja_SCTR[[#This Row],[FechaRecepcion]]="",Bandeja_SCTR[[#This Row],[FechaCierre]]=""),"",ROUND((Bandeja_SCTR[[#This Row],[FechaCierre]]-Bandeja_SCTR[[#This Row],[FechaRecepcion]])*24,1))</f>
        <v/>
      </c>
      <c r="N419" s="3">
        <f>IF(Bandeja_SCTR[[#This Row],[FechaRecepcion]]="","",DATE(YEAR(Bandeja_SCTR[[#This Row],[FechaRecepcion]]),MONTH(Bandeja_SCTR[[#This Row],[FechaRecepcion]]),1))</f>
        <v>46296</v>
      </c>
      <c r="O419">
        <f>IF(Bandeja_SCTR[[#This Row],[Estado]]="FINALIZADO",1,0)</f>
        <v>0</v>
      </c>
      <c r="P419">
        <f>IF(Bandeja_SCTR[[#This Row],[CasoId]]="",0,IF(Bandeja_SCTR[[#This Row],[Estado]]="FINALIZADO",0,1))</f>
        <v>1</v>
      </c>
    </row>
    <row r="420" spans="1:16">
      <c r="A420" t="s">
        <v>1599</v>
      </c>
      <c r="B420" t="s">
        <v>1600</v>
      </c>
      <c r="C420" t="s">
        <v>1601</v>
      </c>
      <c r="D420" s="1">
        <v>46315.515532407408</v>
      </c>
      <c r="E420" s="1">
        <v>46315.517222222217</v>
      </c>
      <c r="F420" s="1" t="s">
        <v>91</v>
      </c>
      <c r="H420" s="1"/>
      <c r="I420" t="s">
        <v>91</v>
      </c>
      <c r="K420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1</v>
      </c>
      <c r="L420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420" s="2" t="str">
        <f>IF(OR(Bandeja_SCTR[[#This Row],[FechaRecepcion]]="",Bandeja_SCTR[[#This Row],[FechaCierre]]=""),"",ROUND((Bandeja_SCTR[[#This Row],[FechaCierre]]-Bandeja_SCTR[[#This Row],[FechaRecepcion]])*24,1))</f>
        <v/>
      </c>
      <c r="N420" s="3">
        <f>IF(Bandeja_SCTR[[#This Row],[FechaRecepcion]]="","",DATE(YEAR(Bandeja_SCTR[[#This Row],[FechaRecepcion]]),MONTH(Bandeja_SCTR[[#This Row],[FechaRecepcion]]),1))</f>
        <v>46296</v>
      </c>
      <c r="O420">
        <f>IF(Bandeja_SCTR[[#This Row],[Estado]]="FINALIZADO",1,0)</f>
        <v>0</v>
      </c>
      <c r="P420">
        <f>IF(Bandeja_SCTR[[#This Row],[CasoId]]="",0,IF(Bandeja_SCTR[[#This Row],[Estado]]="FINALIZADO",0,1))</f>
        <v>1</v>
      </c>
    </row>
    <row r="421" spans="1:16">
      <c r="A421" t="s">
        <v>1602</v>
      </c>
      <c r="B421" t="s">
        <v>1603</v>
      </c>
      <c r="D421" s="1">
        <v>46315.518946759257</v>
      </c>
      <c r="E421" s="1">
        <v>46315.518946759257</v>
      </c>
      <c r="F421" s="1" t="s">
        <v>1604</v>
      </c>
      <c r="H421" s="1"/>
      <c r="I421" t="s">
        <v>1604</v>
      </c>
      <c r="K421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1</v>
      </c>
      <c r="L421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421" s="2" t="str">
        <f>IF(OR(Bandeja_SCTR[[#This Row],[FechaRecepcion]]="",Bandeja_SCTR[[#This Row],[FechaCierre]]=""),"",ROUND((Bandeja_SCTR[[#This Row],[FechaCierre]]-Bandeja_SCTR[[#This Row],[FechaRecepcion]])*24,1))</f>
        <v/>
      </c>
      <c r="N421" s="3">
        <f>IF(Bandeja_SCTR[[#This Row],[FechaRecepcion]]="","",DATE(YEAR(Bandeja_SCTR[[#This Row],[FechaRecepcion]]),MONTH(Bandeja_SCTR[[#This Row],[FechaRecepcion]]),1))</f>
        <v>46296</v>
      </c>
      <c r="O421">
        <f>IF(Bandeja_SCTR[[#This Row],[Estado]]="FINALIZADO",1,0)</f>
        <v>0</v>
      </c>
      <c r="P421">
        <f>IF(Bandeja_SCTR[[#This Row],[CasoId]]="",0,IF(Bandeja_SCTR[[#This Row],[Estado]]="FINALIZADO",0,1))</f>
        <v>1</v>
      </c>
    </row>
    <row r="422" spans="1:16">
      <c r="A422" t="s">
        <v>1605</v>
      </c>
      <c r="B422" t="s">
        <v>1606</v>
      </c>
      <c r="C422" t="s">
        <v>1607</v>
      </c>
      <c r="D422" s="1">
        <v>46315.519432870366</v>
      </c>
      <c r="E422" s="1">
        <v>46315.536215277782</v>
      </c>
      <c r="F422" s="1" t="s">
        <v>549</v>
      </c>
      <c r="H422" s="1"/>
      <c r="I422" t="s">
        <v>550</v>
      </c>
      <c r="K422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1</v>
      </c>
      <c r="L422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422" s="2" t="str">
        <f>IF(OR(Bandeja_SCTR[[#This Row],[FechaRecepcion]]="",Bandeja_SCTR[[#This Row],[FechaCierre]]=""),"",ROUND((Bandeja_SCTR[[#This Row],[FechaCierre]]-Bandeja_SCTR[[#This Row],[FechaRecepcion]])*24,1))</f>
        <v/>
      </c>
      <c r="N422" s="3">
        <f>IF(Bandeja_SCTR[[#This Row],[FechaRecepcion]]="","",DATE(YEAR(Bandeja_SCTR[[#This Row],[FechaRecepcion]]),MONTH(Bandeja_SCTR[[#This Row],[FechaRecepcion]]),1))</f>
        <v>46296</v>
      </c>
      <c r="O422">
        <f>IF(Bandeja_SCTR[[#This Row],[Estado]]="FINALIZADO",1,0)</f>
        <v>0</v>
      </c>
      <c r="P422">
        <f>IF(Bandeja_SCTR[[#This Row],[CasoId]]="",0,IF(Bandeja_SCTR[[#This Row],[Estado]]="FINALIZADO",0,1))</f>
        <v>1</v>
      </c>
    </row>
    <row r="423" spans="1:16">
      <c r="A423" t="s">
        <v>1608</v>
      </c>
      <c r="B423" t="s">
        <v>1284</v>
      </c>
      <c r="C423" t="s">
        <v>1609</v>
      </c>
      <c r="D423" s="1">
        <v>46315.523136574076</v>
      </c>
      <c r="E423" s="1">
        <v>46315.523136574076</v>
      </c>
      <c r="F423" s="1" t="s">
        <v>316</v>
      </c>
      <c r="H423" s="1"/>
      <c r="I423" t="s">
        <v>317</v>
      </c>
      <c r="J423" t="s">
        <v>1610</v>
      </c>
      <c r="K423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1</v>
      </c>
      <c r="L423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423" s="2" t="str">
        <f>IF(OR(Bandeja_SCTR[[#This Row],[FechaRecepcion]]="",Bandeja_SCTR[[#This Row],[FechaCierre]]=""),"",ROUND((Bandeja_SCTR[[#This Row],[FechaCierre]]-Bandeja_SCTR[[#This Row],[FechaRecepcion]])*24,1))</f>
        <v/>
      </c>
      <c r="N423" s="3">
        <f>IF(Bandeja_SCTR[[#This Row],[FechaRecepcion]]="","",DATE(YEAR(Bandeja_SCTR[[#This Row],[FechaRecepcion]]),MONTH(Bandeja_SCTR[[#This Row],[FechaRecepcion]]),1))</f>
        <v>46296</v>
      </c>
      <c r="O423">
        <f>IF(Bandeja_SCTR[[#This Row],[Estado]]="FINALIZADO",1,0)</f>
        <v>0</v>
      </c>
      <c r="P423">
        <f>IF(Bandeja_SCTR[[#This Row],[CasoId]]="",0,IF(Bandeja_SCTR[[#This Row],[Estado]]="FINALIZADO",0,1))</f>
        <v>1</v>
      </c>
    </row>
    <row r="424" spans="1:16">
      <c r="A424" t="s">
        <v>1611</v>
      </c>
      <c r="B424" t="s">
        <v>1612</v>
      </c>
      <c r="C424" t="s">
        <v>1613</v>
      </c>
      <c r="D424" s="1">
        <v>46315.52952546296</v>
      </c>
      <c r="E424" s="1">
        <v>46315.52952546296</v>
      </c>
      <c r="F424" s="1" t="s">
        <v>1004</v>
      </c>
      <c r="H424" s="1"/>
      <c r="I424" t="s">
        <v>268</v>
      </c>
      <c r="K424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1</v>
      </c>
      <c r="L424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424" s="2" t="str">
        <f>IF(OR(Bandeja_SCTR[[#This Row],[FechaRecepcion]]="",Bandeja_SCTR[[#This Row],[FechaCierre]]=""),"",ROUND((Bandeja_SCTR[[#This Row],[FechaCierre]]-Bandeja_SCTR[[#This Row],[FechaRecepcion]])*24,1))</f>
        <v/>
      </c>
      <c r="N424" s="3">
        <f>IF(Bandeja_SCTR[[#This Row],[FechaRecepcion]]="","",DATE(YEAR(Bandeja_SCTR[[#This Row],[FechaRecepcion]]),MONTH(Bandeja_SCTR[[#This Row],[FechaRecepcion]]),1))</f>
        <v>46296</v>
      </c>
      <c r="O424">
        <f>IF(Bandeja_SCTR[[#This Row],[Estado]]="FINALIZADO",1,0)</f>
        <v>0</v>
      </c>
      <c r="P424">
        <f>IF(Bandeja_SCTR[[#This Row],[CasoId]]="",0,IF(Bandeja_SCTR[[#This Row],[Estado]]="FINALIZADO",0,1))</f>
        <v>1</v>
      </c>
    </row>
    <row r="425" spans="1:16" hidden="1">
      <c r="A425" t="s">
        <v>1614</v>
      </c>
      <c r="B425" t="s">
        <v>1615</v>
      </c>
      <c r="C425" t="s">
        <v>1616</v>
      </c>
      <c r="D425" s="1">
        <v>46315.529664351852</v>
      </c>
      <c r="E425" s="1">
        <v>46315.61440972222</v>
      </c>
      <c r="F425" s="1" t="s">
        <v>96</v>
      </c>
      <c r="G425" t="s">
        <v>30</v>
      </c>
      <c r="H425" s="1">
        <v>46315.61440972222</v>
      </c>
      <c r="I425" t="s">
        <v>268</v>
      </c>
      <c r="J425" t="s">
        <v>620</v>
      </c>
      <c r="K425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425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425" s="2">
        <f>IF(OR(Bandeja_SCTR[[#This Row],[FechaRecepcion]]="",Bandeja_SCTR[[#This Row],[FechaCierre]]=""),"",ROUND((Bandeja_SCTR[[#This Row],[FechaCierre]]-Bandeja_SCTR[[#This Row],[FechaRecepcion]])*24,1))</f>
        <v>2</v>
      </c>
      <c r="N425" s="3">
        <f>IF(Bandeja_SCTR[[#This Row],[FechaRecepcion]]="","",DATE(YEAR(Bandeja_SCTR[[#This Row],[FechaRecepcion]]),MONTH(Bandeja_SCTR[[#This Row],[FechaRecepcion]]),1))</f>
        <v>46296</v>
      </c>
      <c r="O425">
        <f>IF(Bandeja_SCTR[[#This Row],[Estado]]="FINALIZADO",1,0)</f>
        <v>1</v>
      </c>
      <c r="P425">
        <f>IF(Bandeja_SCTR[[#This Row],[CasoId]]="",0,IF(Bandeja_SCTR[[#This Row],[Estado]]="FINALIZADO",0,1))</f>
        <v>0</v>
      </c>
    </row>
    <row r="426" spans="1:16">
      <c r="A426" t="s">
        <v>1617</v>
      </c>
      <c r="B426" t="s">
        <v>1618</v>
      </c>
      <c r="C426" t="s">
        <v>1619</v>
      </c>
      <c r="D426" s="1">
        <v>46315.532916666663</v>
      </c>
      <c r="E426" s="1">
        <v>46315.532916666663</v>
      </c>
      <c r="F426" s="1" t="s">
        <v>1620</v>
      </c>
      <c r="H426" s="1"/>
      <c r="I426" t="s">
        <v>1621</v>
      </c>
      <c r="J426" t="s">
        <v>1622</v>
      </c>
      <c r="K426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1</v>
      </c>
      <c r="L426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426" s="2" t="str">
        <f>IF(OR(Bandeja_SCTR[[#This Row],[FechaRecepcion]]="",Bandeja_SCTR[[#This Row],[FechaCierre]]=""),"",ROUND((Bandeja_SCTR[[#This Row],[FechaCierre]]-Bandeja_SCTR[[#This Row],[FechaRecepcion]])*24,1))</f>
        <v/>
      </c>
      <c r="N426" s="3">
        <f>IF(Bandeja_SCTR[[#This Row],[FechaRecepcion]]="","",DATE(YEAR(Bandeja_SCTR[[#This Row],[FechaRecepcion]]),MONTH(Bandeja_SCTR[[#This Row],[FechaRecepcion]]),1))</f>
        <v>46296</v>
      </c>
      <c r="O426">
        <f>IF(Bandeja_SCTR[[#This Row],[Estado]]="FINALIZADO",1,0)</f>
        <v>0</v>
      </c>
      <c r="P426">
        <f>IF(Bandeja_SCTR[[#This Row],[CasoId]]="",0,IF(Bandeja_SCTR[[#This Row],[Estado]]="FINALIZADO",0,1))</f>
        <v>1</v>
      </c>
    </row>
    <row r="427" spans="1:16">
      <c r="A427" t="s">
        <v>1623</v>
      </c>
      <c r="B427" t="s">
        <v>1461</v>
      </c>
      <c r="C427" t="s">
        <v>1624</v>
      </c>
      <c r="D427" s="1">
        <v>46315.537418981483</v>
      </c>
      <c r="E427" s="1">
        <v>46315.537418981483</v>
      </c>
      <c r="F427" s="1" t="s">
        <v>62</v>
      </c>
      <c r="H427" s="1"/>
      <c r="I427" t="s">
        <v>62</v>
      </c>
      <c r="J427" t="s">
        <v>1625</v>
      </c>
      <c r="K427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1</v>
      </c>
      <c r="L427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427" s="2" t="str">
        <f>IF(OR(Bandeja_SCTR[[#This Row],[FechaRecepcion]]="",Bandeja_SCTR[[#This Row],[FechaCierre]]=""),"",ROUND((Bandeja_SCTR[[#This Row],[FechaCierre]]-Bandeja_SCTR[[#This Row],[FechaRecepcion]])*24,1))</f>
        <v/>
      </c>
      <c r="N427" s="3">
        <f>IF(Bandeja_SCTR[[#This Row],[FechaRecepcion]]="","",DATE(YEAR(Bandeja_SCTR[[#This Row],[FechaRecepcion]]),MONTH(Bandeja_SCTR[[#This Row],[FechaRecepcion]]),1))</f>
        <v>46296</v>
      </c>
      <c r="O427">
        <f>IF(Bandeja_SCTR[[#This Row],[Estado]]="FINALIZADO",1,0)</f>
        <v>0</v>
      </c>
      <c r="P427">
        <f>IF(Bandeja_SCTR[[#This Row],[CasoId]]="",0,IF(Bandeja_SCTR[[#This Row],[Estado]]="FINALIZADO",0,1))</f>
        <v>1</v>
      </c>
    </row>
    <row r="428" spans="1:16">
      <c r="A428" t="s">
        <v>1626</v>
      </c>
      <c r="B428" t="s">
        <v>1488</v>
      </c>
      <c r="C428" t="s">
        <v>1627</v>
      </c>
      <c r="D428" s="1">
        <v>46315.554270833338</v>
      </c>
      <c r="E428" s="1">
        <v>46315.554270833338</v>
      </c>
      <c r="F428" s="1" t="s">
        <v>85</v>
      </c>
      <c r="H428" s="1"/>
      <c r="I428" t="s">
        <v>86</v>
      </c>
      <c r="J428" t="s">
        <v>1628</v>
      </c>
      <c r="K428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1</v>
      </c>
      <c r="L428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428" s="2" t="str">
        <f>IF(OR(Bandeja_SCTR[[#This Row],[FechaRecepcion]]="",Bandeja_SCTR[[#This Row],[FechaCierre]]=""),"",ROUND((Bandeja_SCTR[[#This Row],[FechaCierre]]-Bandeja_SCTR[[#This Row],[FechaRecepcion]])*24,1))</f>
        <v/>
      </c>
      <c r="N428" s="3">
        <f>IF(Bandeja_SCTR[[#This Row],[FechaRecepcion]]="","",DATE(YEAR(Bandeja_SCTR[[#This Row],[FechaRecepcion]]),MONTH(Bandeja_SCTR[[#This Row],[FechaRecepcion]]),1))</f>
        <v>46296</v>
      </c>
      <c r="O428">
        <f>IF(Bandeja_SCTR[[#This Row],[Estado]]="FINALIZADO",1,0)</f>
        <v>0</v>
      </c>
      <c r="P428">
        <f>IF(Bandeja_SCTR[[#This Row],[CasoId]]="",0,IF(Bandeja_SCTR[[#This Row],[Estado]]="FINALIZADO",0,1))</f>
        <v>1</v>
      </c>
    </row>
    <row r="429" spans="1:16" hidden="1">
      <c r="A429" t="s">
        <v>1629</v>
      </c>
      <c r="B429" t="s">
        <v>1630</v>
      </c>
      <c r="C429" t="s">
        <v>1631</v>
      </c>
      <c r="D429" s="1">
        <v>46315.561307870375</v>
      </c>
      <c r="E429" s="1">
        <v>46315.65351851852</v>
      </c>
      <c r="F429" s="1" t="s">
        <v>96</v>
      </c>
      <c r="G429" t="s">
        <v>30</v>
      </c>
      <c r="H429" s="1">
        <v>46315.65351851852</v>
      </c>
      <c r="I429" t="s">
        <v>268</v>
      </c>
      <c r="J429" t="s">
        <v>1632</v>
      </c>
      <c r="K429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429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429" s="2">
        <f>IF(OR(Bandeja_SCTR[[#This Row],[FechaRecepcion]]="",Bandeja_SCTR[[#This Row],[FechaCierre]]=""),"",ROUND((Bandeja_SCTR[[#This Row],[FechaCierre]]-Bandeja_SCTR[[#This Row],[FechaRecepcion]])*24,1))</f>
        <v>2.2000000000000002</v>
      </c>
      <c r="N429" s="3">
        <f>IF(Bandeja_SCTR[[#This Row],[FechaRecepcion]]="","",DATE(YEAR(Bandeja_SCTR[[#This Row],[FechaRecepcion]]),MONTH(Bandeja_SCTR[[#This Row],[FechaRecepcion]]),1))</f>
        <v>46296</v>
      </c>
      <c r="O429">
        <f>IF(Bandeja_SCTR[[#This Row],[Estado]]="FINALIZADO",1,0)</f>
        <v>1</v>
      </c>
      <c r="P429">
        <f>IF(Bandeja_SCTR[[#This Row],[CasoId]]="",0,IF(Bandeja_SCTR[[#This Row],[Estado]]="FINALIZADO",0,1))</f>
        <v>0</v>
      </c>
    </row>
    <row r="430" spans="1:16">
      <c r="A430" t="s">
        <v>1633</v>
      </c>
      <c r="B430" t="s">
        <v>1384</v>
      </c>
      <c r="C430" t="s">
        <v>1447</v>
      </c>
      <c r="D430" s="1">
        <v>46315.562696759254</v>
      </c>
      <c r="E430" s="1">
        <v>46315.562696759254</v>
      </c>
      <c r="F430" s="1" t="s">
        <v>144</v>
      </c>
      <c r="H430" s="1"/>
      <c r="I430" t="s">
        <v>210</v>
      </c>
      <c r="J430" t="s">
        <v>1634</v>
      </c>
      <c r="K430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1</v>
      </c>
      <c r="L430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430" s="2" t="str">
        <f>IF(OR(Bandeja_SCTR[[#This Row],[FechaRecepcion]]="",Bandeja_SCTR[[#This Row],[FechaCierre]]=""),"",ROUND((Bandeja_SCTR[[#This Row],[FechaCierre]]-Bandeja_SCTR[[#This Row],[FechaRecepcion]])*24,1))</f>
        <v/>
      </c>
      <c r="N430" s="3">
        <f>IF(Bandeja_SCTR[[#This Row],[FechaRecepcion]]="","",DATE(YEAR(Bandeja_SCTR[[#This Row],[FechaRecepcion]]),MONTH(Bandeja_SCTR[[#This Row],[FechaRecepcion]]),1))</f>
        <v>46296</v>
      </c>
      <c r="O430">
        <f>IF(Bandeja_SCTR[[#This Row],[Estado]]="FINALIZADO",1,0)</f>
        <v>0</v>
      </c>
      <c r="P430">
        <f>IF(Bandeja_SCTR[[#This Row],[CasoId]]="",0,IF(Bandeja_SCTR[[#This Row],[Estado]]="FINALIZADO",0,1))</f>
        <v>1</v>
      </c>
    </row>
    <row r="431" spans="1:16" hidden="1">
      <c r="A431" t="s">
        <v>1635</v>
      </c>
      <c r="B431" t="s">
        <v>1175</v>
      </c>
      <c r="C431" t="s">
        <v>1210</v>
      </c>
      <c r="D431" s="1">
        <v>46315.563564814816</v>
      </c>
      <c r="E431" s="1">
        <v>46315.631782407407</v>
      </c>
      <c r="F431" s="1" t="s">
        <v>96</v>
      </c>
      <c r="G431" t="s">
        <v>30</v>
      </c>
      <c r="H431" s="1">
        <v>46315.631782407407</v>
      </c>
      <c r="I431" t="s">
        <v>268</v>
      </c>
      <c r="J431" t="s">
        <v>1636</v>
      </c>
      <c r="K431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431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431" s="2">
        <f>IF(OR(Bandeja_SCTR[[#This Row],[FechaRecepcion]]="",Bandeja_SCTR[[#This Row],[FechaCierre]]=""),"",ROUND((Bandeja_SCTR[[#This Row],[FechaCierre]]-Bandeja_SCTR[[#This Row],[FechaRecepcion]])*24,1))</f>
        <v>1.6</v>
      </c>
      <c r="N431" s="3">
        <f>IF(Bandeja_SCTR[[#This Row],[FechaRecepcion]]="","",DATE(YEAR(Bandeja_SCTR[[#This Row],[FechaRecepcion]]),MONTH(Bandeja_SCTR[[#This Row],[FechaRecepcion]]),1))</f>
        <v>46296</v>
      </c>
      <c r="O431">
        <f>IF(Bandeja_SCTR[[#This Row],[Estado]]="FINALIZADO",1,0)</f>
        <v>1</v>
      </c>
      <c r="P431">
        <f>IF(Bandeja_SCTR[[#This Row],[CasoId]]="",0,IF(Bandeja_SCTR[[#This Row],[Estado]]="FINALIZADO",0,1))</f>
        <v>0</v>
      </c>
    </row>
    <row r="432" spans="1:16">
      <c r="A432" t="s">
        <v>1637</v>
      </c>
      <c r="B432" t="s">
        <v>1638</v>
      </c>
      <c r="C432" t="s">
        <v>1544</v>
      </c>
      <c r="D432" s="1">
        <v>46315.585462962961</v>
      </c>
      <c r="E432" s="1">
        <v>46315.601898148147</v>
      </c>
      <c r="F432" s="1" t="s">
        <v>144</v>
      </c>
      <c r="H432" s="1"/>
      <c r="I432" t="s">
        <v>210</v>
      </c>
      <c r="K432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1</v>
      </c>
      <c r="L432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432" s="2" t="str">
        <f>IF(OR(Bandeja_SCTR[[#This Row],[FechaRecepcion]]="",Bandeja_SCTR[[#This Row],[FechaCierre]]=""),"",ROUND((Bandeja_SCTR[[#This Row],[FechaCierre]]-Bandeja_SCTR[[#This Row],[FechaRecepcion]])*24,1))</f>
        <v/>
      </c>
      <c r="N432" s="3">
        <f>IF(Bandeja_SCTR[[#This Row],[FechaRecepcion]]="","",DATE(YEAR(Bandeja_SCTR[[#This Row],[FechaRecepcion]]),MONTH(Bandeja_SCTR[[#This Row],[FechaRecepcion]]),1))</f>
        <v>46296</v>
      </c>
      <c r="O432">
        <f>IF(Bandeja_SCTR[[#This Row],[Estado]]="FINALIZADO",1,0)</f>
        <v>0</v>
      </c>
      <c r="P432">
        <f>IF(Bandeja_SCTR[[#This Row],[CasoId]]="",0,IF(Bandeja_SCTR[[#This Row],[Estado]]="FINALIZADO",0,1))</f>
        <v>1</v>
      </c>
    </row>
    <row r="433" spans="1:16" hidden="1">
      <c r="A433" t="s">
        <v>1639</v>
      </c>
      <c r="B433" t="s">
        <v>1640</v>
      </c>
      <c r="C433" t="s">
        <v>1641</v>
      </c>
      <c r="D433" s="1">
        <v>46315.58971064815</v>
      </c>
      <c r="E433" s="1">
        <v>46315.644062499996</v>
      </c>
      <c r="F433" s="1" t="s">
        <v>96</v>
      </c>
      <c r="G433" t="s">
        <v>30</v>
      </c>
      <c r="H433" s="1">
        <v>46315.644062499996</v>
      </c>
      <c r="I433" t="s">
        <v>268</v>
      </c>
      <c r="K433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433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433" s="2">
        <f>IF(OR(Bandeja_SCTR[[#This Row],[FechaRecepcion]]="",Bandeja_SCTR[[#This Row],[FechaCierre]]=""),"",ROUND((Bandeja_SCTR[[#This Row],[FechaCierre]]-Bandeja_SCTR[[#This Row],[FechaRecepcion]])*24,1))</f>
        <v>1.3</v>
      </c>
      <c r="N433" s="3">
        <f>IF(Bandeja_SCTR[[#This Row],[FechaRecepcion]]="","",DATE(YEAR(Bandeja_SCTR[[#This Row],[FechaRecepcion]]),MONTH(Bandeja_SCTR[[#This Row],[FechaRecepcion]]),1))</f>
        <v>46296</v>
      </c>
      <c r="O433">
        <f>IF(Bandeja_SCTR[[#This Row],[Estado]]="FINALIZADO",1,0)</f>
        <v>1</v>
      </c>
      <c r="P433">
        <f>IF(Bandeja_SCTR[[#This Row],[CasoId]]="",0,IF(Bandeja_SCTR[[#This Row],[Estado]]="FINALIZADO",0,1))</f>
        <v>0</v>
      </c>
    </row>
    <row r="434" spans="1:16">
      <c r="A434" t="s">
        <v>1642</v>
      </c>
      <c r="B434" t="s">
        <v>1643</v>
      </c>
      <c r="C434" t="s">
        <v>1644</v>
      </c>
      <c r="D434" s="1">
        <v>46315.597916666666</v>
      </c>
      <c r="E434" s="1">
        <v>46315.597916666666</v>
      </c>
      <c r="F434" s="1" t="s">
        <v>1645</v>
      </c>
      <c r="H434" s="1"/>
      <c r="I434" t="s">
        <v>1646</v>
      </c>
      <c r="J434" t="s">
        <v>1647</v>
      </c>
      <c r="K434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1</v>
      </c>
      <c r="L434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434" s="2" t="str">
        <f>IF(OR(Bandeja_SCTR[[#This Row],[FechaRecepcion]]="",Bandeja_SCTR[[#This Row],[FechaCierre]]=""),"",ROUND((Bandeja_SCTR[[#This Row],[FechaCierre]]-Bandeja_SCTR[[#This Row],[FechaRecepcion]])*24,1))</f>
        <v/>
      </c>
      <c r="N434" s="3">
        <f>IF(Bandeja_SCTR[[#This Row],[FechaRecepcion]]="","",DATE(YEAR(Bandeja_SCTR[[#This Row],[FechaRecepcion]]),MONTH(Bandeja_SCTR[[#This Row],[FechaRecepcion]]),1))</f>
        <v>46296</v>
      </c>
      <c r="O434">
        <f>IF(Bandeja_SCTR[[#This Row],[Estado]]="FINALIZADO",1,0)</f>
        <v>0</v>
      </c>
      <c r="P434">
        <f>IF(Bandeja_SCTR[[#This Row],[CasoId]]="",0,IF(Bandeja_SCTR[[#This Row],[Estado]]="FINALIZADO",0,1))</f>
        <v>1</v>
      </c>
    </row>
    <row r="435" spans="1:16">
      <c r="A435" t="s">
        <v>1648</v>
      </c>
      <c r="B435" t="s">
        <v>1649</v>
      </c>
      <c r="C435" t="s">
        <v>1650</v>
      </c>
      <c r="D435" s="1">
        <v>46315.609328703707</v>
      </c>
      <c r="E435" s="1">
        <v>46315.609328703707</v>
      </c>
      <c r="F435" s="1" t="s">
        <v>35</v>
      </c>
      <c r="H435" s="1"/>
      <c r="I435" t="s">
        <v>36</v>
      </c>
      <c r="K435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1</v>
      </c>
      <c r="L435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435" s="2" t="str">
        <f>IF(OR(Bandeja_SCTR[[#This Row],[FechaRecepcion]]="",Bandeja_SCTR[[#This Row],[FechaCierre]]=""),"",ROUND((Bandeja_SCTR[[#This Row],[FechaCierre]]-Bandeja_SCTR[[#This Row],[FechaRecepcion]])*24,1))</f>
        <v/>
      </c>
      <c r="N435" s="3">
        <f>IF(Bandeja_SCTR[[#This Row],[FechaRecepcion]]="","",DATE(YEAR(Bandeja_SCTR[[#This Row],[FechaRecepcion]]),MONTH(Bandeja_SCTR[[#This Row],[FechaRecepcion]]),1))</f>
        <v>46296</v>
      </c>
      <c r="O435">
        <f>IF(Bandeja_SCTR[[#This Row],[Estado]]="FINALIZADO",1,0)</f>
        <v>0</v>
      </c>
      <c r="P435">
        <f>IF(Bandeja_SCTR[[#This Row],[CasoId]]="",0,IF(Bandeja_SCTR[[#This Row],[Estado]]="FINALIZADO",0,1))</f>
        <v>1</v>
      </c>
    </row>
    <row r="436" spans="1:16" hidden="1">
      <c r="A436" t="s">
        <v>1651</v>
      </c>
      <c r="B436" t="s">
        <v>1652</v>
      </c>
      <c r="C436" t="s">
        <v>1653</v>
      </c>
      <c r="D436" s="1">
        <v>46315.610810185186</v>
      </c>
      <c r="E436" s="1">
        <v>46315.638692129629</v>
      </c>
      <c r="F436" s="1" t="s">
        <v>96</v>
      </c>
      <c r="G436" t="s">
        <v>30</v>
      </c>
      <c r="H436" s="1">
        <v>46315.638692129629</v>
      </c>
      <c r="I436" t="s">
        <v>268</v>
      </c>
      <c r="K436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436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436" s="2">
        <f>IF(OR(Bandeja_SCTR[[#This Row],[FechaRecepcion]]="",Bandeja_SCTR[[#This Row],[FechaCierre]]=""),"",ROUND((Bandeja_SCTR[[#This Row],[FechaCierre]]-Bandeja_SCTR[[#This Row],[FechaRecepcion]])*24,1))</f>
        <v>0.7</v>
      </c>
      <c r="N436" s="3">
        <f>IF(Bandeja_SCTR[[#This Row],[FechaRecepcion]]="","",DATE(YEAR(Bandeja_SCTR[[#This Row],[FechaRecepcion]]),MONTH(Bandeja_SCTR[[#This Row],[FechaRecepcion]]),1))</f>
        <v>46296</v>
      </c>
      <c r="O436">
        <f>IF(Bandeja_SCTR[[#This Row],[Estado]]="FINALIZADO",1,0)</f>
        <v>1</v>
      </c>
      <c r="P436">
        <f>IF(Bandeja_SCTR[[#This Row],[CasoId]]="",0,IF(Bandeja_SCTR[[#This Row],[Estado]]="FINALIZADO",0,1))</f>
        <v>0</v>
      </c>
    </row>
    <row r="437" spans="1:16" hidden="1">
      <c r="A437" t="s">
        <v>1654</v>
      </c>
      <c r="B437" t="s">
        <v>1655</v>
      </c>
      <c r="C437" t="s">
        <v>1656</v>
      </c>
      <c r="D437" s="1">
        <v>46315.610972222217</v>
      </c>
      <c r="E437" s="1">
        <v>46315.638020833328</v>
      </c>
      <c r="F437" s="1" t="s">
        <v>96</v>
      </c>
      <c r="G437" t="s">
        <v>30</v>
      </c>
      <c r="H437" s="1">
        <v>46315.638020833328</v>
      </c>
      <c r="I437" t="s">
        <v>268</v>
      </c>
      <c r="K437" s="7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437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437" s="2">
        <f>IF(OR(Bandeja_SCTR[[#This Row],[FechaRecepcion]]="",Bandeja_SCTR[[#This Row],[FechaCierre]]=""),"",ROUND((Bandeja_SCTR[[#This Row],[FechaCierre]]-Bandeja_SCTR[[#This Row],[FechaRecepcion]])*24,1))</f>
        <v>0.6</v>
      </c>
      <c r="N437" s="3">
        <f>IF(Bandeja_SCTR[[#This Row],[FechaRecepcion]]="","",DATE(YEAR(Bandeja_SCTR[[#This Row],[FechaRecepcion]]),MONTH(Bandeja_SCTR[[#This Row],[FechaRecepcion]]),1))</f>
        <v>46296</v>
      </c>
      <c r="O437">
        <f>IF(Bandeja_SCTR[[#This Row],[Estado]]="FINALIZADO",1,0)</f>
        <v>1</v>
      </c>
      <c r="P437">
        <f>IF(Bandeja_SCTR[[#This Row],[CasoId]]="",0,IF(Bandeja_SCTR[[#This Row],[Estado]]="FINALIZADO",0,1))</f>
        <v>0</v>
      </c>
    </row>
    <row r="438" spans="1:16">
      <c r="A438" t="s">
        <v>1657</v>
      </c>
      <c r="B438" t="s">
        <v>1658</v>
      </c>
      <c r="C438" t="s">
        <v>1659</v>
      </c>
      <c r="D438" s="1">
        <v>46315.623784722222</v>
      </c>
      <c r="E438" s="1">
        <v>46315.623784722222</v>
      </c>
      <c r="F438" s="1" t="s">
        <v>581</v>
      </c>
      <c r="H438" s="1"/>
      <c r="I438" t="s">
        <v>581</v>
      </c>
      <c r="K438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1</v>
      </c>
      <c r="L438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438" s="2" t="str">
        <f>IF(OR(Bandeja_SCTR[[#This Row],[FechaRecepcion]]="",Bandeja_SCTR[[#This Row],[FechaCierre]]=""),"",ROUND((Bandeja_SCTR[[#This Row],[FechaCierre]]-Bandeja_SCTR[[#This Row],[FechaRecepcion]])*24,1))</f>
        <v/>
      </c>
      <c r="N438" s="3">
        <f>IF(Bandeja_SCTR[[#This Row],[FechaRecepcion]]="","",DATE(YEAR(Bandeja_SCTR[[#This Row],[FechaRecepcion]]),MONTH(Bandeja_SCTR[[#This Row],[FechaRecepcion]]),1))</f>
        <v>46296</v>
      </c>
      <c r="O438">
        <f>IF(Bandeja_SCTR[[#This Row],[Estado]]="FINALIZADO",1,0)</f>
        <v>0</v>
      </c>
      <c r="P438">
        <f>IF(Bandeja_SCTR[[#This Row],[CasoId]]="",0,IF(Bandeja_SCTR[[#This Row],[Estado]]="FINALIZADO",0,1))</f>
        <v>1</v>
      </c>
    </row>
    <row r="439" spans="1:16">
      <c r="A439" t="s">
        <v>1660</v>
      </c>
      <c r="B439" t="s">
        <v>1175</v>
      </c>
      <c r="C439" t="s">
        <v>1176</v>
      </c>
      <c r="D439" s="1">
        <v>46315.633831018524</v>
      </c>
      <c r="E439" s="1">
        <v>46315.634826388894</v>
      </c>
      <c r="F439" s="1" t="s">
        <v>91</v>
      </c>
      <c r="H439" s="1"/>
      <c r="I439" t="s">
        <v>91</v>
      </c>
      <c r="J439" t="s">
        <v>1661</v>
      </c>
      <c r="K439" s="7">
        <f ca="1">IF(OR(Bandeja_SCTR[[#This Row],[CasoId]]="",Bandeja_SCTR[[#This Row],[Estado]]="FINALIZADO",Bandeja_SCTR[[#This Row],[FechaUltimoCorreo]]=""),"",NETWORKDAYS(INT(Bandeja_SCTR[[#This Row],[FechaUltimoCorreo]]),TODAY(),DIAS_NOLAB[Feriados]))</f>
        <v>1</v>
      </c>
      <c r="L439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439" s="2" t="str">
        <f>IF(OR(Bandeja_SCTR[[#This Row],[FechaRecepcion]]="",Bandeja_SCTR[[#This Row],[FechaCierre]]=""),"",ROUND((Bandeja_SCTR[[#This Row],[FechaCierre]]-Bandeja_SCTR[[#This Row],[FechaRecepcion]])*24,1))</f>
        <v/>
      </c>
      <c r="N439" s="3">
        <f>IF(Bandeja_SCTR[[#This Row],[FechaRecepcion]]="","",DATE(YEAR(Bandeja_SCTR[[#This Row],[FechaRecepcion]]),MONTH(Bandeja_SCTR[[#This Row],[FechaRecepcion]]),1))</f>
        <v>46296</v>
      </c>
      <c r="O439">
        <f>IF(Bandeja_SCTR[[#This Row],[Estado]]="FINALIZADO",1,0)</f>
        <v>0</v>
      </c>
      <c r="P439">
        <f>IF(Bandeja_SCTR[[#This Row],[CasoId]]="",0,IF(Bandeja_SCTR[[#This Row],[Estado]]="FINALIZADO",0,1))</f>
        <v>1</v>
      </c>
    </row>
    <row r="440" spans="1:16">
      <c r="A440" t="s">
        <v>1662</v>
      </c>
      <c r="B440" t="s">
        <v>1663</v>
      </c>
      <c r="C440" t="s">
        <v>1664</v>
      </c>
      <c r="D440" s="1">
        <v>46315.638599537036</v>
      </c>
      <c r="E440" s="1">
        <v>46315.641388888893</v>
      </c>
      <c r="F440" s="1" t="s">
        <v>1665</v>
      </c>
      <c r="H440" s="1"/>
      <c r="I440" t="s">
        <v>1666</v>
      </c>
      <c r="J440" t="s">
        <v>1667</v>
      </c>
      <c r="K440" s="8">
        <f ca="1">IF(OR(Bandeja_SCTR[[#This Row],[CasoId]]="",Bandeja_SCTR[[#This Row],[Estado]]="FINALIZADO",Bandeja_SCTR[[#This Row],[FechaUltimoCorreo]]=""),"",NETWORKDAYS(INT(Bandeja_SCTR[[#This Row],[FechaUltimoCorreo]]),TODAY(),DIAS_NOLAB[Feriados]))</f>
        <v>1</v>
      </c>
      <c r="L440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440" s="2" t="str">
        <f>IF(OR(Bandeja_SCTR[[#This Row],[FechaRecepcion]]="",Bandeja_SCTR[[#This Row],[FechaCierre]]=""),"",ROUND((Bandeja_SCTR[[#This Row],[FechaCierre]]-Bandeja_SCTR[[#This Row],[FechaRecepcion]])*24,1))</f>
        <v/>
      </c>
      <c r="N440" s="3">
        <f>IF(Bandeja_SCTR[[#This Row],[FechaRecepcion]]="","",DATE(YEAR(Bandeja_SCTR[[#This Row],[FechaRecepcion]]),MONTH(Bandeja_SCTR[[#This Row],[FechaRecepcion]]),1))</f>
        <v>46296</v>
      </c>
      <c r="O440">
        <f>IF(Bandeja_SCTR[[#This Row],[Estado]]="FINALIZADO",1,0)</f>
        <v>0</v>
      </c>
      <c r="P440">
        <f>IF(Bandeja_SCTR[[#This Row],[CasoId]]="",0,IF(Bandeja_SCTR[[#This Row],[Estado]]="FINALIZADO",0,1))</f>
        <v>1</v>
      </c>
    </row>
    <row r="441" spans="1:16">
      <c r="A441" t="s">
        <v>1668</v>
      </c>
      <c r="B441" t="s">
        <v>1669</v>
      </c>
      <c r="C441" t="s">
        <v>1670</v>
      </c>
      <c r="D441" s="1">
        <v>46315.639768518522</v>
      </c>
      <c r="E441" s="1">
        <v>46315.639768518522</v>
      </c>
      <c r="F441" s="1" t="s">
        <v>1671</v>
      </c>
      <c r="H441" s="1"/>
      <c r="I441" t="s">
        <v>1671</v>
      </c>
      <c r="J441" t="s">
        <v>1672</v>
      </c>
      <c r="K441" s="8">
        <f ca="1">IF(OR(Bandeja_SCTR[[#This Row],[CasoId]]="",Bandeja_SCTR[[#This Row],[Estado]]="FINALIZADO",Bandeja_SCTR[[#This Row],[FechaUltimoCorreo]]=""),"",NETWORKDAYS(INT(Bandeja_SCTR[[#This Row],[FechaUltimoCorreo]]),TODAY(),DIAS_NOLAB[Feriados]))</f>
        <v>1</v>
      </c>
      <c r="L441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441" s="2" t="str">
        <f>IF(OR(Bandeja_SCTR[[#This Row],[FechaRecepcion]]="",Bandeja_SCTR[[#This Row],[FechaCierre]]=""),"",ROUND((Bandeja_SCTR[[#This Row],[FechaCierre]]-Bandeja_SCTR[[#This Row],[FechaRecepcion]])*24,1))</f>
        <v/>
      </c>
      <c r="N441" s="3">
        <f>IF(Bandeja_SCTR[[#This Row],[FechaRecepcion]]="","",DATE(YEAR(Bandeja_SCTR[[#This Row],[FechaRecepcion]]),MONTH(Bandeja_SCTR[[#This Row],[FechaRecepcion]]),1))</f>
        <v>46296</v>
      </c>
      <c r="O441">
        <f>IF(Bandeja_SCTR[[#This Row],[Estado]]="FINALIZADO",1,0)</f>
        <v>0</v>
      </c>
      <c r="P441">
        <f>IF(Bandeja_SCTR[[#This Row],[CasoId]]="",0,IF(Bandeja_SCTR[[#This Row],[Estado]]="FINALIZADO",0,1))</f>
        <v>1</v>
      </c>
    </row>
    <row r="442" spans="1:16">
      <c r="A442" t="s">
        <v>1673</v>
      </c>
      <c r="B442" t="s">
        <v>1655</v>
      </c>
      <c r="C442" t="s">
        <v>1674</v>
      </c>
      <c r="D442" s="1">
        <v>46315.642245370371</v>
      </c>
      <c r="E442" s="1">
        <v>46315.642245370371</v>
      </c>
      <c r="F442" s="1" t="s">
        <v>150</v>
      </c>
      <c r="H442" s="1"/>
      <c r="I442" t="s">
        <v>150</v>
      </c>
      <c r="J442" t="s">
        <v>1675</v>
      </c>
      <c r="K442" s="8">
        <f ca="1">IF(OR(Bandeja_SCTR[[#This Row],[CasoId]]="",Bandeja_SCTR[[#This Row],[Estado]]="FINALIZADO",Bandeja_SCTR[[#This Row],[FechaUltimoCorreo]]=""),"",NETWORKDAYS(INT(Bandeja_SCTR[[#This Row],[FechaUltimoCorreo]]),TODAY(),DIAS_NOLAB[Feriados]))</f>
        <v>1</v>
      </c>
      <c r="L442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442" s="2" t="str">
        <f>IF(OR(Bandeja_SCTR[[#This Row],[FechaRecepcion]]="",Bandeja_SCTR[[#This Row],[FechaCierre]]=""),"",ROUND((Bandeja_SCTR[[#This Row],[FechaCierre]]-Bandeja_SCTR[[#This Row],[FechaRecepcion]])*24,1))</f>
        <v/>
      </c>
      <c r="N442" s="3">
        <f>IF(Bandeja_SCTR[[#This Row],[FechaRecepcion]]="","",DATE(YEAR(Bandeja_SCTR[[#This Row],[FechaRecepcion]]),MONTH(Bandeja_SCTR[[#This Row],[FechaRecepcion]]),1))</f>
        <v>46296</v>
      </c>
      <c r="O442">
        <f>IF(Bandeja_SCTR[[#This Row],[Estado]]="FINALIZADO",1,0)</f>
        <v>0</v>
      </c>
      <c r="P442">
        <f>IF(Bandeja_SCTR[[#This Row],[CasoId]]="",0,IF(Bandeja_SCTR[[#This Row],[Estado]]="FINALIZADO",0,1))</f>
        <v>1</v>
      </c>
    </row>
    <row r="443" spans="1:16" hidden="1">
      <c r="A443" t="s">
        <v>1676</v>
      </c>
      <c r="B443" t="s">
        <v>1640</v>
      </c>
      <c r="C443" t="s">
        <v>1677</v>
      </c>
      <c r="D443" s="1">
        <v>46315.644259259258</v>
      </c>
      <c r="E443" s="1">
        <v>46315.644259259258</v>
      </c>
      <c r="F443" s="1" t="s">
        <v>1678</v>
      </c>
      <c r="G443" t="s">
        <v>30</v>
      </c>
      <c r="H443" s="1">
        <v>46315.67541325232</v>
      </c>
      <c r="I443" t="s">
        <v>1679</v>
      </c>
      <c r="J443" t="s">
        <v>1680</v>
      </c>
      <c r="K443" s="8" t="str">
        <f ca="1">IF(OR(Bandeja_SCTR[[#This Row],[CasoId]]="",Bandeja_SCTR[[#This Row],[Estado]]="FINALIZADO",Bandeja_SCTR[[#This Row],[FechaUltimoCorreo]]=""),"",NETWORKDAYS(INT(Bandeja_SCTR[[#This Row],[FechaUltimoCorreo]]),TODAY(),DIAS_NOLAB[Feriados]))</f>
        <v/>
      </c>
      <c r="L443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443" s="2">
        <f>IF(OR(Bandeja_SCTR[[#This Row],[FechaRecepcion]]="",Bandeja_SCTR[[#This Row],[FechaCierre]]=""),"",ROUND((Bandeja_SCTR[[#This Row],[FechaCierre]]-Bandeja_SCTR[[#This Row],[FechaRecepcion]])*24,1))</f>
        <v>0.7</v>
      </c>
      <c r="N443" s="3">
        <f>IF(Bandeja_SCTR[[#This Row],[FechaRecepcion]]="","",DATE(YEAR(Bandeja_SCTR[[#This Row],[FechaRecepcion]]),MONTH(Bandeja_SCTR[[#This Row],[FechaRecepcion]]),1))</f>
        <v>46296</v>
      </c>
      <c r="O443">
        <f>IF(Bandeja_SCTR[[#This Row],[Estado]]="FINALIZADO",1,0)</f>
        <v>1</v>
      </c>
      <c r="P443">
        <f>IF(Bandeja_SCTR[[#This Row],[CasoId]]="",0,IF(Bandeja_SCTR[[#This Row],[Estado]]="FINALIZADO",0,1))</f>
        <v>0</v>
      </c>
    </row>
    <row r="444" spans="1:16">
      <c r="A444" t="s">
        <v>1681</v>
      </c>
      <c r="B444" t="s">
        <v>1640</v>
      </c>
      <c r="C444" t="s">
        <v>1682</v>
      </c>
      <c r="D444" s="1">
        <v>46315.647210648152</v>
      </c>
      <c r="E444" s="1">
        <v>46315.647210648152</v>
      </c>
      <c r="F444" s="1" t="s">
        <v>197</v>
      </c>
      <c r="H444" s="1"/>
      <c r="I444" t="s">
        <v>1683</v>
      </c>
      <c r="J444" t="s">
        <v>1684</v>
      </c>
      <c r="K444" s="8">
        <f ca="1">IF(OR(Bandeja_SCTR[[#This Row],[CasoId]]="",Bandeja_SCTR[[#This Row],[Estado]]="FINALIZADO",Bandeja_SCTR[[#This Row],[FechaUltimoCorreo]]=""),"",NETWORKDAYS(INT(Bandeja_SCTR[[#This Row],[FechaUltimoCorreo]]),TODAY(),DIAS_NOLAB[Feriados]))</f>
        <v>1</v>
      </c>
      <c r="L444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444" s="2" t="str">
        <f>IF(OR(Bandeja_SCTR[[#This Row],[FechaRecepcion]]="",Bandeja_SCTR[[#This Row],[FechaCierre]]=""),"",ROUND((Bandeja_SCTR[[#This Row],[FechaCierre]]-Bandeja_SCTR[[#This Row],[FechaRecepcion]])*24,1))</f>
        <v/>
      </c>
      <c r="N444" s="3">
        <f>IF(Bandeja_SCTR[[#This Row],[FechaRecepcion]]="","",DATE(YEAR(Bandeja_SCTR[[#This Row],[FechaRecepcion]]),MONTH(Bandeja_SCTR[[#This Row],[FechaRecepcion]]),1))</f>
        <v>46296</v>
      </c>
      <c r="O444">
        <f>IF(Bandeja_SCTR[[#This Row],[Estado]]="FINALIZADO",1,0)</f>
        <v>0</v>
      </c>
      <c r="P444">
        <f>IF(Bandeja_SCTR[[#This Row],[CasoId]]="",0,IF(Bandeja_SCTR[[#This Row],[Estado]]="FINALIZADO",0,1))</f>
        <v>1</v>
      </c>
    </row>
    <row r="445" spans="1:16">
      <c r="A445" t="s">
        <v>1685</v>
      </c>
      <c r="B445" t="s">
        <v>1686</v>
      </c>
      <c r="C445" t="s">
        <v>1687</v>
      </c>
      <c r="D445" s="1">
        <v>46315.648495370369</v>
      </c>
      <c r="E445" s="1">
        <v>46315.648495370369</v>
      </c>
      <c r="F445" s="1" t="s">
        <v>1279</v>
      </c>
      <c r="H445" s="1"/>
      <c r="I445" t="s">
        <v>1279</v>
      </c>
      <c r="K445" s="8">
        <f ca="1">IF(OR(Bandeja_SCTR[[#This Row],[CasoId]]="",Bandeja_SCTR[[#This Row],[Estado]]="FINALIZADO",Bandeja_SCTR[[#This Row],[FechaUltimoCorreo]]=""),"",NETWORKDAYS(INT(Bandeja_SCTR[[#This Row],[FechaUltimoCorreo]]),TODAY(),DIAS_NOLAB[Feriados]))</f>
        <v>1</v>
      </c>
      <c r="L445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445" s="2" t="str">
        <f>IF(OR(Bandeja_SCTR[[#This Row],[FechaRecepcion]]="",Bandeja_SCTR[[#This Row],[FechaCierre]]=""),"",ROUND((Bandeja_SCTR[[#This Row],[FechaCierre]]-Bandeja_SCTR[[#This Row],[FechaRecepcion]])*24,1))</f>
        <v/>
      </c>
      <c r="N445" s="3">
        <f>IF(Bandeja_SCTR[[#This Row],[FechaRecepcion]]="","",DATE(YEAR(Bandeja_SCTR[[#This Row],[FechaRecepcion]]),MONTH(Bandeja_SCTR[[#This Row],[FechaRecepcion]]),1))</f>
        <v>46296</v>
      </c>
      <c r="O445">
        <f>IF(Bandeja_SCTR[[#This Row],[Estado]]="FINALIZADO",1,0)</f>
        <v>0</v>
      </c>
      <c r="P445">
        <f>IF(Bandeja_SCTR[[#This Row],[CasoId]]="",0,IF(Bandeja_SCTR[[#This Row],[Estado]]="FINALIZADO",0,1))</f>
        <v>1</v>
      </c>
    </row>
    <row r="446" spans="1:16">
      <c r="A446" t="s">
        <v>1688</v>
      </c>
      <c r="B446" t="s">
        <v>1689</v>
      </c>
      <c r="C446" t="s">
        <v>1690</v>
      </c>
      <c r="D446" s="1">
        <v>46315.65111111111</v>
      </c>
      <c r="E446" s="1">
        <v>46315.65111111111</v>
      </c>
      <c r="F446" s="1" t="s">
        <v>144</v>
      </c>
      <c r="H446" s="1"/>
      <c r="I446" t="s">
        <v>210</v>
      </c>
      <c r="K446" s="8">
        <f ca="1">IF(OR(Bandeja_SCTR[[#This Row],[CasoId]]="",Bandeja_SCTR[[#This Row],[Estado]]="FINALIZADO",Bandeja_SCTR[[#This Row],[FechaUltimoCorreo]]=""),"",NETWORKDAYS(INT(Bandeja_SCTR[[#This Row],[FechaUltimoCorreo]]),TODAY(),DIAS_NOLAB[Feriados]))</f>
        <v>1</v>
      </c>
      <c r="L446">
        <f ca="1">IF(Bandeja_SCTR[[#This Row],[FechaRecepcion]]="","",NETWORKDAYS(INT(Bandeja_SCTR[[#This Row],[FechaRecepcion]]),IF(Bandeja_SCTR[[#This Row],[FechaCierre]]="",TODAY(),INT(Bandeja_SCTR[[#This Row],[FechaCierre]])),DIAS_NOLAB[Feriados]))</f>
        <v>1</v>
      </c>
      <c r="M446" s="2" t="str">
        <f>IF(OR(Bandeja_SCTR[[#This Row],[FechaRecepcion]]="",Bandeja_SCTR[[#This Row],[FechaCierre]]=""),"",ROUND((Bandeja_SCTR[[#This Row],[FechaCierre]]-Bandeja_SCTR[[#This Row],[FechaRecepcion]])*24,1))</f>
        <v/>
      </c>
      <c r="N446" s="3">
        <f>IF(Bandeja_SCTR[[#This Row],[FechaRecepcion]]="","",DATE(YEAR(Bandeja_SCTR[[#This Row],[FechaRecepcion]]),MONTH(Bandeja_SCTR[[#This Row],[FechaRecepcion]]),1))</f>
        <v>46296</v>
      </c>
      <c r="O446">
        <f>IF(Bandeja_SCTR[[#This Row],[Estado]]="FINALIZADO",1,0)</f>
        <v>0</v>
      </c>
      <c r="P446">
        <f>IF(Bandeja_SCTR[[#This Row],[CasoId]]="",0,IF(Bandeja_SCTR[[#This Row],[Estado]]="FINALIZADO",0,1))</f>
        <v>1</v>
      </c>
    </row>
  </sheetData>
  <dataValidations count="1">
    <dataValidation type="list" allowBlank="1" sqref="G2:G388 G390:G20444" xr:uid="{00000000-0002-0000-0000-000000000000}">
      <formula1>"FINALIZADO"</formula1>
    </dataValidation>
  </dataValidations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F22"/>
  <sheetViews>
    <sheetView workbookViewId="0"/>
  </sheetViews>
  <sheetFormatPr defaultColWidth="8.85546875" defaultRowHeight="14.45"/>
  <cols>
    <col min="2" max="2" width="22" customWidth="1"/>
    <col min="4" max="4" width="14" customWidth="1"/>
  </cols>
  <sheetData>
    <row r="2" spans="2:6">
      <c r="B2" s="4" t="s">
        <v>6</v>
      </c>
      <c r="D2" t="s">
        <v>1691</v>
      </c>
      <c r="F2" s="5" t="s">
        <v>1692</v>
      </c>
    </row>
    <row r="3" spans="2:6">
      <c r="B3" t="s">
        <v>30</v>
      </c>
      <c r="D3" s="6">
        <v>45938</v>
      </c>
    </row>
    <row r="4" spans="2:6">
      <c r="B4" s="5" t="s">
        <v>1693</v>
      </c>
      <c r="D4" s="6">
        <v>45962</v>
      </c>
    </row>
    <row r="5" spans="2:6">
      <c r="D5" s="6">
        <v>45999</v>
      </c>
    </row>
    <row r="6" spans="2:6">
      <c r="D6" s="6">
        <v>46000</v>
      </c>
    </row>
    <row r="7" spans="2:6">
      <c r="D7" s="6">
        <v>46016</v>
      </c>
    </row>
    <row r="8" spans="2:6">
      <c r="D8" s="6">
        <v>46023</v>
      </c>
    </row>
    <row r="9" spans="2:6">
      <c r="D9" s="6">
        <v>46114</v>
      </c>
    </row>
    <row r="10" spans="2:6">
      <c r="D10" s="6">
        <v>46115</v>
      </c>
    </row>
    <row r="11" spans="2:6">
      <c r="D11" s="6">
        <v>46143</v>
      </c>
    </row>
    <row r="12" spans="2:6">
      <c r="D12" s="6">
        <v>46202</v>
      </c>
    </row>
    <row r="13" spans="2:6">
      <c r="D13" s="6">
        <v>46226</v>
      </c>
    </row>
    <row r="14" spans="2:6">
      <c r="D14" s="6">
        <v>46231</v>
      </c>
    </row>
    <row r="15" spans="2:6">
      <c r="D15" s="6">
        <v>46232</v>
      </c>
    </row>
    <row r="16" spans="2:6">
      <c r="D16" s="6">
        <v>46240</v>
      </c>
    </row>
    <row r="17" spans="4:4">
      <c r="D17" s="6">
        <v>46264</v>
      </c>
    </row>
    <row r="18" spans="4:4">
      <c r="D18" s="6">
        <v>46303</v>
      </c>
    </row>
    <row r="19" spans="4:4">
      <c r="D19" s="6">
        <v>46327</v>
      </c>
    </row>
    <row r="20" spans="4:4">
      <c r="D20" s="6">
        <v>46364</v>
      </c>
    </row>
    <row r="21" spans="4:4">
      <c r="D21" s="6">
        <v>46365</v>
      </c>
    </row>
    <row r="22" spans="4:4">
      <c r="D22" s="6">
        <v>46381</v>
      </c>
    </row>
  </sheetData>
  <pageMargins left="0.75" right="0.75" top="1" bottom="1" header="0.5" footer="0.5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scriptIds xmlns="http://schemas.microsoft.com/office/extensibility/maker/v1.0" id="script-ids-node-id">
  <scriptId id="ms-officescript%3A%2F%2Fonedrive_business_itemlink%2F0156OTKCIBDGMJMDYX2NCJH6HYHUWNLTM4:ms-officescript%3A%2F%2Fonedrive_business_sharinglink%2Fu!aHR0cHM6Ly9tYXBmcmVjb3JwLW15LnNoYXJlcG9pbnQuY29tLzp1Oi9nL3BlcnNvbmFsL3NjdHJzYWx1ZF9tYXBmcmVfY29tX3BlL0lRQUJHWmlXRHhmVFJKUDQtRDBzMWMyY0FXUTNaYXFmSHROMGdJS2sya214RHpZ"/>
</scriptId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55F873CD8E35B46AA94A8258DDC3D10" ma:contentTypeVersion="240" ma:contentTypeDescription="Crear nuevo documento." ma:contentTypeScope="" ma:versionID="5c61b7976ac9579ad0e455d06184203c">
  <xsd:schema xmlns:xsd="http://www.w3.org/2001/XMLSchema" xmlns:xs="http://www.w3.org/2001/XMLSchema" xmlns:p="http://schemas.microsoft.com/office/2006/metadata/properties" xmlns:ns2="b646f9de-3297-4c31-891b-b6cf74e8a20b" xmlns:ns3="b8c6fdf2-8adc-4820-9c71-468ba955765c" targetNamespace="http://schemas.microsoft.com/office/2006/metadata/properties" ma:root="true" ma:fieldsID="17114f665530cad082246e1c2c6be152" ns2:_="" ns3:_="">
    <xsd:import namespace="b646f9de-3297-4c31-891b-b6cf74e8a20b"/>
    <xsd:import namespace="b8c6fdf2-8adc-4820-9c71-468ba955765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Estadodedocumento"/>
                <xsd:element ref="ns2:MediaServiceDateTaken" minOccurs="0"/>
                <xsd:element ref="ns2:MediaLengthInSeconds" minOccurs="0"/>
                <xsd:element ref="ns2:FECHA" minOccurs="0"/>
                <xsd:element ref="ns2:Nombre_x0020_de_x0020_la_x0020_empresa" minOccurs="0"/>
                <xsd:element ref="ns2:Nombredeltrabajador" minOccurs="0"/>
                <xsd:element ref="ns2:Fechadeaccidente" minOccurs="0"/>
                <xsd:element ref="ns2:Nombredeprocurador" minOccurs="0"/>
                <xsd:element ref="ns2:Dnidelprocurador" minOccurs="0"/>
                <xsd:element ref="ns2:Asunto" minOccurs="0"/>
                <xsd:element ref="ns2:Compa_x00f1_ia" minOccurs="0"/>
                <xsd:element ref="ns2:lcf76f155ced4ddcb4097134ff3c332f" minOccurs="0"/>
                <xsd:element ref="ns3:TaxCatchAll" minOccurs="0"/>
                <xsd:element ref="ns2:Correo" minOccurs="0"/>
                <xsd:element ref="ns2:Proveedor" minOccurs="0"/>
                <xsd:element ref="ns2:Direcci_x00f3_ndeproveedor" minOccurs="0"/>
                <xsd:element ref="ns2:Fechadecita1" minOccurs="0"/>
                <xsd:element ref="ns2:Fechadecita2" minOccurs="0"/>
                <xsd:element ref="ns2:Fechadecita3" minOccurs="0"/>
                <xsd:element ref="ns2:Horadecita1" minOccurs="0"/>
                <xsd:element ref="ns2:Horadecita2" minOccurs="0"/>
                <xsd:element ref="ns2:Horadecita3" minOccurs="0"/>
                <xsd:element ref="ns2:Fechadecita4" minOccurs="0"/>
                <xsd:element ref="ns2:Horadecita4" minOccurs="0"/>
                <xsd:element ref="ns2:Tel_x00e9_fonodelproveedor" minOccurs="0"/>
                <xsd:element ref="ns2:ProveedorE" minOccurs="0"/>
                <xsd:element ref="ns2:Direcci_x00f3_ndeproveedorE" minOccurs="0"/>
                <xsd:element ref="ns2:Tel_x00e9_fonodelproveedorE" minOccurs="0"/>
                <xsd:element ref="ns2:Fechadecita1_x0028_delproveedorE_x0029_" minOccurs="0"/>
                <xsd:element ref="ns2:Fechadecita2_x0028_delproveedorE_x0029_" minOccurs="0"/>
                <xsd:element ref="ns2:Fechadecita3_x0028_delproveedorE_x0029_" minOccurs="0"/>
                <xsd:element ref="ns2:Fechadecita4_x0028_delproveedorE_x0029_" minOccurs="0"/>
                <xsd:element ref="ns2:Horadecita1_x0028_delproveedorE_x0029_" minOccurs="0"/>
                <xsd:element ref="ns2:Horadecita2_x0028_delproveedorE_x0029_" minOccurs="0"/>
                <xsd:element ref="ns2:Horadecita3_x0028_delproveedorE_x0029_" minOccurs="0"/>
                <xsd:element ref="ns2:Horadecita4_x0028_delproveedorE_x0029_" minOccurs="0"/>
                <xsd:element ref="ns2:ProveedorD" minOccurs="0"/>
                <xsd:element ref="ns2:Direcci_x00f3_ndeproveedorD" minOccurs="0"/>
                <xsd:element ref="ns2:Tel_x00e9_fonodelproveedorD" minOccurs="0"/>
                <xsd:element ref="ns2:Fechadecita1_x0028_delproveedorD_x0029_" minOccurs="0"/>
                <xsd:element ref="ns2:Fechadecita2_x0028_delproveedorD_x0029_" minOccurs="0"/>
                <xsd:element ref="ns2:Fechadecita3_x0028_delproveedorD_x0029_" minOccurs="0"/>
                <xsd:element ref="ns2:Fechadecita4_x0028_delproveedorD_x0029_" minOccurs="0"/>
                <xsd:element ref="ns2:Horadecita1_x0028_delproveedorD_x0029_" minOccurs="0"/>
                <xsd:element ref="ns2:Horadecita2_x0028_delproveedorD_x0029_" minOccurs="0"/>
                <xsd:element ref="ns2:Horadecita3_x0028_delproveedorD_x0029_" minOccurs="0"/>
                <xsd:element ref="ns2:Horadecita4_x0028_delproveedorD_x0029_" minOccurs="0"/>
                <xsd:element ref="ns2:ProveedorC" minOccurs="0"/>
                <xsd:element ref="ns2:Direcci_x00f3_ndeproveedorC" minOccurs="0"/>
                <xsd:element ref="ns2:Tel_x00e9_fonodelproveedorC" minOccurs="0"/>
                <xsd:element ref="ns2:Fechadecita1_x0028_delproveedorC_x0029_" minOccurs="0"/>
                <xsd:element ref="ns2:Fechadecita2_x0028_delproveedorC_x0029_" minOccurs="0"/>
                <xsd:element ref="ns2:Fechadecita3_x0028_delproveedorC_x0029_" minOccurs="0"/>
                <xsd:element ref="ns2:Fechadecita4_x0028_delproveedorC_x0029_" minOccurs="0"/>
                <xsd:element ref="ns2:Horadecita1_x0028_delproveedorC_x0029_" minOccurs="0"/>
                <xsd:element ref="ns2:Horadecita2_x0028_delproveedorC_x0029_" minOccurs="0"/>
                <xsd:element ref="ns2:Horadecita3_x0028_delproveedorC_x0029_" minOccurs="0"/>
                <xsd:element ref="ns2:Horadecita4_x0028_delproveedorC_x0029_" minOccurs="0"/>
                <xsd:element ref="ns2:ProveedorB" minOccurs="0"/>
                <xsd:element ref="ns2:Direcci_x00f3_ndeproveedorB" minOccurs="0"/>
                <xsd:element ref="ns2:Tel_x00e9_fonodelproveedorB" minOccurs="0"/>
                <xsd:element ref="ns2:Fechadecita1_x0028_delproveedorB_x0029_" minOccurs="0"/>
                <xsd:element ref="ns2:Fechadecita2_x0028_delproveedorB_x0029_" minOccurs="0"/>
                <xsd:element ref="ns2:Fechadecita3_x0028_delproveedorB_x0029_" minOccurs="0"/>
                <xsd:element ref="ns2:Fechadecita4_x0028_delproveedorB_x0029_" minOccurs="0"/>
                <xsd:element ref="ns2:Horadecita1_x0028_delproveedorB_x0029_" minOccurs="0"/>
                <xsd:element ref="ns2:Horadecita2_x0028_delproveedorB_x0029_" minOccurs="0"/>
                <xsd:element ref="ns2:Horadecita3_x0028_delproveedorB_x0029_" minOccurs="0"/>
                <xsd:element ref="ns2:Horadecita4_x0028_delproveedorB_x0029_" minOccurs="0"/>
                <xsd:element ref="ns2:ProveedorA" minOccurs="0"/>
                <xsd:element ref="ns2:Direcci_x00f3_ndeproveedorA" minOccurs="0"/>
                <xsd:element ref="ns2:Tel_x00e9_fonodelproveedorA" minOccurs="0"/>
                <xsd:element ref="ns2:Fechadecita1_x0028_delproveedorA_x0029_" minOccurs="0"/>
                <xsd:element ref="ns2:Fechadecita2_x0028_delproveedorA_x0029_" minOccurs="0"/>
                <xsd:element ref="ns2:Fechadecita3_x0028_delproveedorA_x0029_" minOccurs="0"/>
                <xsd:element ref="ns2:Fechadecita4_x0028_delproveedorA_x0029_" minOccurs="0"/>
                <xsd:element ref="ns2:Horadecita1_x0028_delproveedorA_x0029_" minOccurs="0"/>
                <xsd:element ref="ns2:Horadecita2_x0028_delproveedorA_x0029_" minOccurs="0"/>
                <xsd:element ref="ns2:Horadecita3_x0028_delproveedorA_x0029_" minOccurs="0"/>
                <xsd:element ref="ns2:Horadecita4_x0028_delproveedorA_x0029_" minOccurs="0"/>
                <xsd:element ref="ns2:Nombredeasegurado" minOccurs="0"/>
                <xsd:element ref="ns2:CorreodelAsegurado" minOccurs="0"/>
                <xsd:element ref="ns2:P_x00f3_lizadelaempresa" minOccurs="0"/>
                <xsd:element ref="ns2:N_x00fa_merodesiniestro" minOccurs="0"/>
                <xsd:element ref="ns2:Causa" minOccurs="0"/>
                <xsd:element ref="ns2:Consecuencia" minOccurs="0"/>
                <xsd:element ref="ns2:Fechadepago" minOccurs="0"/>
                <xsd:element ref="ns2:Montoaindemnizar" minOccurs="0"/>
                <xsd:element ref="ns2:DIAGNOSTICOS_x002f_ENFERMEDAD" minOccurs="0"/>
                <xsd:element ref="ns2:Fechadesiniestro" minOccurs="0"/>
                <xsd:element ref="ns2:Menoscabo" minOccurs="0"/>
                <xsd:element ref="ns2:Remunpromedio" minOccurs="0"/>
                <xsd:element ref="ns2:DNIdelasegurado" minOccurs="0"/>
                <xsd:element ref="ns2:Tipodedocdeidentidaddelasegurado" minOccurs="0"/>
                <xsd:element ref="ns2:MENOSCABO_x002a_70_x0025_" minOccurs="0"/>
                <xsd:element ref="ns2:Montoaindemnizarletras" minOccurs="0"/>
                <xsd:element ref="ns2:Fechadesiniestroletras" minOccurs="0"/>
                <xsd:element ref="ns2:Fechadesiniestrolarga" minOccurs="0"/>
                <xsd:element ref="ns2:Montodeintereseslegalesletras" minOccurs="0"/>
                <xsd:element ref="ns2:Prestaci_x00f3_ny_x002f_oCobertura" minOccurs="0"/>
                <xsd:element ref="ns2:Nombredebeneficiario" minOccurs="0"/>
                <xsd:element ref="ns2:nrodedocumentodebeneficiario" minOccurs="0"/>
                <xsd:element ref="ns2:tipodedocumentodebeneficiario" minOccurs="0"/>
                <xsd:element ref="ns2:EXPEDIENTELEGAL" minOccurs="0"/>
                <xsd:element ref="ns2:Asunto_x002d_carta" minOccurs="0"/>
                <xsd:element ref="ns2:Numerodecelulardelasegurado" minOccurs="0"/>
                <xsd:element ref="ns2:Direcci_x00f3_ndelasegurado" minOccurs="0"/>
                <xsd:element ref="ns2:Documentospendientes" minOccurs="0"/>
                <xsd:element ref="ns2:PENSIONDEINVALIDEZ_x002f_INDEMNIZACION" minOccurs="0"/>
                <xsd:element ref="ns2:ANEXOCONSTANCIAINDEMNIZACION" minOccurs="0"/>
                <xsd:element ref="ns2:TIPOTRAMITE" minOccurs="0"/>
                <xsd:element ref="ns2:cuandooconsecuencia" minOccurs="0"/>
                <xsd:element ref="ns2:SEDEJUDICIAL" minOccurs="0"/>
                <xsd:element ref="ns2:Fechadeiniciodepension" minOccurs="0"/>
                <xsd:element ref="ns2:encumplimientolegal" minOccurs="0"/>
                <xsd:element ref="ns2:Fechadeultimapensi_x00f3_n" minOccurs="0"/>
                <xsd:element ref="ns2:ANEXO2DEPENSION" minOccurs="0"/>
                <xsd:element ref="ns2:MediaServiceObjectDetectorVersions" minOccurs="0"/>
                <xsd:element ref="ns2:EncasodeATESSALUD" minOccurs="0"/>
                <xsd:element ref="ns2:DICTMAPFRE1" minOccurs="0"/>
                <xsd:element ref="ns2:DICTINR1" minOccurs="0"/>
                <xsd:element ref="ns2:DICTMAPFRE2" minOccurs="0"/>
                <xsd:element ref="ns2:DICTINR2" minOccurs="0"/>
                <xsd:element ref="ns2:Tipodeconfi" minOccurs="0"/>
                <xsd:element ref="ns2:BROKER" minOccurs="0"/>
                <xsd:element ref="ns2:CORREOBROKER" minOccurs="0"/>
                <xsd:element ref="ns2:CORREOEMPRESA" minOccurs="0"/>
                <xsd:element ref="ns2:MediaServiceSearchProperties" minOccurs="0"/>
                <xsd:element ref="ns2:PROV1" minOccurs="0"/>
                <xsd:element ref="ns2:PROV2" minOccurs="0"/>
                <xsd:element ref="ns2:PROV3" minOccurs="0"/>
                <xsd:element ref="ns2:PROV4" minOccurs="0"/>
                <xsd:element ref="ns2:PROV5" minOccurs="0"/>
                <xsd:element ref="ns2:POLITICASREEMBOLSO" minOccurs="0"/>
                <xsd:element ref="ns2:CUERPOREEMBOLSO" minOccurs="0"/>
                <xsd:element ref="ns2:NOTAREEMBOLSO" minOccurs="0"/>
                <xsd:element ref="ns2:CONDIC_NATCLAR" minOccurs="0"/>
                <xsd:element ref="ns2:CIMEDIC" minOccurs="0"/>
                <xsd:element ref="ns2:CIMEDIC2" minOccurs="0"/>
                <xsd:element ref="ns2:CIMEDIC3" minOccurs="0"/>
                <xsd:element ref="ns2:CIMEDIC4" minOccurs="0"/>
                <xsd:element ref="ns2:CIMEDIC5" minOccurs="0"/>
                <xsd:element ref="ns2:FECH_RESOL" minOccurs="0"/>
                <xsd:element ref="ns2:LISTADEBENEFICIARIOS" minOccurs="0"/>
                <xsd:element ref="ns2:LISTAPARENTEZCO" minOccurs="0"/>
                <xsd:element ref="ns2:LISTA_x0025_" minOccurs="0"/>
                <xsd:element ref="ns2:LISTAACREDITADO" minOccurs="0"/>
                <xsd:element ref="ns2:Nro_Certificado" minOccurs="0"/>
                <xsd:element ref="ns2:Dia_Informe" minOccurs="0"/>
                <xsd:element ref="ns2:Mes_Informe" minOccurs="0"/>
                <xsd:element ref="ns2:Anio_Informe" minOccurs="0"/>
                <xsd:element ref="ns2:Apellido_Paterno" minOccurs="0"/>
                <xsd:element ref="ns2:Apellido_Materno" minOccurs="0"/>
                <xsd:element ref="ns2:Nombres" minOccurs="0"/>
                <xsd:element ref="ns2:DNI" minOccurs="0"/>
                <xsd:element ref="ns2:Sexo" minOccurs="0"/>
                <xsd:element ref="ns2:Edad" minOccurs="0"/>
                <xsd:element ref="ns2:Fecha_Nacimiento" minOccurs="0"/>
                <xsd:element ref="ns2:Calle" minOccurs="0"/>
                <xsd:element ref="ns2:Distrito" minOccurs="0"/>
                <xsd:element ref="ns2:Provincia" minOccurs="0"/>
                <xsd:element ref="ns2:Departamento" minOccurs="0"/>
                <xsd:element ref="ns2:Empleador" minOccurs="0"/>
                <xsd:element ref="ns2:Empresa_Sede" minOccurs="0"/>
                <xsd:element ref="ns2:Actividad" minOccurs="0"/>
                <xsd:element ref="ns2:Periodo_Laboral" minOccurs="0"/>
                <xsd:element ref="ns2:Ocupacion" minOccurs="0"/>
                <xsd:element ref="ns2:Fech_I" minOccurs="0"/>
                <xsd:element ref="ns2:Resultado_Informe" minOccurs="0"/>
                <xsd:element ref="ns2:Fech_A" minOccurs="0"/>
                <xsd:element ref="ns2:Resultado_AT" minOccurs="0"/>
                <xsd:element ref="ns2:Diagnostico_1" minOccurs="0"/>
                <xsd:element ref="ns2:Diagnostico_2" minOccurs="0"/>
                <xsd:element ref="ns2:Diagnostico_3" minOccurs="0"/>
                <xsd:element ref="ns2:Codigo_1" minOccurs="0"/>
                <xsd:element ref="ns2:Codigo_2" minOccurs="0"/>
                <xsd:element ref="ns2:Codigo_3" minOccurs="0"/>
                <xsd:element ref="ns2:N_Temporal" minOccurs="0"/>
                <xsd:element ref="ns2:N_Permanente" minOccurs="0"/>
                <xsd:element ref="ns2:N_NoIncapa" minOccurs="0"/>
                <xsd:element ref="ns2:I_Parcial" minOccurs="0"/>
                <xsd:element ref="ns2:I_Total" minOccurs="0"/>
                <xsd:element ref="ns2:I_GIncap" minOccurs="0"/>
                <xsd:element ref="ns2:Msc_Comb" minOccurs="0"/>
                <xsd:element ref="ns2:FC_Edad" minOccurs="0"/>
                <xsd:element ref="ns2:FC_Grado" minOccurs="0"/>
                <xsd:element ref="ns2:FC_Laboral" minOccurs="0"/>
                <xsd:element ref="ns2:Msc_Global" minOccurs="0"/>
                <xsd:element ref="ns2:Nro_Carta" minOccurs="0"/>
                <xsd:element ref="ns2:Fecha_Carta" minOccurs="0"/>
                <xsd:element ref="ns2:Nombre_Asegurado" minOccurs="0"/>
                <xsd:element ref="ns2:Correo_Asegurado" minOccurs="0"/>
                <xsd:element ref="ns2:Nro_Poliza" minOccurs="0"/>
                <xsd:element ref="ns2:Empresa" minOccurs="0"/>
                <xsd:element ref="ns2:Fecha_Siniestro" minOccurs="0"/>
                <xsd:element ref="ns2:Hora_Siniestro" minOccurs="0"/>
                <xsd:element ref="ns2:Sustento_Rechazo" minOccurs="0"/>
                <xsd:element ref="ns2:Fecha_Emision_Constancia" minOccurs="0"/>
                <xsd:element ref="ns2:Hora_Emision_Constancia" minOccurs="0"/>
                <xsd:element ref="ns2:Nro_Constancia" minOccurs="0"/>
                <xsd:element ref="ns2:Vigencia_Constancia" minOccurs="0"/>
                <xsd:element ref="ns2:Diagnosticos_Enfermedad" minOccurs="0"/>
                <xsd:element ref="ns2:Descripcion_Accidente" minOccurs="0"/>
                <xsd:element ref="ns2:Motivo_NoRelacion" minOccurs="0"/>
                <xsd:element ref="ns2:Labor_Riesgo" minOccurs="0"/>
                <xsd:element ref="ns2:Documentos_Incumplimiento" minOccurs="0"/>
                <xsd:element ref="ns2:Detalle_Doc_Incumplimiento" minOccurs="0"/>
                <xsd:element ref="ns2:Fecha_Siniestro1" minOccurs="0"/>
                <xsd:element ref="ns2:Documentos_Incumplimiento1" minOccurs="0"/>
                <xsd:element ref="ns2:Estipula1" minOccurs="0"/>
                <xsd:element ref="ns2:Detalle_Doc_Incumplimiento1" minOccurs="0"/>
                <xsd:element ref="ns2:Documentos_Incumplimiento2" minOccurs="0"/>
                <xsd:element ref="ns2:Estipula2" minOccurs="0"/>
                <xsd:element ref="ns2:Detalle_Doc_Incumplimiento2" minOccurs="0"/>
                <xsd:element ref="ns2:bl" minOccurs="0"/>
                <xsd:element ref="ns2:cl" minOccurs="0"/>
                <xsd:element ref="ns2:MediaServiceBillingMetadata" minOccurs="0"/>
                <xsd:element ref="ns2:Sustento_Rechazo_2" minOccurs="0"/>
                <xsd:element ref="ns2:Sustento_Rechazo_3" minOccurs="0"/>
                <xsd:element ref="ns2:Sustento_Rechazo_4" minOccurs="0"/>
                <xsd:element ref="ns2:Diagnosticos_2" minOccurs="0"/>
                <xsd:element ref="ns2:Diagnosticos_3" minOccurs="0"/>
                <xsd:element ref="ns2:Descripcion_Accidente_2" minOccurs="0"/>
                <xsd:element ref="ns2:Detalle_Doc_2" minOccurs="0"/>
                <xsd:element ref="ns2:Detalle_Doc_3" minOccurs="0"/>
                <xsd:element ref="ns2:Detalle_Doc_4" minOccurs="0"/>
                <xsd:element ref="ns2:Detalle_Doc_5" minOccurs="0"/>
                <xsd:element ref="ns2:Detalle_Doc_6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646f9de-3297-4c31-891b-b6cf74e8a20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Estadodedocumento" ma:index="18" ma:displayName="Estado de documento" ma:default="Pendiente" ma:description="Indica si el documento ya fue procesado y enviado a expediente digital o si aun esta pendiente." ma:format="RadioButtons" ma:indexed="true" ma:internalName="Estadodedocumento">
      <xsd:simpleType>
        <xsd:restriction base="dms:Choice">
          <xsd:enumeration value="Procesado"/>
          <xsd:enumeration value="Pendiente"/>
        </xsd:restriction>
      </xsd:simpleType>
    </xsd:element>
    <xsd:element name="MediaServiceDateTaken" ma:index="19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FECHA" ma:index="21" nillable="true" ma:displayName="FECHA" ma:format="DateOnly" ma:internalName="FECHA">
      <xsd:simpleType>
        <xsd:restriction base="dms:DateTime"/>
      </xsd:simpleType>
    </xsd:element>
    <xsd:element name="Nombre_x0020_de_x0020_la_x0020_empresa" ma:index="22" nillable="true" ma:displayName="Nombre de la empresa" ma:internalName="Nombre_x0020_de_x0020_la_x0020_empresa">
      <xsd:simpleType>
        <xsd:restriction base="dms:Text">
          <xsd:maxLength value="255"/>
        </xsd:restriction>
      </xsd:simpleType>
    </xsd:element>
    <xsd:element name="Nombredeltrabajador" ma:index="23" nillable="true" ma:displayName="Nombre de accidentado" ma:format="Dropdown" ma:internalName="Nombredeltrabajador">
      <xsd:simpleType>
        <xsd:restriction base="dms:Text">
          <xsd:maxLength value="255"/>
        </xsd:restriction>
      </xsd:simpleType>
    </xsd:element>
    <xsd:element name="Fechadeaccidente" ma:index="24" nillable="true" ma:displayName="Fecha de accidente" ma:format="Dropdown" ma:internalName="Fechadeaccidente">
      <xsd:simpleType>
        <xsd:restriction base="dms:Text">
          <xsd:maxLength value="255"/>
        </xsd:restriction>
      </xsd:simpleType>
    </xsd:element>
    <xsd:element name="Nombredeprocurador" ma:index="25" nillable="true" ma:displayName="Nombre procurador" ma:format="Dropdown" ma:internalName="Nombredeprocurador">
      <xsd:simpleType>
        <xsd:restriction base="dms:Text">
          <xsd:maxLength value="255"/>
        </xsd:restriction>
      </xsd:simpleType>
    </xsd:element>
    <xsd:element name="Dnidelprocurador" ma:index="26" nillable="true" ma:displayName="Dni procurador" ma:format="Dropdown" ma:internalName="Dnidelprocurador">
      <xsd:simpleType>
        <xsd:restriction base="dms:Text">
          <xsd:maxLength value="255"/>
        </xsd:restriction>
      </xsd:simpleType>
    </xsd:element>
    <xsd:element name="Asunto" ma:index="27" nillable="true" ma:displayName="Fecha de carta" ma:format="Dropdown" ma:internalName="Asunto">
      <xsd:simpleType>
        <xsd:restriction base="dms:Text">
          <xsd:maxLength value="255"/>
        </xsd:restriction>
      </xsd:simpleType>
    </xsd:element>
    <xsd:element name="Compa_x00f1_ia" ma:index="28" nillable="true" ma:displayName="Nombre de empresa" ma:format="Dropdown" ma:internalName="Compa_x00f1_ia">
      <xsd:simpleType>
        <xsd:restriction base="dms:Text">
          <xsd:maxLength value="255"/>
        </xsd:restriction>
      </xsd:simpleType>
    </xsd:element>
    <xsd:element name="lcf76f155ced4ddcb4097134ff3c332f" ma:index="30" nillable="true" ma:taxonomy="true" ma:internalName="lcf76f155ced4ddcb4097134ff3c332f" ma:taxonomyFieldName="MediaServiceImageTags" ma:displayName="Etiquetas de imagen" ma:readOnly="false" ma:fieldId="{5cf76f15-5ced-4ddc-b409-7134ff3c332f}" ma:taxonomyMulti="true" ma:sspId="db4f335f-4aac-4393-8d60-b82646c97e7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Correo" ma:index="32" nillable="true" ma:displayName="Correo" ma:format="Dropdown" ma:internalName="Correo">
      <xsd:simpleType>
        <xsd:restriction base="dms:Text">
          <xsd:maxLength value="255"/>
        </xsd:restriction>
      </xsd:simpleType>
    </xsd:element>
    <xsd:element name="Proveedor" ma:index="33" nillable="true" ma:displayName="Proveedor F" ma:format="Dropdown" ma:internalName="Proveedor">
      <xsd:simpleType>
        <xsd:restriction base="dms:Text">
          <xsd:maxLength value="255"/>
        </xsd:restriction>
      </xsd:simpleType>
    </xsd:element>
    <xsd:element name="Direcci_x00f3_ndeproveedor" ma:index="34" nillable="true" ma:displayName="Dirección de proveedor F" ma:format="Dropdown" ma:internalName="Direcci_x00f3_ndeproveedor">
      <xsd:simpleType>
        <xsd:restriction base="dms:Text">
          <xsd:maxLength value="255"/>
        </xsd:restriction>
      </xsd:simpleType>
    </xsd:element>
    <xsd:element name="Fechadecita1" ma:index="35" nillable="true" ma:displayName="Fecha de cita 1 (del proveedor F)" ma:format="Dropdown" ma:internalName="Fechadecita1">
      <xsd:simpleType>
        <xsd:restriction base="dms:Text">
          <xsd:maxLength value="255"/>
        </xsd:restriction>
      </xsd:simpleType>
    </xsd:element>
    <xsd:element name="Fechadecita2" ma:index="36" nillable="true" ma:displayName="Fecha de cita 2 (del proveedor F)" ma:format="Dropdown" ma:internalName="Fechadecita2">
      <xsd:simpleType>
        <xsd:restriction base="dms:Text">
          <xsd:maxLength value="255"/>
        </xsd:restriction>
      </xsd:simpleType>
    </xsd:element>
    <xsd:element name="Fechadecita3" ma:index="37" nillable="true" ma:displayName="Fecha de cita 3 (del proveedor F)" ma:format="Dropdown" ma:internalName="Fechadecita3">
      <xsd:simpleType>
        <xsd:restriction base="dms:Text">
          <xsd:maxLength value="255"/>
        </xsd:restriction>
      </xsd:simpleType>
    </xsd:element>
    <xsd:element name="Horadecita1" ma:index="38" nillable="true" ma:displayName="Hora de cita 1 (del proveedor F)" ma:format="Dropdown" ma:internalName="Horadecita1">
      <xsd:simpleType>
        <xsd:restriction base="dms:Text">
          <xsd:maxLength value="255"/>
        </xsd:restriction>
      </xsd:simpleType>
    </xsd:element>
    <xsd:element name="Horadecita2" ma:index="39" nillable="true" ma:displayName="Hora de cita 2 (del proveedor F)" ma:format="Dropdown" ma:internalName="Horadecita2">
      <xsd:simpleType>
        <xsd:restriction base="dms:Text">
          <xsd:maxLength value="255"/>
        </xsd:restriction>
      </xsd:simpleType>
    </xsd:element>
    <xsd:element name="Horadecita3" ma:index="40" nillable="true" ma:displayName="Hora de cita 3 (del proveedor F)" ma:format="Dropdown" ma:internalName="Horadecita3">
      <xsd:simpleType>
        <xsd:restriction base="dms:Text">
          <xsd:maxLength value="255"/>
        </xsd:restriction>
      </xsd:simpleType>
    </xsd:element>
    <xsd:element name="Fechadecita4" ma:index="41" nillable="true" ma:displayName="Fecha de cita 4 (del proveedor F)" ma:format="Dropdown" ma:internalName="Fechadecita4">
      <xsd:simpleType>
        <xsd:restriction base="dms:Text">
          <xsd:maxLength value="255"/>
        </xsd:restriction>
      </xsd:simpleType>
    </xsd:element>
    <xsd:element name="Horadecita4" ma:index="42" nillable="true" ma:displayName="Hora de cita 4 (del proveedor F)" ma:format="Dropdown" ma:internalName="Horadecita4">
      <xsd:simpleType>
        <xsd:restriction base="dms:Text">
          <xsd:maxLength value="255"/>
        </xsd:restriction>
      </xsd:simpleType>
    </xsd:element>
    <xsd:element name="Tel_x00e9_fonodelproveedor" ma:index="43" nillable="true" ma:displayName="Teléfono del proveedor F" ma:format="Dropdown" ma:internalName="Tel_x00e9_fonodelproveedor">
      <xsd:simpleType>
        <xsd:restriction base="dms:Text">
          <xsd:maxLength value="255"/>
        </xsd:restriction>
      </xsd:simpleType>
    </xsd:element>
    <xsd:element name="ProveedorE" ma:index="44" nillable="true" ma:displayName="Proveedor E" ma:format="Dropdown" ma:internalName="ProveedorE">
      <xsd:simpleType>
        <xsd:restriction base="dms:Text">
          <xsd:maxLength value="255"/>
        </xsd:restriction>
      </xsd:simpleType>
    </xsd:element>
    <xsd:element name="Direcci_x00f3_ndeproveedorE" ma:index="45" nillable="true" ma:displayName="Dirección de proveedor E" ma:format="Dropdown" ma:internalName="Direcci_x00f3_ndeproveedorE">
      <xsd:simpleType>
        <xsd:restriction base="dms:Text">
          <xsd:maxLength value="255"/>
        </xsd:restriction>
      </xsd:simpleType>
    </xsd:element>
    <xsd:element name="Tel_x00e9_fonodelproveedorE" ma:index="46" nillable="true" ma:displayName="Teléfono del proveedor E" ma:format="Dropdown" ma:internalName="Tel_x00e9_fonodelproveedorE">
      <xsd:simpleType>
        <xsd:restriction base="dms:Text">
          <xsd:maxLength value="255"/>
        </xsd:restriction>
      </xsd:simpleType>
    </xsd:element>
    <xsd:element name="Fechadecita1_x0028_delproveedorE_x0029_" ma:index="47" nillable="true" ma:displayName="Fecha de cita 1 (del proveedor E)" ma:format="Dropdown" ma:internalName="Fechadecita1_x0028_delproveedorE_x0029_">
      <xsd:simpleType>
        <xsd:restriction base="dms:Text">
          <xsd:maxLength value="255"/>
        </xsd:restriction>
      </xsd:simpleType>
    </xsd:element>
    <xsd:element name="Fechadecita2_x0028_delproveedorE_x0029_" ma:index="48" nillable="true" ma:displayName="Fecha de cita 2 (del proveedor E)" ma:format="Dropdown" ma:internalName="Fechadecita2_x0028_delproveedorE_x0029_">
      <xsd:simpleType>
        <xsd:restriction base="dms:Text">
          <xsd:maxLength value="255"/>
        </xsd:restriction>
      </xsd:simpleType>
    </xsd:element>
    <xsd:element name="Fechadecita3_x0028_delproveedorE_x0029_" ma:index="49" nillable="true" ma:displayName="Fecha de cita 3 (del proveedor E)" ma:format="Dropdown" ma:internalName="Fechadecita3_x0028_delproveedorE_x0029_">
      <xsd:simpleType>
        <xsd:restriction base="dms:Text">
          <xsd:maxLength value="255"/>
        </xsd:restriction>
      </xsd:simpleType>
    </xsd:element>
    <xsd:element name="Fechadecita4_x0028_delproveedorE_x0029_" ma:index="50" nillable="true" ma:displayName="Fecha de cita 4 (del proveedor E)" ma:format="Dropdown" ma:internalName="Fechadecita4_x0028_delproveedorE_x0029_">
      <xsd:simpleType>
        <xsd:restriction base="dms:Text">
          <xsd:maxLength value="255"/>
        </xsd:restriction>
      </xsd:simpleType>
    </xsd:element>
    <xsd:element name="Horadecita1_x0028_delproveedorE_x0029_" ma:index="51" nillable="true" ma:displayName="Hora de cita 1 (del proveedor E)" ma:format="Dropdown" ma:internalName="Horadecita1_x0028_delproveedorE_x0029_">
      <xsd:simpleType>
        <xsd:restriction base="dms:Text">
          <xsd:maxLength value="255"/>
        </xsd:restriction>
      </xsd:simpleType>
    </xsd:element>
    <xsd:element name="Horadecita2_x0028_delproveedorE_x0029_" ma:index="52" nillable="true" ma:displayName="Hora de cita 2 (del proveedor E)" ma:format="Dropdown" ma:internalName="Horadecita2_x0028_delproveedorE_x0029_">
      <xsd:simpleType>
        <xsd:restriction base="dms:Text">
          <xsd:maxLength value="255"/>
        </xsd:restriction>
      </xsd:simpleType>
    </xsd:element>
    <xsd:element name="Horadecita3_x0028_delproveedorE_x0029_" ma:index="53" nillable="true" ma:displayName="Hora de cita 3 (del proveedor E)" ma:format="Dropdown" ma:internalName="Horadecita3_x0028_delproveedorE_x0029_">
      <xsd:simpleType>
        <xsd:restriction base="dms:Text">
          <xsd:maxLength value="255"/>
        </xsd:restriction>
      </xsd:simpleType>
    </xsd:element>
    <xsd:element name="Horadecita4_x0028_delproveedorE_x0029_" ma:index="54" nillable="true" ma:displayName="Hora de cita 4 (del proveedor E)" ma:format="Dropdown" ma:internalName="Horadecita4_x0028_delproveedorE_x0029_">
      <xsd:simpleType>
        <xsd:restriction base="dms:Text">
          <xsd:maxLength value="255"/>
        </xsd:restriction>
      </xsd:simpleType>
    </xsd:element>
    <xsd:element name="ProveedorD" ma:index="55" nillable="true" ma:displayName="Proveedor D" ma:format="Dropdown" ma:internalName="ProveedorD">
      <xsd:simpleType>
        <xsd:restriction base="dms:Text">
          <xsd:maxLength value="255"/>
        </xsd:restriction>
      </xsd:simpleType>
    </xsd:element>
    <xsd:element name="Direcci_x00f3_ndeproveedorD" ma:index="56" nillable="true" ma:displayName="Dirección de proveedor D" ma:format="Dropdown" ma:internalName="Direcci_x00f3_ndeproveedorD">
      <xsd:simpleType>
        <xsd:restriction base="dms:Text">
          <xsd:maxLength value="255"/>
        </xsd:restriction>
      </xsd:simpleType>
    </xsd:element>
    <xsd:element name="Tel_x00e9_fonodelproveedorD" ma:index="57" nillable="true" ma:displayName="Teléfono del proveedor D" ma:format="Dropdown" ma:internalName="Tel_x00e9_fonodelproveedorD">
      <xsd:simpleType>
        <xsd:restriction base="dms:Text">
          <xsd:maxLength value="255"/>
        </xsd:restriction>
      </xsd:simpleType>
    </xsd:element>
    <xsd:element name="Fechadecita1_x0028_delproveedorD_x0029_" ma:index="58" nillable="true" ma:displayName="Fecha de cita 1 (del proveedor D)" ma:format="Dropdown" ma:internalName="Fechadecita1_x0028_delproveedorD_x0029_">
      <xsd:simpleType>
        <xsd:restriction base="dms:Text">
          <xsd:maxLength value="255"/>
        </xsd:restriction>
      </xsd:simpleType>
    </xsd:element>
    <xsd:element name="Fechadecita2_x0028_delproveedorD_x0029_" ma:index="59" nillable="true" ma:displayName="Fecha de cita 2 (del proveedor D)" ma:format="Dropdown" ma:internalName="Fechadecita2_x0028_delproveedorD_x0029_">
      <xsd:simpleType>
        <xsd:restriction base="dms:Text">
          <xsd:maxLength value="255"/>
        </xsd:restriction>
      </xsd:simpleType>
    </xsd:element>
    <xsd:element name="Fechadecita3_x0028_delproveedorD_x0029_" ma:index="60" nillable="true" ma:displayName="Fecha de cita 3 (del proveedor D)" ma:format="Dropdown" ma:internalName="Fechadecita3_x0028_delproveedorD_x0029_">
      <xsd:simpleType>
        <xsd:restriction base="dms:Text">
          <xsd:maxLength value="255"/>
        </xsd:restriction>
      </xsd:simpleType>
    </xsd:element>
    <xsd:element name="Fechadecita4_x0028_delproveedorD_x0029_" ma:index="61" nillable="true" ma:displayName="Fecha de cita 4 (del proveedor D)" ma:format="Dropdown" ma:internalName="Fechadecita4_x0028_delproveedorD_x0029_">
      <xsd:simpleType>
        <xsd:restriction base="dms:Text">
          <xsd:maxLength value="255"/>
        </xsd:restriction>
      </xsd:simpleType>
    </xsd:element>
    <xsd:element name="Horadecita1_x0028_delproveedorD_x0029_" ma:index="62" nillable="true" ma:displayName="Hora de cita 1 (del proveedor D)" ma:format="Dropdown" ma:internalName="Horadecita1_x0028_delproveedorD_x0029_">
      <xsd:simpleType>
        <xsd:restriction base="dms:Text">
          <xsd:maxLength value="255"/>
        </xsd:restriction>
      </xsd:simpleType>
    </xsd:element>
    <xsd:element name="Horadecita2_x0028_delproveedorD_x0029_" ma:index="63" nillable="true" ma:displayName="Hora de cita 2 (del proveedor D)" ma:format="Dropdown" ma:internalName="Horadecita2_x0028_delproveedorD_x0029_">
      <xsd:simpleType>
        <xsd:restriction base="dms:Text">
          <xsd:maxLength value="255"/>
        </xsd:restriction>
      </xsd:simpleType>
    </xsd:element>
    <xsd:element name="Horadecita3_x0028_delproveedorD_x0029_" ma:index="64" nillable="true" ma:displayName="Hora de cita 3 (del proveedor D)" ma:format="Dropdown" ma:internalName="Horadecita3_x0028_delproveedorD_x0029_">
      <xsd:simpleType>
        <xsd:restriction base="dms:Text">
          <xsd:maxLength value="255"/>
        </xsd:restriction>
      </xsd:simpleType>
    </xsd:element>
    <xsd:element name="Horadecita4_x0028_delproveedorD_x0029_" ma:index="65" nillable="true" ma:displayName="Hora de cita 4 (del proveedor D)" ma:format="Dropdown" ma:internalName="Horadecita4_x0028_delproveedorD_x0029_">
      <xsd:simpleType>
        <xsd:restriction base="dms:Text">
          <xsd:maxLength value="255"/>
        </xsd:restriction>
      </xsd:simpleType>
    </xsd:element>
    <xsd:element name="ProveedorC" ma:index="66" nillable="true" ma:displayName="Proveedor C" ma:format="Dropdown" ma:internalName="ProveedorC">
      <xsd:simpleType>
        <xsd:restriction base="dms:Text">
          <xsd:maxLength value="255"/>
        </xsd:restriction>
      </xsd:simpleType>
    </xsd:element>
    <xsd:element name="Direcci_x00f3_ndeproveedorC" ma:index="67" nillable="true" ma:displayName="Dirección de proveedor C" ma:format="Dropdown" ma:internalName="Direcci_x00f3_ndeproveedorC">
      <xsd:simpleType>
        <xsd:restriction base="dms:Text">
          <xsd:maxLength value="255"/>
        </xsd:restriction>
      </xsd:simpleType>
    </xsd:element>
    <xsd:element name="Tel_x00e9_fonodelproveedorC" ma:index="68" nillable="true" ma:displayName="Teléfono del proveedor C" ma:format="Dropdown" ma:internalName="Tel_x00e9_fonodelproveedorC">
      <xsd:simpleType>
        <xsd:restriction base="dms:Text">
          <xsd:maxLength value="255"/>
        </xsd:restriction>
      </xsd:simpleType>
    </xsd:element>
    <xsd:element name="Fechadecita1_x0028_delproveedorC_x0029_" ma:index="69" nillable="true" ma:displayName="Fecha de cita 1 (del proveedor C)" ma:format="Dropdown" ma:internalName="Fechadecita1_x0028_delproveedorC_x0029_">
      <xsd:simpleType>
        <xsd:restriction base="dms:Text">
          <xsd:maxLength value="255"/>
        </xsd:restriction>
      </xsd:simpleType>
    </xsd:element>
    <xsd:element name="Fechadecita2_x0028_delproveedorC_x0029_" ma:index="70" nillable="true" ma:displayName="Fecha de cita 2 (del proveedor C)" ma:format="Dropdown" ma:internalName="Fechadecita2_x0028_delproveedorC_x0029_">
      <xsd:simpleType>
        <xsd:restriction base="dms:Text">
          <xsd:maxLength value="255"/>
        </xsd:restriction>
      </xsd:simpleType>
    </xsd:element>
    <xsd:element name="Fechadecita3_x0028_delproveedorC_x0029_" ma:index="71" nillable="true" ma:displayName="Fecha de cita 3 (del proveedor C)" ma:format="Dropdown" ma:internalName="Fechadecita3_x0028_delproveedorC_x0029_">
      <xsd:simpleType>
        <xsd:restriction base="dms:Text">
          <xsd:maxLength value="255"/>
        </xsd:restriction>
      </xsd:simpleType>
    </xsd:element>
    <xsd:element name="Fechadecita4_x0028_delproveedorC_x0029_" ma:index="72" nillable="true" ma:displayName="Fecha de cita 4 (del proveedor C)" ma:format="Dropdown" ma:internalName="Fechadecita4_x0028_delproveedorC_x0029_">
      <xsd:simpleType>
        <xsd:restriction base="dms:Text">
          <xsd:maxLength value="255"/>
        </xsd:restriction>
      </xsd:simpleType>
    </xsd:element>
    <xsd:element name="Horadecita1_x0028_delproveedorC_x0029_" ma:index="73" nillable="true" ma:displayName="Hora de cita 1 (del proveedor C)" ma:format="Dropdown" ma:internalName="Horadecita1_x0028_delproveedorC_x0029_">
      <xsd:simpleType>
        <xsd:restriction base="dms:Text">
          <xsd:maxLength value="255"/>
        </xsd:restriction>
      </xsd:simpleType>
    </xsd:element>
    <xsd:element name="Horadecita2_x0028_delproveedorC_x0029_" ma:index="74" nillable="true" ma:displayName="Hora de cita 2 (del proveedor C)" ma:format="Dropdown" ma:internalName="Horadecita2_x0028_delproveedorC_x0029_">
      <xsd:simpleType>
        <xsd:restriction base="dms:Text">
          <xsd:maxLength value="255"/>
        </xsd:restriction>
      </xsd:simpleType>
    </xsd:element>
    <xsd:element name="Horadecita3_x0028_delproveedorC_x0029_" ma:index="75" nillable="true" ma:displayName="Hora de cita 3 (del proveedor C)" ma:format="Dropdown" ma:internalName="Horadecita3_x0028_delproveedorC_x0029_">
      <xsd:simpleType>
        <xsd:restriction base="dms:Text">
          <xsd:maxLength value="255"/>
        </xsd:restriction>
      </xsd:simpleType>
    </xsd:element>
    <xsd:element name="Horadecita4_x0028_delproveedorC_x0029_" ma:index="76" nillable="true" ma:displayName="Hora de cita 4 (del proveedor C)" ma:format="Dropdown" ma:internalName="Horadecita4_x0028_delproveedorC_x0029_">
      <xsd:simpleType>
        <xsd:restriction base="dms:Text">
          <xsd:maxLength value="255"/>
        </xsd:restriction>
      </xsd:simpleType>
    </xsd:element>
    <xsd:element name="ProveedorB" ma:index="77" nillable="true" ma:displayName="Proveedor B" ma:format="Dropdown" ma:internalName="ProveedorB">
      <xsd:simpleType>
        <xsd:restriction base="dms:Text">
          <xsd:maxLength value="255"/>
        </xsd:restriction>
      </xsd:simpleType>
    </xsd:element>
    <xsd:element name="Direcci_x00f3_ndeproveedorB" ma:index="78" nillable="true" ma:displayName="Dirección de proveedor B" ma:format="Dropdown" ma:internalName="Direcci_x00f3_ndeproveedorB">
      <xsd:simpleType>
        <xsd:restriction base="dms:Text">
          <xsd:maxLength value="255"/>
        </xsd:restriction>
      </xsd:simpleType>
    </xsd:element>
    <xsd:element name="Tel_x00e9_fonodelproveedorB" ma:index="79" nillable="true" ma:displayName="Teléfono del proveedor B" ma:format="Dropdown" ma:internalName="Tel_x00e9_fonodelproveedorB">
      <xsd:simpleType>
        <xsd:restriction base="dms:Text">
          <xsd:maxLength value="255"/>
        </xsd:restriction>
      </xsd:simpleType>
    </xsd:element>
    <xsd:element name="Fechadecita1_x0028_delproveedorB_x0029_" ma:index="80" nillable="true" ma:displayName="Fecha de cita 1 (del proveedor B)" ma:format="Dropdown" ma:internalName="Fechadecita1_x0028_delproveedorB_x0029_">
      <xsd:simpleType>
        <xsd:restriction base="dms:Text">
          <xsd:maxLength value="255"/>
        </xsd:restriction>
      </xsd:simpleType>
    </xsd:element>
    <xsd:element name="Fechadecita2_x0028_delproveedorB_x0029_" ma:index="81" nillable="true" ma:displayName="Fecha de cita 2 (del proveedor B)" ma:format="Dropdown" ma:internalName="Fechadecita2_x0028_delproveedorB_x0029_">
      <xsd:simpleType>
        <xsd:restriction base="dms:Text">
          <xsd:maxLength value="255"/>
        </xsd:restriction>
      </xsd:simpleType>
    </xsd:element>
    <xsd:element name="Fechadecita3_x0028_delproveedorB_x0029_" ma:index="82" nillable="true" ma:displayName="Fecha de cita 3 (del proveedor B)" ma:format="Dropdown" ma:internalName="Fechadecita3_x0028_delproveedorB_x0029_">
      <xsd:simpleType>
        <xsd:restriction base="dms:Text">
          <xsd:maxLength value="255"/>
        </xsd:restriction>
      </xsd:simpleType>
    </xsd:element>
    <xsd:element name="Fechadecita4_x0028_delproveedorB_x0029_" ma:index="83" nillable="true" ma:displayName="Fecha de cita 4 (del proveedor B)" ma:format="Dropdown" ma:internalName="Fechadecita4_x0028_delproveedorB_x0029_">
      <xsd:simpleType>
        <xsd:restriction base="dms:Text">
          <xsd:maxLength value="255"/>
        </xsd:restriction>
      </xsd:simpleType>
    </xsd:element>
    <xsd:element name="Horadecita1_x0028_delproveedorB_x0029_" ma:index="84" nillable="true" ma:displayName="Hora de cita 1 (del proveedor B)" ma:format="Dropdown" ma:internalName="Horadecita1_x0028_delproveedorB_x0029_">
      <xsd:simpleType>
        <xsd:restriction base="dms:Text">
          <xsd:maxLength value="255"/>
        </xsd:restriction>
      </xsd:simpleType>
    </xsd:element>
    <xsd:element name="Horadecita2_x0028_delproveedorB_x0029_" ma:index="85" nillable="true" ma:displayName="Hora de cita 2 (del proveedor B)" ma:format="Dropdown" ma:internalName="Horadecita2_x0028_delproveedorB_x0029_">
      <xsd:simpleType>
        <xsd:restriction base="dms:Text">
          <xsd:maxLength value="255"/>
        </xsd:restriction>
      </xsd:simpleType>
    </xsd:element>
    <xsd:element name="Horadecita3_x0028_delproveedorB_x0029_" ma:index="86" nillable="true" ma:displayName="Hora de cita 3 (del proveedor B)" ma:format="Dropdown" ma:internalName="Horadecita3_x0028_delproveedorB_x0029_">
      <xsd:simpleType>
        <xsd:restriction base="dms:Text">
          <xsd:maxLength value="255"/>
        </xsd:restriction>
      </xsd:simpleType>
    </xsd:element>
    <xsd:element name="Horadecita4_x0028_delproveedorB_x0029_" ma:index="87" nillable="true" ma:displayName="Hora de cita 4 (del proveedor B)" ma:format="Dropdown" ma:internalName="Horadecita4_x0028_delproveedorB_x0029_">
      <xsd:simpleType>
        <xsd:restriction base="dms:Text">
          <xsd:maxLength value="255"/>
        </xsd:restriction>
      </xsd:simpleType>
    </xsd:element>
    <xsd:element name="ProveedorA" ma:index="88" nillable="true" ma:displayName="Proveedor A" ma:format="Dropdown" ma:internalName="ProveedorA">
      <xsd:simpleType>
        <xsd:restriction base="dms:Text">
          <xsd:maxLength value="255"/>
        </xsd:restriction>
      </xsd:simpleType>
    </xsd:element>
    <xsd:element name="Direcci_x00f3_ndeproveedorA" ma:index="89" nillable="true" ma:displayName="Dirección de proveedor A" ma:format="Dropdown" ma:internalName="Direcci_x00f3_ndeproveedorA">
      <xsd:simpleType>
        <xsd:restriction base="dms:Text">
          <xsd:maxLength value="255"/>
        </xsd:restriction>
      </xsd:simpleType>
    </xsd:element>
    <xsd:element name="Tel_x00e9_fonodelproveedorA" ma:index="90" nillable="true" ma:displayName="Teléfono del proveedor A" ma:format="Dropdown" ma:internalName="Tel_x00e9_fonodelproveedorA">
      <xsd:simpleType>
        <xsd:restriction base="dms:Text">
          <xsd:maxLength value="255"/>
        </xsd:restriction>
      </xsd:simpleType>
    </xsd:element>
    <xsd:element name="Fechadecita1_x0028_delproveedorA_x0029_" ma:index="91" nillable="true" ma:displayName="Fecha de cita 1 (del proveedor A)" ma:format="Dropdown" ma:internalName="Fechadecita1_x0028_delproveedorA_x0029_">
      <xsd:simpleType>
        <xsd:restriction base="dms:Text">
          <xsd:maxLength value="255"/>
        </xsd:restriction>
      </xsd:simpleType>
    </xsd:element>
    <xsd:element name="Fechadecita2_x0028_delproveedorA_x0029_" ma:index="92" nillable="true" ma:displayName="Fecha de cita 2 (del proveedor A)" ma:format="Dropdown" ma:internalName="Fechadecita2_x0028_delproveedorA_x0029_">
      <xsd:simpleType>
        <xsd:restriction base="dms:Text">
          <xsd:maxLength value="255"/>
        </xsd:restriction>
      </xsd:simpleType>
    </xsd:element>
    <xsd:element name="Fechadecita3_x0028_delproveedorA_x0029_" ma:index="93" nillable="true" ma:displayName="Fecha de cita 3 (del proveedor A)" ma:format="Dropdown" ma:internalName="Fechadecita3_x0028_delproveedorA_x0029_">
      <xsd:simpleType>
        <xsd:restriction base="dms:Text">
          <xsd:maxLength value="255"/>
        </xsd:restriction>
      </xsd:simpleType>
    </xsd:element>
    <xsd:element name="Fechadecita4_x0028_delproveedorA_x0029_" ma:index="94" nillable="true" ma:displayName="Fecha de cita 4 (del proveedor A)" ma:format="Dropdown" ma:internalName="Fechadecita4_x0028_delproveedorA_x0029_">
      <xsd:simpleType>
        <xsd:restriction base="dms:Text">
          <xsd:maxLength value="255"/>
        </xsd:restriction>
      </xsd:simpleType>
    </xsd:element>
    <xsd:element name="Horadecita1_x0028_delproveedorA_x0029_" ma:index="95" nillable="true" ma:displayName="Hora de cita 1 (del proveedor A)" ma:format="Dropdown" ma:internalName="Horadecita1_x0028_delproveedorA_x0029_">
      <xsd:simpleType>
        <xsd:restriction base="dms:Text">
          <xsd:maxLength value="255"/>
        </xsd:restriction>
      </xsd:simpleType>
    </xsd:element>
    <xsd:element name="Horadecita2_x0028_delproveedorA_x0029_" ma:index="96" nillable="true" ma:displayName="Hora de cita 2 (del proveedor A)" ma:format="Dropdown" ma:internalName="Horadecita2_x0028_delproveedorA_x0029_">
      <xsd:simpleType>
        <xsd:restriction base="dms:Text">
          <xsd:maxLength value="255"/>
        </xsd:restriction>
      </xsd:simpleType>
    </xsd:element>
    <xsd:element name="Horadecita3_x0028_delproveedorA_x0029_" ma:index="97" nillable="true" ma:displayName="Hora de cita 3 (del proveedor A)" ma:format="Dropdown" ma:internalName="Horadecita3_x0028_delproveedorA_x0029_">
      <xsd:simpleType>
        <xsd:restriction base="dms:Text">
          <xsd:maxLength value="255"/>
        </xsd:restriction>
      </xsd:simpleType>
    </xsd:element>
    <xsd:element name="Horadecita4_x0028_delproveedorA_x0029_" ma:index="98" nillable="true" ma:displayName="Hora de cita 4 (del proveedor A)" ma:format="Dropdown" ma:internalName="Horadecita4_x0028_delproveedorA_x0029_">
      <xsd:simpleType>
        <xsd:restriction base="dms:Text">
          <xsd:maxLength value="255"/>
        </xsd:restriction>
      </xsd:simpleType>
    </xsd:element>
    <xsd:element name="Nombredeasegurado" ma:index="99" nillable="true" ma:displayName="Nombre de asegurado" ma:format="Dropdown" ma:internalName="Nombredeasegurado">
      <xsd:simpleType>
        <xsd:restriction base="dms:Text">
          <xsd:maxLength value="255"/>
        </xsd:restriction>
      </xsd:simpleType>
    </xsd:element>
    <xsd:element name="CorreodelAsegurado" ma:index="100" nillable="true" ma:displayName="Correo del Asegurado" ma:format="Dropdown" ma:internalName="CorreodelAsegurado">
      <xsd:simpleType>
        <xsd:restriction base="dms:Text">
          <xsd:maxLength value="255"/>
        </xsd:restriction>
      </xsd:simpleType>
    </xsd:element>
    <xsd:element name="P_x00f3_lizadelaempresa" ma:index="101" nillable="true" ma:displayName="Póliza de la empresa" ma:format="Dropdown" ma:internalName="P_x00f3_lizadelaempresa">
      <xsd:simpleType>
        <xsd:restriction base="dms:Text">
          <xsd:maxLength value="255"/>
        </xsd:restriction>
      </xsd:simpleType>
    </xsd:element>
    <xsd:element name="N_x00fa_merodesiniestro" ma:index="102" nillable="true" ma:displayName="Número de siniestro" ma:format="Dropdown" ma:internalName="N_x00fa_merodesiniestro">
      <xsd:simpleType>
        <xsd:restriction base="dms:Text">
          <xsd:maxLength value="255"/>
        </xsd:restriction>
      </xsd:simpleType>
    </xsd:element>
    <xsd:element name="Causa" ma:index="103" nillable="true" ma:displayName="Causa" ma:format="Dropdown" ma:internalName="Causa">
      <xsd:simpleType>
        <xsd:restriction base="dms:Text">
          <xsd:maxLength value="255"/>
        </xsd:restriction>
      </xsd:simpleType>
    </xsd:element>
    <xsd:element name="Consecuencia" ma:index="104" nillable="true" ma:displayName="Consecuencia" ma:format="Dropdown" ma:internalName="Consecuencia">
      <xsd:simpleType>
        <xsd:restriction base="dms:Text">
          <xsd:maxLength value="255"/>
        </xsd:restriction>
      </xsd:simpleType>
    </xsd:element>
    <xsd:element name="Fechadepago" ma:index="105" nillable="true" ma:displayName="Fecha de pago" ma:format="Dropdown" ma:internalName="Fechadepago">
      <xsd:simpleType>
        <xsd:restriction base="dms:Text">
          <xsd:maxLength value="255"/>
        </xsd:restriction>
      </xsd:simpleType>
    </xsd:element>
    <xsd:element name="Montoaindemnizar" ma:index="106" nillable="true" ma:displayName="Monto a indemnizar" ma:format="Dropdown" ma:internalName="Montoaindemnizar">
      <xsd:simpleType>
        <xsd:restriction base="dms:Text">
          <xsd:maxLength value="255"/>
        </xsd:restriction>
      </xsd:simpleType>
    </xsd:element>
    <xsd:element name="DIAGNOSTICOS_x002f_ENFERMEDAD" ma:index="107" nillable="true" ma:displayName="DIAGNOSTICOS/ENFERMEDAD" ma:format="Dropdown" ma:internalName="DIAGNOSTICOS_x002f_ENFERMEDAD">
      <xsd:simpleType>
        <xsd:restriction base="dms:Note">
          <xsd:maxLength value="255"/>
        </xsd:restriction>
      </xsd:simpleType>
    </xsd:element>
    <xsd:element name="Fechadesiniestro" ma:index="108" nillable="true" ma:displayName="Fecha de siniestro" ma:format="Dropdown" ma:internalName="Fechadesiniestro">
      <xsd:simpleType>
        <xsd:restriction base="dms:Text">
          <xsd:maxLength value="255"/>
        </xsd:restriction>
      </xsd:simpleType>
    </xsd:element>
    <xsd:element name="Menoscabo" ma:index="109" nillable="true" ma:displayName="Menoscabo" ma:format="Dropdown" ma:internalName="Menoscabo">
      <xsd:simpleType>
        <xsd:restriction base="dms:Text">
          <xsd:maxLength value="255"/>
        </xsd:restriction>
      </xsd:simpleType>
    </xsd:element>
    <xsd:element name="Remunpromedio" ma:index="110" nillable="true" ma:displayName="Remun promedio" ma:format="Dropdown" ma:internalName="Remunpromedio">
      <xsd:simpleType>
        <xsd:restriction base="dms:Text">
          <xsd:maxLength value="255"/>
        </xsd:restriction>
      </xsd:simpleType>
    </xsd:element>
    <xsd:element name="DNIdelasegurado" ma:index="111" nillable="true" ma:displayName="Número de identidad del asegurado" ma:format="Dropdown" ma:internalName="DNIdelasegurado">
      <xsd:simpleType>
        <xsd:restriction base="dms:Text">
          <xsd:maxLength value="255"/>
        </xsd:restriction>
      </xsd:simpleType>
    </xsd:element>
    <xsd:element name="Tipodedocdeidentidaddelasegurado" ma:index="112" nillable="true" ma:displayName="Tipo de doc de identidad del asegurado" ma:format="Dropdown" ma:internalName="Tipodedocdeidentidaddelasegurado">
      <xsd:simpleType>
        <xsd:restriction base="dms:Text">
          <xsd:maxLength value="255"/>
        </xsd:restriction>
      </xsd:simpleType>
    </xsd:element>
    <xsd:element name="MENOSCABO_x002a_70_x0025_" ma:index="113" nillable="true" ma:displayName="MENOSCABO*70%" ma:format="Dropdown" ma:internalName="MENOSCABO_x002a_70_x0025_">
      <xsd:simpleType>
        <xsd:restriction base="dms:Text">
          <xsd:maxLength value="255"/>
        </xsd:restriction>
      </xsd:simpleType>
    </xsd:element>
    <xsd:element name="Montoaindemnizarletras" ma:index="114" nillable="true" ma:displayName="Monto a indemnizar letras" ma:format="Dropdown" ma:internalName="Montoaindemnizarletras">
      <xsd:simpleType>
        <xsd:restriction base="dms:Text">
          <xsd:maxLength value="255"/>
        </xsd:restriction>
      </xsd:simpleType>
    </xsd:element>
    <xsd:element name="Fechadesiniestroletras" ma:index="115" nillable="true" ma:displayName="Fecha de siniestro letras" ma:format="Dropdown" ma:internalName="Fechadesiniestroletras">
      <xsd:simpleType>
        <xsd:restriction base="dms:Text">
          <xsd:maxLength value="255"/>
        </xsd:restriction>
      </xsd:simpleType>
    </xsd:element>
    <xsd:element name="Fechadesiniestrolarga" ma:index="116" nillable="true" ma:displayName="Monto de intereses legales" ma:format="Dropdown" ma:internalName="Fechadesiniestrolarga">
      <xsd:simpleType>
        <xsd:restriction base="dms:Text">
          <xsd:maxLength value="255"/>
        </xsd:restriction>
      </xsd:simpleType>
    </xsd:element>
    <xsd:element name="Montodeintereseslegalesletras" ma:index="117" nillable="true" ma:displayName="Monto de intereses legales letras" ma:format="Dropdown" ma:internalName="Montodeintereseslegalesletras">
      <xsd:simpleType>
        <xsd:restriction base="dms:Text">
          <xsd:maxLength value="255"/>
        </xsd:restriction>
      </xsd:simpleType>
    </xsd:element>
    <xsd:element name="Prestaci_x00f3_ny_x002f_oCobertura" ma:index="118" nillable="true" ma:displayName="Prestación y/o Cobertura" ma:format="Dropdown" ma:internalName="Prestaci_x00f3_ny_x002f_oCobertura">
      <xsd:simpleType>
        <xsd:restriction base="dms:Text">
          <xsd:maxLength value="255"/>
        </xsd:restriction>
      </xsd:simpleType>
    </xsd:element>
    <xsd:element name="Nombredebeneficiario" ma:index="119" nillable="true" ma:displayName="Nombre de beneficiario" ma:format="Dropdown" ma:internalName="Nombredebeneficiario">
      <xsd:simpleType>
        <xsd:restriction base="dms:Text">
          <xsd:maxLength value="255"/>
        </xsd:restriction>
      </xsd:simpleType>
    </xsd:element>
    <xsd:element name="nrodedocumentodebeneficiario" ma:index="120" nillable="true" ma:displayName="nro de documento de beneficiario" ma:format="Dropdown" ma:internalName="nrodedocumentodebeneficiario">
      <xsd:simpleType>
        <xsd:restriction base="dms:Text">
          <xsd:maxLength value="255"/>
        </xsd:restriction>
      </xsd:simpleType>
    </xsd:element>
    <xsd:element name="tipodedocumentodebeneficiario" ma:index="121" nillable="true" ma:displayName="tipo de documento de beneficiario" ma:format="Dropdown" ma:internalName="tipodedocumentodebeneficiario">
      <xsd:simpleType>
        <xsd:restriction base="dms:Text">
          <xsd:maxLength value="255"/>
        </xsd:restriction>
      </xsd:simpleType>
    </xsd:element>
    <xsd:element name="EXPEDIENTELEGAL" ma:index="122" nillable="true" ma:displayName="EXPEDIENTE LEGAL" ma:format="Dropdown" ma:internalName="EXPEDIENTELEGAL">
      <xsd:simpleType>
        <xsd:restriction base="dms:Text">
          <xsd:maxLength value="255"/>
        </xsd:restriction>
      </xsd:simpleType>
    </xsd:element>
    <xsd:element name="Asunto_x002d_carta" ma:index="123" nillable="true" ma:displayName="Asunto-carta" ma:format="Dropdown" ma:internalName="Asunto_x002d_carta">
      <xsd:simpleType>
        <xsd:restriction base="dms:Text">
          <xsd:maxLength value="255"/>
        </xsd:restriction>
      </xsd:simpleType>
    </xsd:element>
    <xsd:element name="Numerodecelulardelasegurado" ma:index="124" nillable="true" ma:displayName="Numero de celular del asegurado" ma:format="Dropdown" ma:internalName="Numerodecelulardelasegurado">
      <xsd:simpleType>
        <xsd:restriction base="dms:Text">
          <xsd:maxLength value="255"/>
        </xsd:restriction>
      </xsd:simpleType>
    </xsd:element>
    <xsd:element name="Direcci_x00f3_ndelasegurado" ma:index="125" nillable="true" ma:displayName="Dirección del asegurado" ma:format="Dropdown" ma:internalName="Direcci_x00f3_ndelasegurado">
      <xsd:simpleType>
        <xsd:restriction base="dms:Text">
          <xsd:maxLength value="255"/>
        </xsd:restriction>
      </xsd:simpleType>
    </xsd:element>
    <xsd:element name="Documentospendientes" ma:index="126" nillable="true" ma:displayName="Documentos pendientes" ma:format="Dropdown" ma:internalName="Documentospendientes">
      <xsd:simpleType>
        <xsd:restriction base="dms:Note">
          <xsd:maxLength value="255"/>
        </xsd:restriction>
      </xsd:simpleType>
    </xsd:element>
    <xsd:element name="PENSIONDEINVALIDEZ_x002f_INDEMNIZACION" ma:index="127" nillable="true" ma:displayName="PENSION DEINVALIDEZ/INDEMNIZACION" ma:format="Dropdown" ma:internalName="PENSIONDEINVALIDEZ_x002f_INDEMNIZACION">
      <xsd:simpleType>
        <xsd:restriction base="dms:Text">
          <xsd:maxLength value="255"/>
        </xsd:restriction>
      </xsd:simpleType>
    </xsd:element>
    <xsd:element name="ANEXOCONSTANCIAINDEMNIZACION" ma:index="128" nillable="true" ma:displayName="ANEXO INDEMNIZACION/PENSION" ma:format="Dropdown" ma:internalName="ANEXOCONSTANCIAINDEMNIZACION">
      <xsd:simpleType>
        <xsd:restriction base="dms:Text">
          <xsd:maxLength value="255"/>
        </xsd:restriction>
      </xsd:simpleType>
    </xsd:element>
    <xsd:element name="TIPOTRAMITE" ma:index="129" nillable="true" ma:displayName="Configuró o sufrió" ma:format="Dropdown" ma:internalName="TIPOTRAMITE">
      <xsd:simpleType>
        <xsd:restriction base="dms:Text">
          <xsd:maxLength value="255"/>
        </xsd:restriction>
      </xsd:simpleType>
    </xsd:element>
    <xsd:element name="cuandooconsecuencia" ma:index="130" nillable="true" ma:displayName="cuando o consecuencia" ma:format="Dropdown" ma:internalName="cuandooconsecuencia">
      <xsd:simpleType>
        <xsd:restriction base="dms:Text">
          <xsd:maxLength value="255"/>
        </xsd:restriction>
      </xsd:simpleType>
    </xsd:element>
    <xsd:element name="SEDEJUDICIAL" ma:index="131" nillable="true" ma:displayName="SEDE JUDICIAL" ma:format="Dropdown" ma:internalName="SEDEJUDICIAL">
      <xsd:simpleType>
        <xsd:restriction base="dms:Text">
          <xsd:maxLength value="255"/>
        </xsd:restriction>
      </xsd:simpleType>
    </xsd:element>
    <xsd:element name="Fechadeiniciodepension" ma:index="132" nillable="true" ma:displayName="Fecha de inicio de pension" ma:format="Dropdown" ma:internalName="Fechadeiniciodepension">
      <xsd:simpleType>
        <xsd:restriction base="dms:Text">
          <xsd:maxLength value="255"/>
        </xsd:restriction>
      </xsd:simpleType>
    </xsd:element>
    <xsd:element name="encumplimientolegal" ma:index="133" nillable="true" ma:displayName="en cumplimiento legal" ma:format="Dropdown" ma:internalName="encumplimientolegal">
      <xsd:simpleType>
        <xsd:restriction base="dms:Text">
          <xsd:maxLength value="255"/>
        </xsd:restriction>
      </xsd:simpleType>
    </xsd:element>
    <xsd:element name="Fechadeultimapensi_x00f3_n" ma:index="134" nillable="true" ma:displayName="Fecha de ultima pensión" ma:format="Dropdown" ma:internalName="Fechadeultimapensi_x00f3_n">
      <xsd:simpleType>
        <xsd:restriction base="dms:Text">
          <xsd:maxLength value="255"/>
        </xsd:restriction>
      </xsd:simpleType>
    </xsd:element>
    <xsd:element name="ANEXO2DEPENSION" ma:index="135" nillable="true" ma:displayName="ANEXO2 DE PENSION" ma:format="Dropdown" ma:internalName="ANEXO2DEPENSION">
      <xsd:simpleType>
        <xsd:restriction base="dms:Note">
          <xsd:maxLength value="255"/>
        </xsd:restriction>
      </xsd:simpleType>
    </xsd:element>
    <xsd:element name="MediaServiceObjectDetectorVersions" ma:index="136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EncasodeATESSALUD" ma:index="137" nillable="true" ma:displayName="En caso de AT ESSALUD" ma:format="Dropdown" ma:internalName="EncasodeATESSALUD">
      <xsd:simpleType>
        <xsd:restriction base="dms:Note">
          <xsd:maxLength value="255"/>
        </xsd:restriction>
      </xsd:simpleType>
    </xsd:element>
    <xsd:element name="DICTMAPFRE1" ma:index="138" nillable="true" ma:displayName="INICIO" ma:format="Dropdown" ma:internalName="DICTMAPFRE1">
      <xsd:simpleType>
        <xsd:restriction base="dms:Note">
          <xsd:maxLength value="255"/>
        </xsd:restriction>
      </xsd:simpleType>
    </xsd:element>
    <xsd:element name="DICTINR1" ma:index="139" nillable="true" ma:displayName="FINALMENTE" ma:format="Dropdown" ma:internalName="DICTINR1">
      <xsd:simpleType>
        <xsd:restriction base="dms:Note">
          <xsd:maxLength value="255"/>
        </xsd:restriction>
      </xsd:simpleType>
    </xsd:element>
    <xsd:element name="DICTMAPFRE2" ma:index="140" nillable="true" ma:displayName="MEDIO" ma:format="Dropdown" ma:internalName="DICTMAPFRE2">
      <xsd:simpleType>
        <xsd:restriction base="dms:Note">
          <xsd:maxLength value="255"/>
        </xsd:restriction>
      </xsd:simpleType>
    </xsd:element>
    <xsd:element name="DICTINR2" ma:index="141" nillable="true" ma:displayName="SIGUIENTE HOJA" ma:format="Dropdown" ma:internalName="DICTINR2">
      <xsd:simpleType>
        <xsd:restriction base="dms:Note">
          <xsd:maxLength value="255"/>
        </xsd:restriction>
      </xsd:simpleType>
    </xsd:element>
    <xsd:element name="Tipodeconfi" ma:index="142" nillable="true" ma:displayName="Tipo de confi" ma:format="Dropdown" ma:internalName="Tipodeconfi">
      <xsd:simpleType>
        <xsd:restriction base="dms:Text">
          <xsd:maxLength value="255"/>
        </xsd:restriction>
      </xsd:simpleType>
    </xsd:element>
    <xsd:element name="BROKER" ma:index="143" nillable="true" ma:displayName="BROKER" ma:format="Dropdown" ma:internalName="BROKER">
      <xsd:simpleType>
        <xsd:restriction base="dms:Text">
          <xsd:maxLength value="255"/>
        </xsd:restriction>
      </xsd:simpleType>
    </xsd:element>
    <xsd:element name="CORREOBROKER" ma:index="144" nillable="true" ma:displayName="CORREO BROKER" ma:format="Dropdown" ma:internalName="CORREOBROKER">
      <xsd:simpleType>
        <xsd:restriction base="dms:Text">
          <xsd:maxLength value="255"/>
        </xsd:restriction>
      </xsd:simpleType>
    </xsd:element>
    <xsd:element name="CORREOEMPRESA" ma:index="145" nillable="true" ma:displayName="CORREO EMPRESA" ma:format="Dropdown" ma:internalName="CORREOEMPRESA">
      <xsd:simpleType>
        <xsd:restriction base="dms:Text">
          <xsd:maxLength value="255"/>
        </xsd:restriction>
      </xsd:simpleType>
    </xsd:element>
    <xsd:element name="MediaServiceSearchProperties" ma:index="146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PROV1" ma:index="147" nillable="true" ma:displayName="PROV1" ma:format="Dropdown" ma:internalName="PROV1">
      <xsd:simpleType>
        <xsd:restriction base="dms:Note">
          <xsd:maxLength value="255"/>
        </xsd:restriction>
      </xsd:simpleType>
    </xsd:element>
    <xsd:element name="PROV2" ma:index="148" nillable="true" ma:displayName="PROV2" ma:format="Dropdown" ma:internalName="PROV2">
      <xsd:simpleType>
        <xsd:restriction base="dms:Note">
          <xsd:maxLength value="255"/>
        </xsd:restriction>
      </xsd:simpleType>
    </xsd:element>
    <xsd:element name="PROV3" ma:index="149" nillable="true" ma:displayName="PROV3" ma:format="Dropdown" ma:internalName="PROV3">
      <xsd:simpleType>
        <xsd:restriction base="dms:Note">
          <xsd:maxLength value="255"/>
        </xsd:restriction>
      </xsd:simpleType>
    </xsd:element>
    <xsd:element name="PROV4" ma:index="150" nillable="true" ma:displayName="PROV4" ma:format="Dropdown" ma:internalName="PROV4">
      <xsd:simpleType>
        <xsd:restriction base="dms:Note">
          <xsd:maxLength value="255"/>
        </xsd:restriction>
      </xsd:simpleType>
    </xsd:element>
    <xsd:element name="PROV5" ma:index="151" nillable="true" ma:displayName="PROV5" ma:format="Dropdown" ma:internalName="PROV5">
      <xsd:simpleType>
        <xsd:restriction base="dms:Note">
          <xsd:maxLength value="255"/>
        </xsd:restriction>
      </xsd:simpleType>
    </xsd:element>
    <xsd:element name="POLITICASREEMBOLSO" ma:index="152" nillable="true" ma:displayName="POLITICASREEMBOLSO" ma:format="Dropdown" ma:internalName="POLITICASREEMBOLSO">
      <xsd:simpleType>
        <xsd:restriction base="dms:Note">
          <xsd:maxLength value="255"/>
        </xsd:restriction>
      </xsd:simpleType>
    </xsd:element>
    <xsd:element name="CUERPOREEMBOLSO" ma:index="153" nillable="true" ma:displayName="CUERPOREEMBOLSO" ma:format="Dropdown" ma:internalName="CUERPOREEMBOLSO">
      <xsd:simpleType>
        <xsd:restriction base="dms:Note">
          <xsd:maxLength value="255"/>
        </xsd:restriction>
      </xsd:simpleType>
    </xsd:element>
    <xsd:element name="NOTAREEMBOLSO" ma:index="154" nillable="true" ma:displayName="NOTAREEMBOLSO" ma:format="Dropdown" ma:internalName="NOTAREEMBOLSO">
      <xsd:simpleType>
        <xsd:restriction base="dms:Note">
          <xsd:maxLength value="255"/>
        </xsd:restriction>
      </xsd:simpleType>
    </xsd:element>
    <xsd:element name="CONDIC_NATCLAR" ma:index="155" nillable="true" ma:displayName="CONDIC_NATCLAR" ma:description="EVALUACIONES MEDICAS SCTRPENSION" ma:format="Dropdown" ma:internalName="CONDIC_NATCLAR">
      <xsd:simpleType>
        <xsd:restriction base="dms:Note">
          <xsd:maxLength value="255"/>
        </xsd:restriction>
      </xsd:simpleType>
    </xsd:element>
    <xsd:element name="CIMEDIC" ma:index="156" nillable="true" ma:displayName="CIMEDIC" ma:description="Reprogramacion en cimedic" ma:format="Dropdown" ma:internalName="CIMEDIC">
      <xsd:simpleType>
        <xsd:restriction base="dms:Text">
          <xsd:maxLength value="255"/>
        </xsd:restriction>
      </xsd:simpleType>
    </xsd:element>
    <xsd:element name="CIMEDIC2" ma:index="157" nillable="true" ma:displayName="CIMEDIC2" ma:description="REPROGRA" ma:format="Dropdown" ma:internalName="CIMEDIC2">
      <xsd:simpleType>
        <xsd:restriction base="dms:Text">
          <xsd:maxLength value="255"/>
        </xsd:restriction>
      </xsd:simpleType>
    </xsd:element>
    <xsd:element name="CIMEDIC3" ma:index="158" nillable="true" ma:displayName="CIMEDIC3" ma:format="Dropdown" ma:internalName="CIMEDIC3">
      <xsd:simpleType>
        <xsd:restriction base="dms:Text">
          <xsd:maxLength value="255"/>
        </xsd:restriction>
      </xsd:simpleType>
    </xsd:element>
    <xsd:element name="CIMEDIC4" ma:index="159" nillable="true" ma:displayName="CIMEDIC4" ma:format="Dropdown" ma:internalName="CIMEDIC4">
      <xsd:simpleType>
        <xsd:restriction base="dms:Text">
          <xsd:maxLength value="255"/>
        </xsd:restriction>
      </xsd:simpleType>
    </xsd:element>
    <xsd:element name="CIMEDIC5" ma:index="160" nillable="true" ma:displayName="CIMEDIC5" ma:format="Dropdown" ma:internalName="CIMEDIC5">
      <xsd:simpleType>
        <xsd:restriction base="dms:Text">
          <xsd:maxLength value="255"/>
        </xsd:restriction>
      </xsd:simpleType>
    </xsd:element>
    <xsd:element name="FECH_RESOL" ma:index="161" nillable="true" ma:displayName="FECH_RESOL" ma:format="Dropdown" ma:internalName="FECH_RESOL">
      <xsd:simpleType>
        <xsd:restriction base="dms:Text">
          <xsd:maxLength value="255"/>
        </xsd:restriction>
      </xsd:simpleType>
    </xsd:element>
    <xsd:element name="LISTADEBENEFICIARIOS" ma:index="162" nillable="true" ma:displayName="LISTA DE BENEFICIARIOS" ma:description="PARA SOBREVIVENCIA" ma:format="Dropdown" ma:internalName="LISTADEBENEFICIARIOS">
      <xsd:simpleType>
        <xsd:restriction base="dms:Note">
          <xsd:maxLength value="255"/>
        </xsd:restriction>
      </xsd:simpleType>
    </xsd:element>
    <xsd:element name="LISTAPARENTEZCO" ma:index="163" nillable="true" ma:displayName="LISTA PARENTEZCO" ma:format="Dropdown" ma:internalName="LISTAPARENTEZCO">
      <xsd:simpleType>
        <xsd:restriction base="dms:Note">
          <xsd:maxLength value="255"/>
        </xsd:restriction>
      </xsd:simpleType>
    </xsd:element>
    <xsd:element name="LISTA_x0025_" ma:index="164" nillable="true" ma:displayName="LISTA%" ma:format="Dropdown" ma:internalName="LISTA_x0025_">
      <xsd:simpleType>
        <xsd:restriction base="dms:Note">
          <xsd:maxLength value="255"/>
        </xsd:restriction>
      </xsd:simpleType>
    </xsd:element>
    <xsd:element name="LISTAACREDITADO" ma:index="165" nillable="true" ma:displayName="LISTA ACREDITADO" ma:format="Dropdown" ma:internalName="LISTAACREDITADO">
      <xsd:simpleType>
        <xsd:restriction base="dms:Note">
          <xsd:maxLength value="255"/>
        </xsd:restriction>
      </xsd:simpleType>
    </xsd:element>
    <xsd:element name="Nro_Certificado" ma:index="166" nillable="true" ma:displayName="Nro_Certificado" ma:format="Dropdown" ma:internalName="Nro_Certificado">
      <xsd:simpleType>
        <xsd:restriction base="dms:Text">
          <xsd:maxLength value="255"/>
        </xsd:restriction>
      </xsd:simpleType>
    </xsd:element>
    <xsd:element name="Dia_Informe" ma:index="167" nillable="true" ma:displayName="Dia_Informe" ma:format="Dropdown" ma:internalName="Dia_Informe">
      <xsd:simpleType>
        <xsd:restriction base="dms:Text">
          <xsd:maxLength value="255"/>
        </xsd:restriction>
      </xsd:simpleType>
    </xsd:element>
    <xsd:element name="Mes_Informe" ma:index="168" nillable="true" ma:displayName="Mes_Informe" ma:format="Dropdown" ma:internalName="Mes_Informe">
      <xsd:simpleType>
        <xsd:restriction base="dms:Text">
          <xsd:maxLength value="255"/>
        </xsd:restriction>
      </xsd:simpleType>
    </xsd:element>
    <xsd:element name="Anio_Informe" ma:index="169" nillable="true" ma:displayName="Anio_Informe" ma:format="Dropdown" ma:internalName="Anio_Informe">
      <xsd:simpleType>
        <xsd:restriction base="dms:Text">
          <xsd:maxLength value="255"/>
        </xsd:restriction>
      </xsd:simpleType>
    </xsd:element>
    <xsd:element name="Apellido_Paterno" ma:index="170" nillable="true" ma:displayName="Apellido_Paterno" ma:format="Dropdown" ma:internalName="Apellido_Paterno">
      <xsd:simpleType>
        <xsd:restriction base="dms:Text">
          <xsd:maxLength value="255"/>
        </xsd:restriction>
      </xsd:simpleType>
    </xsd:element>
    <xsd:element name="Apellido_Materno" ma:index="171" nillable="true" ma:displayName="Apellido_Materno" ma:format="Dropdown" ma:internalName="Apellido_Materno">
      <xsd:simpleType>
        <xsd:restriction base="dms:Text">
          <xsd:maxLength value="255"/>
        </xsd:restriction>
      </xsd:simpleType>
    </xsd:element>
    <xsd:element name="Nombres" ma:index="172" nillable="true" ma:displayName="Nombres" ma:format="Dropdown" ma:internalName="Nombres">
      <xsd:simpleType>
        <xsd:restriction base="dms:Text">
          <xsd:maxLength value="255"/>
        </xsd:restriction>
      </xsd:simpleType>
    </xsd:element>
    <xsd:element name="DNI" ma:index="173" nillable="true" ma:displayName="DNI" ma:format="Dropdown" ma:internalName="DNI">
      <xsd:simpleType>
        <xsd:restriction base="dms:Text">
          <xsd:maxLength value="255"/>
        </xsd:restriction>
      </xsd:simpleType>
    </xsd:element>
    <xsd:element name="Sexo" ma:index="174" nillable="true" ma:displayName="Sexo" ma:format="Dropdown" ma:internalName="Sexo">
      <xsd:simpleType>
        <xsd:restriction base="dms:Text">
          <xsd:maxLength value="255"/>
        </xsd:restriction>
      </xsd:simpleType>
    </xsd:element>
    <xsd:element name="Edad" ma:index="175" nillable="true" ma:displayName="Edad" ma:format="Dropdown" ma:internalName="Edad">
      <xsd:simpleType>
        <xsd:restriction base="dms:Text">
          <xsd:maxLength value="255"/>
        </xsd:restriction>
      </xsd:simpleType>
    </xsd:element>
    <xsd:element name="Fecha_Nacimiento" ma:index="176" nillable="true" ma:displayName="Fecha_Nacimiento" ma:format="Dropdown" ma:internalName="Fecha_Nacimiento">
      <xsd:simpleType>
        <xsd:restriction base="dms:Text">
          <xsd:maxLength value="255"/>
        </xsd:restriction>
      </xsd:simpleType>
    </xsd:element>
    <xsd:element name="Calle" ma:index="177" nillable="true" ma:displayName="Calle" ma:format="Dropdown" ma:internalName="Calle">
      <xsd:simpleType>
        <xsd:restriction base="dms:Text">
          <xsd:maxLength value="255"/>
        </xsd:restriction>
      </xsd:simpleType>
    </xsd:element>
    <xsd:element name="Distrito" ma:index="178" nillable="true" ma:displayName="Distrito" ma:format="Dropdown" ma:internalName="Distrito">
      <xsd:simpleType>
        <xsd:restriction base="dms:Text">
          <xsd:maxLength value="255"/>
        </xsd:restriction>
      </xsd:simpleType>
    </xsd:element>
    <xsd:element name="Provincia" ma:index="179" nillable="true" ma:displayName="Provincia" ma:format="Dropdown" ma:internalName="Provincia">
      <xsd:simpleType>
        <xsd:restriction base="dms:Text">
          <xsd:maxLength value="255"/>
        </xsd:restriction>
      </xsd:simpleType>
    </xsd:element>
    <xsd:element name="Departamento" ma:index="180" nillable="true" ma:displayName="Departamento" ma:format="Dropdown" ma:internalName="Departamento">
      <xsd:simpleType>
        <xsd:restriction base="dms:Text">
          <xsd:maxLength value="255"/>
        </xsd:restriction>
      </xsd:simpleType>
    </xsd:element>
    <xsd:element name="Empleador" ma:index="181" nillable="true" ma:displayName="Empleador" ma:format="Dropdown" ma:internalName="Empleador">
      <xsd:simpleType>
        <xsd:restriction base="dms:Text">
          <xsd:maxLength value="255"/>
        </xsd:restriction>
      </xsd:simpleType>
    </xsd:element>
    <xsd:element name="Empresa_Sede" ma:index="182" nillable="true" ma:displayName="Empresa_Sede" ma:format="Dropdown" ma:internalName="Empresa_Sede">
      <xsd:simpleType>
        <xsd:restriction base="dms:Text">
          <xsd:maxLength value="255"/>
        </xsd:restriction>
      </xsd:simpleType>
    </xsd:element>
    <xsd:element name="Actividad" ma:index="183" nillable="true" ma:displayName="Actividad" ma:format="Dropdown" ma:internalName="Actividad">
      <xsd:simpleType>
        <xsd:restriction base="dms:Text">
          <xsd:maxLength value="255"/>
        </xsd:restriction>
      </xsd:simpleType>
    </xsd:element>
    <xsd:element name="Periodo_Laboral" ma:index="184" nillable="true" ma:displayName="Periodo_Laboral" ma:format="Dropdown" ma:internalName="Periodo_Laboral">
      <xsd:simpleType>
        <xsd:restriction base="dms:Text">
          <xsd:maxLength value="255"/>
        </xsd:restriction>
      </xsd:simpleType>
    </xsd:element>
    <xsd:element name="Ocupacion" ma:index="185" nillable="true" ma:displayName="Ocupacion" ma:format="Dropdown" ma:internalName="Ocupacion">
      <xsd:simpleType>
        <xsd:restriction base="dms:Text">
          <xsd:maxLength value="255"/>
        </xsd:restriction>
      </xsd:simpleType>
    </xsd:element>
    <xsd:element name="Fech_I" ma:index="186" nillable="true" ma:displayName="Fech_I" ma:format="Dropdown" ma:internalName="Fech_I">
      <xsd:simpleType>
        <xsd:restriction base="dms:Text">
          <xsd:maxLength value="255"/>
        </xsd:restriction>
      </xsd:simpleType>
    </xsd:element>
    <xsd:element name="Resultado_Informe" ma:index="187" nillable="true" ma:displayName="Resultado_Informe" ma:format="Dropdown" ma:internalName="Resultado_Informe">
      <xsd:simpleType>
        <xsd:restriction base="dms:Text">
          <xsd:maxLength value="255"/>
        </xsd:restriction>
      </xsd:simpleType>
    </xsd:element>
    <xsd:element name="Fech_A" ma:index="188" nillable="true" ma:displayName="Fech_A" ma:format="Dropdown" ma:internalName="Fech_A">
      <xsd:simpleType>
        <xsd:restriction base="dms:Text">
          <xsd:maxLength value="255"/>
        </xsd:restriction>
      </xsd:simpleType>
    </xsd:element>
    <xsd:element name="Resultado_AT" ma:index="189" nillable="true" ma:displayName="Resultado_AT" ma:format="Dropdown" ma:internalName="Resultado_AT">
      <xsd:simpleType>
        <xsd:restriction base="dms:Text">
          <xsd:maxLength value="255"/>
        </xsd:restriction>
      </xsd:simpleType>
    </xsd:element>
    <xsd:element name="Diagnostico_1" ma:index="190" nillable="true" ma:displayName="Diagnostico_1" ma:format="Dropdown" ma:internalName="Diagnostico_1">
      <xsd:simpleType>
        <xsd:restriction base="dms:Text">
          <xsd:maxLength value="255"/>
        </xsd:restriction>
      </xsd:simpleType>
    </xsd:element>
    <xsd:element name="Diagnostico_2" ma:index="191" nillable="true" ma:displayName="Diagnostico_2" ma:format="Dropdown" ma:internalName="Diagnostico_2">
      <xsd:simpleType>
        <xsd:restriction base="dms:Text">
          <xsd:maxLength value="255"/>
        </xsd:restriction>
      </xsd:simpleType>
    </xsd:element>
    <xsd:element name="Diagnostico_3" ma:index="192" nillable="true" ma:displayName="Diagnostico_3" ma:format="Dropdown" ma:internalName="Diagnostico_3">
      <xsd:simpleType>
        <xsd:restriction base="dms:Text">
          <xsd:maxLength value="255"/>
        </xsd:restriction>
      </xsd:simpleType>
    </xsd:element>
    <xsd:element name="Codigo_1" ma:index="193" nillable="true" ma:displayName="Codigo_1" ma:format="Dropdown" ma:internalName="Codigo_1">
      <xsd:simpleType>
        <xsd:restriction base="dms:Text">
          <xsd:maxLength value="255"/>
        </xsd:restriction>
      </xsd:simpleType>
    </xsd:element>
    <xsd:element name="Codigo_2" ma:index="194" nillable="true" ma:displayName="Codigo_2" ma:format="Dropdown" ma:internalName="Codigo_2">
      <xsd:simpleType>
        <xsd:restriction base="dms:Text">
          <xsd:maxLength value="255"/>
        </xsd:restriction>
      </xsd:simpleType>
    </xsd:element>
    <xsd:element name="Codigo_3" ma:index="195" nillable="true" ma:displayName="Codigo_3" ma:format="Dropdown" ma:internalName="Codigo_3">
      <xsd:simpleType>
        <xsd:restriction base="dms:Text">
          <xsd:maxLength value="255"/>
        </xsd:restriction>
      </xsd:simpleType>
    </xsd:element>
    <xsd:element name="N_Temporal" ma:index="196" nillable="true" ma:displayName="N_Temporal" ma:format="Dropdown" ma:internalName="N_Temporal">
      <xsd:simpleType>
        <xsd:restriction base="dms:Text">
          <xsd:maxLength value="255"/>
        </xsd:restriction>
      </xsd:simpleType>
    </xsd:element>
    <xsd:element name="N_Permanente" ma:index="197" nillable="true" ma:displayName="N_Permanente" ma:format="Dropdown" ma:internalName="N_Permanente">
      <xsd:simpleType>
        <xsd:restriction base="dms:Text">
          <xsd:maxLength value="255"/>
        </xsd:restriction>
      </xsd:simpleType>
    </xsd:element>
    <xsd:element name="N_NoIncapa" ma:index="198" nillable="true" ma:displayName="N_NoIncapa" ma:format="Dropdown" ma:internalName="N_NoIncapa">
      <xsd:simpleType>
        <xsd:restriction base="dms:Text">
          <xsd:maxLength value="255"/>
        </xsd:restriction>
      </xsd:simpleType>
    </xsd:element>
    <xsd:element name="I_Parcial" ma:index="199" nillable="true" ma:displayName="I_Parcial" ma:format="Dropdown" ma:internalName="I_Parcial">
      <xsd:simpleType>
        <xsd:restriction base="dms:Text">
          <xsd:maxLength value="255"/>
        </xsd:restriction>
      </xsd:simpleType>
    </xsd:element>
    <xsd:element name="I_Total" ma:index="200" nillable="true" ma:displayName="I_Total" ma:format="Dropdown" ma:internalName="I_Total">
      <xsd:simpleType>
        <xsd:restriction base="dms:Text">
          <xsd:maxLength value="255"/>
        </xsd:restriction>
      </xsd:simpleType>
    </xsd:element>
    <xsd:element name="I_GIncap" ma:index="201" nillable="true" ma:displayName="I_GIncap" ma:format="Dropdown" ma:internalName="I_GIncap">
      <xsd:simpleType>
        <xsd:restriction base="dms:Text">
          <xsd:maxLength value="255"/>
        </xsd:restriction>
      </xsd:simpleType>
    </xsd:element>
    <xsd:element name="Msc_Comb" ma:index="202" nillable="true" ma:displayName="Msc_Comb" ma:format="Dropdown" ma:internalName="Msc_Comb">
      <xsd:simpleType>
        <xsd:restriction base="dms:Text">
          <xsd:maxLength value="255"/>
        </xsd:restriction>
      </xsd:simpleType>
    </xsd:element>
    <xsd:element name="FC_Edad" ma:index="203" nillable="true" ma:displayName="FC_Edad" ma:format="Dropdown" ma:internalName="FC_Edad">
      <xsd:simpleType>
        <xsd:restriction base="dms:Text">
          <xsd:maxLength value="255"/>
        </xsd:restriction>
      </xsd:simpleType>
    </xsd:element>
    <xsd:element name="FC_Grado" ma:index="204" nillable="true" ma:displayName="FC_Grado" ma:format="Dropdown" ma:internalName="FC_Grado">
      <xsd:simpleType>
        <xsd:restriction base="dms:Text">
          <xsd:maxLength value="255"/>
        </xsd:restriction>
      </xsd:simpleType>
    </xsd:element>
    <xsd:element name="FC_Laboral" ma:index="205" nillable="true" ma:displayName="FC_Laboral" ma:format="Dropdown" ma:internalName="FC_Laboral">
      <xsd:simpleType>
        <xsd:restriction base="dms:Text">
          <xsd:maxLength value="255"/>
        </xsd:restriction>
      </xsd:simpleType>
    </xsd:element>
    <xsd:element name="Msc_Global" ma:index="206" nillable="true" ma:displayName="Msc_Global" ma:format="Dropdown" ma:internalName="Msc_Global">
      <xsd:simpleType>
        <xsd:restriction base="dms:Text">
          <xsd:maxLength value="255"/>
        </xsd:restriction>
      </xsd:simpleType>
    </xsd:element>
    <xsd:element name="Nro_Carta" ma:index="207" nillable="true" ma:displayName="Nro_Carta" ma:format="Dropdown" ma:internalName="Nro_Carta">
      <xsd:simpleType>
        <xsd:restriction base="dms:Text">
          <xsd:maxLength value="255"/>
        </xsd:restriction>
      </xsd:simpleType>
    </xsd:element>
    <xsd:element name="Fecha_Carta" ma:index="208" nillable="true" ma:displayName="Fecha_Carta" ma:format="Dropdown" ma:internalName="Fecha_Carta">
      <xsd:simpleType>
        <xsd:restriction base="dms:Text">
          <xsd:maxLength value="255"/>
        </xsd:restriction>
      </xsd:simpleType>
    </xsd:element>
    <xsd:element name="Nombre_Asegurado" ma:index="209" nillable="true" ma:displayName="Nombre_Asegurado" ma:format="Dropdown" ma:internalName="Nombre_Asegurado">
      <xsd:simpleType>
        <xsd:restriction base="dms:Text">
          <xsd:maxLength value="255"/>
        </xsd:restriction>
      </xsd:simpleType>
    </xsd:element>
    <xsd:element name="Correo_Asegurado" ma:index="210" nillable="true" ma:displayName="Correo_Asegurado" ma:format="Dropdown" ma:internalName="Correo_Asegurado">
      <xsd:simpleType>
        <xsd:restriction base="dms:Text">
          <xsd:maxLength value="255"/>
        </xsd:restriction>
      </xsd:simpleType>
    </xsd:element>
    <xsd:element name="Nro_Poliza" ma:index="211" nillable="true" ma:displayName="Nro_Poliza" ma:format="Dropdown" ma:internalName="Nro_Poliza">
      <xsd:simpleType>
        <xsd:restriction base="dms:Text">
          <xsd:maxLength value="255"/>
        </xsd:restriction>
      </xsd:simpleType>
    </xsd:element>
    <xsd:element name="Empresa" ma:index="212" nillable="true" ma:displayName="Empresa" ma:format="Dropdown" ma:internalName="Empresa">
      <xsd:simpleType>
        <xsd:restriction base="dms:Text">
          <xsd:maxLength value="255"/>
        </xsd:restriction>
      </xsd:simpleType>
    </xsd:element>
    <xsd:element name="Fecha_Siniestro" ma:index="213" nillable="true" ma:displayName="Fecha_Siniestro" ma:format="Dropdown" ma:internalName="Fecha_Siniestro">
      <xsd:simpleType>
        <xsd:restriction base="dms:Text">
          <xsd:maxLength value="255"/>
        </xsd:restriction>
      </xsd:simpleType>
    </xsd:element>
    <xsd:element name="Hora_Siniestro" ma:index="214" nillable="true" ma:displayName="Hora_Siniestro" ma:format="Dropdown" ma:internalName="Hora_Siniestro">
      <xsd:simpleType>
        <xsd:restriction base="dms:Text">
          <xsd:maxLength value="255"/>
        </xsd:restriction>
      </xsd:simpleType>
    </xsd:element>
    <xsd:element name="Sustento_Rechazo" ma:index="215" nillable="true" ma:displayName="Sustento_Rechazo" ma:format="Dropdown" ma:internalName="Sustento_Rechazo">
      <xsd:simpleType>
        <xsd:restriction base="dms:Text">
          <xsd:maxLength value="255"/>
        </xsd:restriction>
      </xsd:simpleType>
    </xsd:element>
    <xsd:element name="Fecha_Emision_Constancia" ma:index="216" nillable="true" ma:displayName="Fecha_Emision_Constancia" ma:format="Dropdown" ma:internalName="Fecha_Emision_Constancia">
      <xsd:simpleType>
        <xsd:restriction base="dms:Text">
          <xsd:maxLength value="255"/>
        </xsd:restriction>
      </xsd:simpleType>
    </xsd:element>
    <xsd:element name="Hora_Emision_Constancia" ma:index="217" nillable="true" ma:displayName="Hora_Emision_Constancia" ma:format="Dropdown" ma:internalName="Hora_Emision_Constancia">
      <xsd:simpleType>
        <xsd:restriction base="dms:Text">
          <xsd:maxLength value="255"/>
        </xsd:restriction>
      </xsd:simpleType>
    </xsd:element>
    <xsd:element name="Nro_Constancia" ma:index="218" nillable="true" ma:displayName="Nro_Constancia" ma:format="Dropdown" ma:internalName="Nro_Constancia">
      <xsd:simpleType>
        <xsd:restriction base="dms:Text">
          <xsd:maxLength value="255"/>
        </xsd:restriction>
      </xsd:simpleType>
    </xsd:element>
    <xsd:element name="Vigencia_Constancia" ma:index="219" nillable="true" ma:displayName="Vigencia_Constancia" ma:format="Dropdown" ma:internalName="Vigencia_Constancia">
      <xsd:simpleType>
        <xsd:restriction base="dms:Text">
          <xsd:maxLength value="255"/>
        </xsd:restriction>
      </xsd:simpleType>
    </xsd:element>
    <xsd:element name="Diagnosticos_Enfermedad" ma:index="220" nillable="true" ma:displayName="Diagnosticos_Enfermedad" ma:format="Dropdown" ma:internalName="Diagnosticos_Enfermedad">
      <xsd:simpleType>
        <xsd:restriction base="dms:Text">
          <xsd:maxLength value="255"/>
        </xsd:restriction>
      </xsd:simpleType>
    </xsd:element>
    <xsd:element name="Descripcion_Accidente" ma:index="221" nillable="true" ma:displayName="Descripcion_Accidente" ma:format="Dropdown" ma:internalName="Descripcion_Accidente">
      <xsd:simpleType>
        <xsd:restriction base="dms:Text">
          <xsd:maxLength value="255"/>
        </xsd:restriction>
      </xsd:simpleType>
    </xsd:element>
    <xsd:element name="Motivo_NoRelacion" ma:index="222" nillable="true" ma:displayName="Motivo_NoRelacion" ma:format="Dropdown" ma:internalName="Motivo_NoRelacion">
      <xsd:simpleType>
        <xsd:restriction base="dms:Text">
          <xsd:maxLength value="255"/>
        </xsd:restriction>
      </xsd:simpleType>
    </xsd:element>
    <xsd:element name="Labor_Riesgo" ma:index="223" nillable="true" ma:displayName="Labor_Riesgo" ma:format="Dropdown" ma:internalName="Labor_Riesgo">
      <xsd:simpleType>
        <xsd:restriction base="dms:Text">
          <xsd:maxLength value="255"/>
        </xsd:restriction>
      </xsd:simpleType>
    </xsd:element>
    <xsd:element name="Documentos_Incumplimiento" ma:index="224" nillable="true" ma:displayName="Documentos_Incumplimiento" ma:format="Dropdown" ma:internalName="Documentos_Incumplimiento">
      <xsd:simpleType>
        <xsd:restriction base="dms:Text">
          <xsd:maxLength value="255"/>
        </xsd:restriction>
      </xsd:simpleType>
    </xsd:element>
    <xsd:element name="Detalle_Doc_Incumplimiento" ma:index="225" nillable="true" ma:displayName="Detalle_Doc_Incumplimiento" ma:format="Dropdown" ma:internalName="Detalle_Doc_Incumplimiento">
      <xsd:simpleType>
        <xsd:restriction base="dms:Text">
          <xsd:maxLength value="255"/>
        </xsd:restriction>
      </xsd:simpleType>
    </xsd:element>
    <xsd:element name="Fecha_Siniestro1" ma:index="226" nillable="true" ma:displayName="Fecha_Siniestro1" ma:format="Dropdown" ma:internalName="Fecha_Siniestro1">
      <xsd:simpleType>
        <xsd:restriction base="dms:Text">
          <xsd:maxLength value="255"/>
        </xsd:restriction>
      </xsd:simpleType>
    </xsd:element>
    <xsd:element name="Documentos_Incumplimiento1" ma:index="227" nillable="true" ma:displayName="Documentos_Incumplimiento1" ma:format="Dropdown" ma:internalName="Documentos_Incumplimiento1">
      <xsd:simpleType>
        <xsd:restriction base="dms:Text">
          <xsd:maxLength value="255"/>
        </xsd:restriction>
      </xsd:simpleType>
    </xsd:element>
    <xsd:element name="Estipula1" ma:index="228" nillable="true" ma:displayName="Estipula1" ma:format="Dropdown" ma:internalName="Estipula1">
      <xsd:simpleType>
        <xsd:restriction base="dms:Text">
          <xsd:maxLength value="255"/>
        </xsd:restriction>
      </xsd:simpleType>
    </xsd:element>
    <xsd:element name="Detalle_Doc_Incumplimiento1" ma:index="229" nillable="true" ma:displayName="Detalle_Doc_Incumplimiento1" ma:format="Dropdown" ma:internalName="Detalle_Doc_Incumplimiento1">
      <xsd:simpleType>
        <xsd:restriction base="dms:Text">
          <xsd:maxLength value="255"/>
        </xsd:restriction>
      </xsd:simpleType>
    </xsd:element>
    <xsd:element name="Documentos_Incumplimiento2" ma:index="230" nillable="true" ma:displayName="Documentos_Incumplimiento2" ma:format="Dropdown" ma:internalName="Documentos_Incumplimiento2">
      <xsd:simpleType>
        <xsd:restriction base="dms:Text">
          <xsd:maxLength value="255"/>
        </xsd:restriction>
      </xsd:simpleType>
    </xsd:element>
    <xsd:element name="Estipula2" ma:index="231" nillable="true" ma:displayName="Estipula2" ma:format="Dropdown" ma:internalName="Estipula2">
      <xsd:simpleType>
        <xsd:restriction base="dms:Text">
          <xsd:maxLength value="255"/>
        </xsd:restriction>
      </xsd:simpleType>
    </xsd:element>
    <xsd:element name="Detalle_Doc_Incumplimiento2" ma:index="232" nillable="true" ma:displayName="Detalle_Doc_Incumplimiento2" ma:format="Dropdown" ma:internalName="Detalle_Doc_Incumplimiento2">
      <xsd:simpleType>
        <xsd:restriction base="dms:Text">
          <xsd:maxLength value="255"/>
        </xsd:restriction>
      </xsd:simpleType>
    </xsd:element>
    <xsd:element name="bl" ma:index="233" nillable="true" ma:displayName="bl" ma:format="Dropdown" ma:internalName="bl">
      <xsd:simpleType>
        <xsd:restriction base="dms:Text">
          <xsd:maxLength value="255"/>
        </xsd:restriction>
      </xsd:simpleType>
    </xsd:element>
    <xsd:element name="cl" ma:index="234" nillable="true" ma:displayName="cl" ma:format="Dropdown" ma:internalName="cl">
      <xsd:simpleType>
        <xsd:restriction base="dms:Text">
          <xsd:maxLength value="255"/>
        </xsd:restriction>
      </xsd:simpleType>
    </xsd:element>
    <xsd:element name="MediaServiceBillingMetadata" ma:index="235" nillable="true" ma:displayName="MediaServiceBillingMetadata" ma:hidden="true" ma:internalName="MediaServiceBillingMetadata" ma:readOnly="true">
      <xsd:simpleType>
        <xsd:restriction base="dms:Note"/>
      </xsd:simpleType>
    </xsd:element>
    <xsd:element name="Sustento_Rechazo_2" ma:index="236" nillable="true" ma:displayName="Sustento_Rechazo_2" ma:format="Dropdown" ma:internalName="Sustento_Rechazo_2">
      <xsd:simpleType>
        <xsd:restriction base="dms:Text">
          <xsd:maxLength value="255"/>
        </xsd:restriction>
      </xsd:simpleType>
    </xsd:element>
    <xsd:element name="Sustento_Rechazo_3" ma:index="237" nillable="true" ma:displayName="Sustento_Rechazo_3" ma:format="Dropdown" ma:internalName="Sustento_Rechazo_3">
      <xsd:simpleType>
        <xsd:restriction base="dms:Text">
          <xsd:maxLength value="255"/>
        </xsd:restriction>
      </xsd:simpleType>
    </xsd:element>
    <xsd:element name="Sustento_Rechazo_4" ma:index="238" nillable="true" ma:displayName="Sustento_Rechazo_4" ma:format="Dropdown" ma:internalName="Sustento_Rechazo_4">
      <xsd:simpleType>
        <xsd:restriction base="dms:Text">
          <xsd:maxLength value="255"/>
        </xsd:restriction>
      </xsd:simpleType>
    </xsd:element>
    <xsd:element name="Diagnosticos_2" ma:index="239" nillable="true" ma:displayName="Diagnosticos_2" ma:format="Dropdown" ma:internalName="Diagnosticos_2">
      <xsd:simpleType>
        <xsd:restriction base="dms:Text">
          <xsd:maxLength value="255"/>
        </xsd:restriction>
      </xsd:simpleType>
    </xsd:element>
    <xsd:element name="Diagnosticos_3" ma:index="240" nillable="true" ma:displayName="Diagnosticos_3" ma:format="Dropdown" ma:internalName="Diagnosticos_3">
      <xsd:simpleType>
        <xsd:restriction base="dms:Text">
          <xsd:maxLength value="255"/>
        </xsd:restriction>
      </xsd:simpleType>
    </xsd:element>
    <xsd:element name="Descripcion_Accidente_2" ma:index="241" nillable="true" ma:displayName="Descripcion_Accidente_2" ma:format="Dropdown" ma:internalName="Descripcion_Accidente_2">
      <xsd:simpleType>
        <xsd:restriction base="dms:Text">
          <xsd:maxLength value="255"/>
        </xsd:restriction>
      </xsd:simpleType>
    </xsd:element>
    <xsd:element name="Detalle_Doc_2" ma:index="242" nillable="true" ma:displayName="Detalle_Doc_2" ma:format="Dropdown" ma:internalName="Detalle_Doc_2">
      <xsd:simpleType>
        <xsd:restriction base="dms:Text">
          <xsd:maxLength value="255"/>
        </xsd:restriction>
      </xsd:simpleType>
    </xsd:element>
    <xsd:element name="Detalle_Doc_3" ma:index="243" nillable="true" ma:displayName="Detalle_Doc_3" ma:format="Dropdown" ma:internalName="Detalle_Doc_3">
      <xsd:simpleType>
        <xsd:restriction base="dms:Text">
          <xsd:maxLength value="255"/>
        </xsd:restriction>
      </xsd:simpleType>
    </xsd:element>
    <xsd:element name="Detalle_Doc_4" ma:index="244" nillable="true" ma:displayName="Detalle_Doc_4" ma:format="Dropdown" ma:internalName="Detalle_Doc_4">
      <xsd:simpleType>
        <xsd:restriction base="dms:Text">
          <xsd:maxLength value="255"/>
        </xsd:restriction>
      </xsd:simpleType>
    </xsd:element>
    <xsd:element name="Detalle_Doc_5" ma:index="245" nillable="true" ma:displayName="Detalle_Doc_5" ma:format="Dropdown" ma:internalName="Detalle_Doc_5">
      <xsd:simpleType>
        <xsd:restriction base="dms:Text">
          <xsd:maxLength value="255"/>
        </xsd:restriction>
      </xsd:simpleType>
    </xsd:element>
    <xsd:element name="Detalle_Doc_6" ma:index="246" nillable="true" ma:displayName="Detalle_Doc_6" ma:format="Dropdown" ma:internalName="Detalle_Doc_6">
      <xsd:simpleType>
        <xsd:restriction base="dms:Text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8c6fdf2-8adc-4820-9c71-468ba955765c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31" nillable="true" ma:displayName="Taxonomy Catch All Column" ma:hidden="true" ma:list="{487b0b0c-1d90-4196-a0dd-e03160816b79}" ma:internalName="TaxCatchAll" ma:showField="CatchAllData" ma:web="b8c6fdf2-8adc-4820-9c71-468ba955765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Fechadecita3 xmlns="b646f9de-3297-4c31-891b-b6cf74e8a20b" xsi:nil="true"/>
    <Horadecita4 xmlns="b646f9de-3297-4c31-891b-b6cf74e8a20b" xsi:nil="true"/>
    <Horadecita1_x0028_delproveedorB_x0029_ xmlns="b646f9de-3297-4c31-891b-b6cf74e8a20b" xsi:nil="true"/>
    <Horadecita2_x0028_delproveedorA_x0029_ xmlns="b646f9de-3297-4c31-891b-b6cf74e8a20b" xsi:nil="true"/>
    <CIMEDIC xmlns="b646f9de-3297-4c31-891b-b6cf74e8a20b" xsi:nil="true"/>
    <CIMEDIC3 xmlns="b646f9de-3297-4c31-891b-b6cf74e8a20b" xsi:nil="true"/>
    <Apellido_Materno xmlns="b646f9de-3297-4c31-891b-b6cf74e8a20b" xsi:nil="true"/>
    <DNI xmlns="b646f9de-3297-4c31-891b-b6cf74e8a20b" xsi:nil="true"/>
    <Diagnostico_3 xmlns="b646f9de-3297-4c31-891b-b6cf74e8a20b" xsi:nil="true"/>
    <Nro_Carta xmlns="b646f9de-3297-4c31-891b-b6cf74e8a20b" xsi:nil="true"/>
    <Detalle_Doc_Incumplimiento xmlns="b646f9de-3297-4c31-891b-b6cf74e8a20b" xsi:nil="true"/>
    <Asunto xmlns="b646f9de-3297-4c31-891b-b6cf74e8a20b" xsi:nil="true"/>
    <Correo xmlns="b646f9de-3297-4c31-891b-b6cf74e8a20b" xsi:nil="true"/>
    <Proveedor xmlns="b646f9de-3297-4c31-891b-b6cf74e8a20b" xsi:nil="true"/>
    <Fechadecita3_x0028_delproveedorE_x0029_ xmlns="b646f9de-3297-4c31-891b-b6cf74e8a20b" xsi:nil="true"/>
    <Fechadecita2_x0028_delproveedorD_x0029_ xmlns="b646f9de-3297-4c31-891b-b6cf74e8a20b" xsi:nil="true"/>
    <Horadecita1_x0028_delproveedorC_x0029_ xmlns="b646f9de-3297-4c31-891b-b6cf74e8a20b" xsi:nil="true"/>
    <Fechadecita1_x0028_delproveedorB_x0029_ xmlns="b646f9de-3297-4c31-891b-b6cf74e8a20b" xsi:nil="true"/>
    <Fechadecita4_x0028_delproveedorB_x0029_ xmlns="b646f9de-3297-4c31-891b-b6cf74e8a20b" xsi:nil="true"/>
    <Fechadecita2_x0028_delproveedorA_x0029_ xmlns="b646f9de-3297-4c31-891b-b6cf74e8a20b" xsi:nil="true"/>
    <Horadecita3_x0028_delproveedorA_x0029_ xmlns="b646f9de-3297-4c31-891b-b6cf74e8a20b" xsi:nil="true"/>
    <Montoaindemnizar xmlns="b646f9de-3297-4c31-891b-b6cf74e8a20b" xsi:nil="true"/>
    <Fechadesiniestro xmlns="b646f9de-3297-4c31-891b-b6cf74e8a20b" xsi:nil="true"/>
    <DICTINR1 xmlns="b646f9de-3297-4c31-891b-b6cf74e8a20b" xsi:nil="true"/>
    <POLITICASREEMBOLSO xmlns="b646f9de-3297-4c31-891b-b6cf74e8a20b" xsi:nil="true"/>
    <CUERPOREEMBOLSO xmlns="b646f9de-3297-4c31-891b-b6cf74e8a20b" xsi:nil="true"/>
    <Diagnostico_2 xmlns="b646f9de-3297-4c31-891b-b6cf74e8a20b" xsi:nil="true"/>
    <N_Permanente xmlns="b646f9de-3297-4c31-891b-b6cf74e8a20b" xsi:nil="true"/>
    <Msc_Comb xmlns="b646f9de-3297-4c31-891b-b6cf74e8a20b" xsi:nil="true"/>
    <Hora_Siniestro xmlns="b646f9de-3297-4c31-891b-b6cf74e8a20b" xsi:nil="true"/>
    <Hora_Emision_Constancia xmlns="b646f9de-3297-4c31-891b-b6cf74e8a20b" xsi:nil="true"/>
    <Detalle_Doc_6 xmlns="b646f9de-3297-4c31-891b-b6cf74e8a20b" xsi:nil="true"/>
    <Tel_x00e9_fonodelproveedor xmlns="b646f9de-3297-4c31-891b-b6cf74e8a20b" xsi:nil="true"/>
    <Horadecita4_x0028_delproveedorE_x0029_ xmlns="b646f9de-3297-4c31-891b-b6cf74e8a20b" xsi:nil="true"/>
    <Horadecita2_x0028_delproveedorC_x0029_ xmlns="b646f9de-3297-4c31-891b-b6cf74e8a20b" xsi:nil="true"/>
    <Horadecita3_x0028_delproveedorB_x0029_ xmlns="b646f9de-3297-4c31-891b-b6cf74e8a20b" xsi:nil="true"/>
    <Diagnostico_1 xmlns="b646f9de-3297-4c31-891b-b6cf74e8a20b" xsi:nil="true"/>
    <FC_Grado xmlns="b646f9de-3297-4c31-891b-b6cf74e8a20b" xsi:nil="true"/>
    <Diagnosticos_Enfermedad xmlns="b646f9de-3297-4c31-891b-b6cf74e8a20b" xsi:nil="true"/>
    <cl xmlns="b646f9de-3297-4c31-891b-b6cf74e8a20b" xsi:nil="true"/>
    <Detalle_Doc_5 xmlns="b646f9de-3297-4c31-891b-b6cf74e8a20b" xsi:nil="true"/>
    <Fechadeaccidente xmlns="b646f9de-3297-4c31-891b-b6cf74e8a20b" xsi:nil="true"/>
    <Horadecita4_x0028_delproveedorD_x0029_ xmlns="b646f9de-3297-4c31-891b-b6cf74e8a20b" xsi:nil="true"/>
    <Horadecita3_x0028_delproveedorC_x0029_ xmlns="b646f9de-3297-4c31-891b-b6cf74e8a20b" xsi:nil="true"/>
    <Horadecita2_x0028_delproveedorB_x0029_ xmlns="b646f9de-3297-4c31-891b-b6cf74e8a20b" xsi:nil="true"/>
    <Horadecita1_x0028_delproveedorA_x0029_ xmlns="b646f9de-3297-4c31-891b-b6cf74e8a20b" xsi:nil="true"/>
    <Nombredeasegurado xmlns="b646f9de-3297-4c31-891b-b6cf74e8a20b" xsi:nil="true"/>
    <PENSIONDEINVALIDEZ_x002f_INDEMNIZACION xmlns="b646f9de-3297-4c31-891b-b6cf74e8a20b" xsi:nil="true"/>
    <Nombres xmlns="b646f9de-3297-4c31-891b-b6cf74e8a20b" xsi:nil="true"/>
    <Empresa_Sede xmlns="b646f9de-3297-4c31-891b-b6cf74e8a20b" xsi:nil="true"/>
    <Periodo_Laboral xmlns="b646f9de-3297-4c31-891b-b6cf74e8a20b" xsi:nil="true"/>
    <N_NoIncapa xmlns="b646f9de-3297-4c31-891b-b6cf74e8a20b" xsi:nil="true"/>
    <Documentos_Incumplimiento xmlns="b646f9de-3297-4c31-891b-b6cf74e8a20b" xsi:nil="true"/>
    <bl xmlns="b646f9de-3297-4c31-891b-b6cf74e8a20b" xsi:nil="true"/>
    <Sustento_Rechazo_3 xmlns="b646f9de-3297-4c31-891b-b6cf74e8a20b" xsi:nil="true"/>
    <Sustento_Rechazo_4 xmlns="b646f9de-3297-4c31-891b-b6cf74e8a20b" xsi:nil="true"/>
    <Detalle_Doc_4 xmlns="b646f9de-3297-4c31-891b-b6cf74e8a20b" xsi:nil="true"/>
    <Direcci_x00f3_ndeproveedorC xmlns="b646f9de-3297-4c31-891b-b6cf74e8a20b" xsi:nil="true"/>
    <Fechadesiniestroletras xmlns="b646f9de-3297-4c31-891b-b6cf74e8a20b" xsi:nil="true"/>
    <CIMEDIC2 xmlns="b646f9de-3297-4c31-891b-b6cf74e8a20b" xsi:nil="true"/>
    <Dia_Informe xmlns="b646f9de-3297-4c31-891b-b6cf74e8a20b" xsi:nil="true"/>
    <Distrito xmlns="b646f9de-3297-4c31-891b-b6cf74e8a20b" xsi:nil="true"/>
    <I_Total xmlns="b646f9de-3297-4c31-891b-b6cf74e8a20b" xsi:nil="true"/>
    <Sustento_Rechazo xmlns="b646f9de-3297-4c31-891b-b6cf74e8a20b" xsi:nil="true"/>
    <Diagnosticos_3 xmlns="b646f9de-3297-4c31-891b-b6cf74e8a20b" xsi:nil="true"/>
    <Detalle_Doc_3 xmlns="b646f9de-3297-4c31-891b-b6cf74e8a20b" xsi:nil="true"/>
    <FECHA xmlns="b646f9de-3297-4c31-891b-b6cf74e8a20b" xsi:nil="true"/>
    <Fechadecita1_x0028_delproveedorD_x0029_ xmlns="b646f9de-3297-4c31-891b-b6cf74e8a20b" xsi:nil="true"/>
    <Fechadecita1_x0028_delproveedorC_x0029_ xmlns="b646f9de-3297-4c31-891b-b6cf74e8a20b" xsi:nil="true"/>
    <Direcci_x00f3_ndeproveedorB xmlns="b646f9de-3297-4c31-891b-b6cf74e8a20b" xsi:nil="true"/>
    <Fechadecita3_x0028_delproveedorA_x0029_ xmlns="b646f9de-3297-4c31-891b-b6cf74e8a20b" xsi:nil="true"/>
    <Fechadecita4_x0028_delproveedorA_x0029_ xmlns="b646f9de-3297-4c31-891b-b6cf74e8a20b" xsi:nil="true"/>
    <P_x00f3_lizadelaempresa xmlns="b646f9de-3297-4c31-891b-b6cf74e8a20b" xsi:nil="true"/>
    <Nombredebeneficiario xmlns="b646f9de-3297-4c31-891b-b6cf74e8a20b" xsi:nil="true"/>
    <encumplimientolegal xmlns="b646f9de-3297-4c31-891b-b6cf74e8a20b" xsi:nil="true"/>
    <CONDIC_NATCLAR xmlns="b646f9de-3297-4c31-891b-b6cf74e8a20b" xsi:nil="true"/>
    <Edad xmlns="b646f9de-3297-4c31-891b-b6cf74e8a20b" xsi:nil="true"/>
    <Ocupacion xmlns="b646f9de-3297-4c31-891b-b6cf74e8a20b" xsi:nil="true"/>
    <Fecha_Carta xmlns="b646f9de-3297-4c31-891b-b6cf74e8a20b" xsi:nil="true"/>
    <Nombre_Asegurado xmlns="b646f9de-3297-4c31-891b-b6cf74e8a20b" xsi:nil="true"/>
    <Labor_Riesgo xmlns="b646f9de-3297-4c31-891b-b6cf74e8a20b" xsi:nil="true"/>
    <Detalle_Doc_2 xmlns="b646f9de-3297-4c31-891b-b6cf74e8a20b" xsi:nil="true"/>
    <Direcci_x00f3_ndeproveedorA xmlns="b646f9de-3297-4c31-891b-b6cf74e8a20b" xsi:nil="true"/>
    <Fechadepago xmlns="b646f9de-3297-4c31-891b-b6cf74e8a20b" xsi:nil="true"/>
    <Fechadesiniestrolarga xmlns="b646f9de-3297-4c31-891b-b6cf74e8a20b" xsi:nil="true"/>
    <EXPEDIENTELEGAL xmlns="b646f9de-3297-4c31-891b-b6cf74e8a20b" xsi:nil="true"/>
    <Direcci_x00f3_ndelasegurado xmlns="b646f9de-3297-4c31-891b-b6cf74e8a20b" xsi:nil="true"/>
    <ANEXOCONSTANCIAINDEMNIZACION xmlns="b646f9de-3297-4c31-891b-b6cf74e8a20b" xsi:nil="true"/>
    <Fechadeiniciodepension xmlns="b646f9de-3297-4c31-891b-b6cf74e8a20b" xsi:nil="true"/>
    <PROV4 xmlns="b646f9de-3297-4c31-891b-b6cf74e8a20b" xsi:nil="true"/>
    <LISTA_x0025_ xmlns="b646f9de-3297-4c31-891b-b6cf74e8a20b" xsi:nil="true"/>
    <LISTAACREDITADO xmlns="b646f9de-3297-4c31-891b-b6cf74e8a20b" xsi:nil="true"/>
    <Actividad xmlns="b646f9de-3297-4c31-891b-b6cf74e8a20b" xsi:nil="true"/>
    <Codigo_3 xmlns="b646f9de-3297-4c31-891b-b6cf74e8a20b" xsi:nil="true"/>
    <Menoscabo xmlns="b646f9de-3297-4c31-891b-b6cf74e8a20b" xsi:nil="true"/>
    <Numerodecelulardelasegurado xmlns="b646f9de-3297-4c31-891b-b6cf74e8a20b" xsi:nil="true"/>
    <PROV5 xmlns="b646f9de-3297-4c31-891b-b6cf74e8a20b" xsi:nil="true"/>
    <Documentos_Incumplimiento2 xmlns="b646f9de-3297-4c31-891b-b6cf74e8a20b" xsi:nil="true"/>
    <Sustento_Rechazo_2 xmlns="b646f9de-3297-4c31-891b-b6cf74e8a20b" xsi:nil="true"/>
    <Nombredeltrabajador xmlns="b646f9de-3297-4c31-891b-b6cf74e8a20b" xsi:nil="true"/>
    <TaxCatchAll xmlns="b8c6fdf2-8adc-4820-9c71-468ba955765c" xsi:nil="true"/>
    <TIPOTRAMITE xmlns="b646f9de-3297-4c31-891b-b6cf74e8a20b" xsi:nil="true"/>
    <PROV2 xmlns="b646f9de-3297-4c31-891b-b6cf74e8a20b" xsi:nil="true"/>
    <I_GIncap xmlns="b646f9de-3297-4c31-891b-b6cf74e8a20b" xsi:nil="true"/>
    <Diagnosticos_2 xmlns="b646f9de-3297-4c31-891b-b6cf74e8a20b" xsi:nil="true"/>
    <Descripcion_Accidente_2 xmlns="b646f9de-3297-4c31-891b-b6cf74e8a20b" xsi:nil="true"/>
    <Fechadecita1_x0028_delproveedorE_x0029_ xmlns="b646f9de-3297-4c31-891b-b6cf74e8a20b" xsi:nil="true"/>
    <Fechadecita4_x0028_delproveedorE_x0029_ xmlns="b646f9de-3297-4c31-891b-b6cf74e8a20b" xsi:nil="true"/>
    <ProveedorD xmlns="b646f9de-3297-4c31-891b-b6cf74e8a20b" xsi:nil="true"/>
    <Fechadecita2_x0028_delproveedorC_x0029_ xmlns="b646f9de-3297-4c31-891b-b6cf74e8a20b" xsi:nil="true"/>
    <Fechadecita3_x0028_delproveedorB_x0029_ xmlns="b646f9de-3297-4c31-891b-b6cf74e8a20b" xsi:nil="true"/>
    <ProveedorA xmlns="b646f9de-3297-4c31-891b-b6cf74e8a20b" xsi:nil="true"/>
    <BROKER xmlns="b646f9de-3297-4c31-891b-b6cf74e8a20b" xsi:nil="true"/>
    <PROV3 xmlns="b646f9de-3297-4c31-891b-b6cf74e8a20b" xsi:nil="true"/>
    <NOTAREEMBOLSO xmlns="b646f9de-3297-4c31-891b-b6cf74e8a20b" xsi:nil="true"/>
    <Provincia xmlns="b646f9de-3297-4c31-891b-b6cf74e8a20b" xsi:nil="true"/>
    <Detalle_Doc_Incumplimiento1 xmlns="b646f9de-3297-4c31-891b-b6cf74e8a20b" xsi:nil="true"/>
    <lcf76f155ced4ddcb4097134ff3c332f xmlns="b646f9de-3297-4c31-891b-b6cf74e8a20b">
      <Terms xmlns="http://schemas.microsoft.com/office/infopath/2007/PartnerControls"/>
    </lcf76f155ced4ddcb4097134ff3c332f>
    <Direcci_x00f3_ndeproveedorE xmlns="b646f9de-3297-4c31-891b-b6cf74e8a20b" xsi:nil="true"/>
    <Causa xmlns="b646f9de-3297-4c31-891b-b6cf74e8a20b" xsi:nil="true"/>
    <DNIdelasegurado xmlns="b646f9de-3297-4c31-891b-b6cf74e8a20b" xsi:nil="true"/>
    <tipodedocumentodebeneficiario xmlns="b646f9de-3297-4c31-891b-b6cf74e8a20b" xsi:nil="true"/>
    <Documentospendientes xmlns="b646f9de-3297-4c31-891b-b6cf74e8a20b" xsi:nil="true"/>
    <SEDEJUDICIAL xmlns="b646f9de-3297-4c31-891b-b6cf74e8a20b" xsi:nil="true"/>
    <Sexo xmlns="b646f9de-3297-4c31-891b-b6cf74e8a20b" xsi:nil="true"/>
    <Codigo_2 xmlns="b646f9de-3297-4c31-891b-b6cf74e8a20b" xsi:nil="true"/>
    <Msc_Global xmlns="b646f9de-3297-4c31-891b-b6cf74e8a20b" xsi:nil="true"/>
    <Detalle_Doc_Incumplimiento2 xmlns="b646f9de-3297-4c31-891b-b6cf74e8a20b" xsi:nil="true"/>
    <Direcci_x00f3_ndeproveedor xmlns="b646f9de-3297-4c31-891b-b6cf74e8a20b" xsi:nil="true"/>
    <Direcci_x00f3_ndeproveedorD xmlns="b646f9de-3297-4c31-891b-b6cf74e8a20b" xsi:nil="true"/>
    <DIAGNOSTICOS_x002f_ENFERMEDAD xmlns="b646f9de-3297-4c31-891b-b6cf74e8a20b" xsi:nil="true"/>
    <Tipodedocdeidentidaddelasegurado xmlns="b646f9de-3297-4c31-891b-b6cf74e8a20b" xsi:nil="true"/>
    <ANEXO2DEPENSION xmlns="b646f9de-3297-4c31-891b-b6cf74e8a20b" xsi:nil="true"/>
    <EncasodeATESSALUD xmlns="b646f9de-3297-4c31-891b-b6cf74e8a20b" xsi:nil="true"/>
    <PROV1 xmlns="b646f9de-3297-4c31-891b-b6cf74e8a20b" xsi:nil="true"/>
    <Mes_Informe xmlns="b646f9de-3297-4c31-891b-b6cf74e8a20b" xsi:nil="true"/>
    <Calle xmlns="b646f9de-3297-4c31-891b-b6cf74e8a20b" xsi:nil="true"/>
    <Departamento xmlns="b646f9de-3297-4c31-891b-b6cf74e8a20b" xsi:nil="true"/>
    <Fech_I xmlns="b646f9de-3297-4c31-891b-b6cf74e8a20b" xsi:nil="true"/>
    <Nombredeprocurador xmlns="b646f9de-3297-4c31-891b-b6cf74e8a20b" xsi:nil="true"/>
    <Fechadecita1 xmlns="b646f9de-3297-4c31-891b-b6cf74e8a20b" xsi:nil="true"/>
    <Fechadecita4 xmlns="b646f9de-3297-4c31-891b-b6cf74e8a20b" xsi:nil="true"/>
    <Remunpromedio xmlns="b646f9de-3297-4c31-891b-b6cf74e8a20b" xsi:nil="true"/>
    <Montoaindemnizarletras xmlns="b646f9de-3297-4c31-891b-b6cf74e8a20b" xsi:nil="true"/>
    <cuandooconsecuencia xmlns="b646f9de-3297-4c31-891b-b6cf74e8a20b" xsi:nil="true"/>
    <CIMEDIC5 xmlns="b646f9de-3297-4c31-891b-b6cf74e8a20b" xsi:nil="true"/>
    <Fecha_Nacimiento xmlns="b646f9de-3297-4c31-891b-b6cf74e8a20b" xsi:nil="true"/>
    <N_Temporal xmlns="b646f9de-3297-4c31-891b-b6cf74e8a20b" xsi:nil="true"/>
    <Correo_Asegurado xmlns="b646f9de-3297-4c31-891b-b6cf74e8a20b" xsi:nil="true"/>
    <Empresa xmlns="b646f9de-3297-4c31-891b-b6cf74e8a20b" xsi:nil="true"/>
    <Fecha_Emision_Constancia xmlns="b646f9de-3297-4c31-891b-b6cf74e8a20b" xsi:nil="true"/>
    <Dnidelprocurador xmlns="b646f9de-3297-4c31-891b-b6cf74e8a20b" xsi:nil="true"/>
    <ProveedorE xmlns="b646f9de-3297-4c31-891b-b6cf74e8a20b" xsi:nil="true"/>
    <Fechadecita4_x0028_delproveedorD_x0029_ xmlns="b646f9de-3297-4c31-891b-b6cf74e8a20b" xsi:nil="true"/>
    <Fechadecita3_x0028_delproveedorC_x0029_ xmlns="b646f9de-3297-4c31-891b-b6cf74e8a20b" xsi:nil="true"/>
    <ProveedorB xmlns="b646f9de-3297-4c31-891b-b6cf74e8a20b" xsi:nil="true"/>
    <Fechadecita2_x0028_delproveedorB_x0029_ xmlns="b646f9de-3297-4c31-891b-b6cf74e8a20b" xsi:nil="true"/>
    <Fechadecita1_x0028_delproveedorA_x0029_ xmlns="b646f9de-3297-4c31-891b-b6cf74e8a20b" xsi:nil="true"/>
    <Prestaci_x00f3_ny_x002f_oCobertura xmlns="b646f9de-3297-4c31-891b-b6cf74e8a20b" xsi:nil="true"/>
    <DICTINR2 xmlns="b646f9de-3297-4c31-891b-b6cf74e8a20b" xsi:nil="true"/>
    <CORREOBROKER xmlns="b646f9de-3297-4c31-891b-b6cf74e8a20b" xsi:nil="true"/>
    <FECH_RESOL xmlns="b646f9de-3297-4c31-891b-b6cf74e8a20b" xsi:nil="true"/>
    <Estipula1 xmlns="b646f9de-3297-4c31-891b-b6cf74e8a20b" xsi:nil="true"/>
    <Tel_x00e9_fonodelproveedorD xmlns="b646f9de-3297-4c31-891b-b6cf74e8a20b" xsi:nil="true"/>
    <N_x00fa_merodesiniestro xmlns="b646f9de-3297-4c31-891b-b6cf74e8a20b" xsi:nil="true"/>
    <LISTAPARENTEZCO xmlns="b646f9de-3297-4c31-891b-b6cf74e8a20b" xsi:nil="true"/>
    <Codigo_1 xmlns="b646f9de-3297-4c31-891b-b6cf74e8a20b" xsi:nil="true"/>
    <Nro_Poliza xmlns="b646f9de-3297-4c31-891b-b6cf74e8a20b" xsi:nil="true"/>
    <Nro_Constancia xmlns="b646f9de-3297-4c31-891b-b6cf74e8a20b" xsi:nil="true"/>
    <Descripcion_Accidente xmlns="b646f9de-3297-4c31-891b-b6cf74e8a20b" xsi:nil="true"/>
    <Estipula2 xmlns="b646f9de-3297-4c31-891b-b6cf74e8a20b" xsi:nil="true"/>
    <Tel_x00e9_fonodelproveedorE xmlns="b646f9de-3297-4c31-891b-b6cf74e8a20b" xsi:nil="true"/>
    <CorreodelAsegurado xmlns="b646f9de-3297-4c31-891b-b6cf74e8a20b" xsi:nil="true"/>
    <MENOSCABO_x002a_70_x0025_ xmlns="b646f9de-3297-4c31-891b-b6cf74e8a20b" xsi:nil="true"/>
    <Nro_Certificado xmlns="b646f9de-3297-4c31-891b-b6cf74e8a20b" xsi:nil="true"/>
    <Resultado_AT xmlns="b646f9de-3297-4c31-891b-b6cf74e8a20b" xsi:nil="true"/>
    <I_Parcial xmlns="b646f9de-3297-4c31-891b-b6cf74e8a20b" xsi:nil="true"/>
    <Documentos_Incumplimiento1 xmlns="b646f9de-3297-4c31-891b-b6cf74e8a20b" xsi:nil="true"/>
    <Fechadecita2 xmlns="b646f9de-3297-4c31-891b-b6cf74e8a20b" xsi:nil="true"/>
    <Horadecita2_x0028_delproveedorE_x0029_ xmlns="b646f9de-3297-4c31-891b-b6cf74e8a20b" xsi:nil="true"/>
    <Horadecita3_x0028_delproveedorD_x0029_ xmlns="b646f9de-3297-4c31-891b-b6cf74e8a20b" xsi:nil="true"/>
    <Horadecita4_x0028_delproveedorC_x0029_ xmlns="b646f9de-3297-4c31-891b-b6cf74e8a20b" xsi:nil="true"/>
    <Tel_x00e9_fonodelproveedorB xmlns="b646f9de-3297-4c31-891b-b6cf74e8a20b" xsi:nil="true"/>
    <Fechadeultimapensi_x00f3_n xmlns="b646f9de-3297-4c31-891b-b6cf74e8a20b" xsi:nil="true"/>
    <DICTMAPFRE1 xmlns="b646f9de-3297-4c31-891b-b6cf74e8a20b" xsi:nil="true"/>
    <CORREOEMPRESA xmlns="b646f9de-3297-4c31-891b-b6cf74e8a20b" xsi:nil="true"/>
    <CIMEDIC4 xmlns="b646f9de-3297-4c31-891b-b6cf74e8a20b" xsi:nil="true"/>
    <Apellido_Paterno xmlns="b646f9de-3297-4c31-891b-b6cf74e8a20b" xsi:nil="true"/>
    <FC_Edad xmlns="b646f9de-3297-4c31-891b-b6cf74e8a20b" xsi:nil="true"/>
    <Nombre_x0020_de_x0020_la_x0020_empresa xmlns="b646f9de-3297-4c31-891b-b6cf74e8a20b" xsi:nil="true"/>
    <Horadecita1 xmlns="b646f9de-3297-4c31-891b-b6cf74e8a20b" xsi:nil="true"/>
    <Fechadecita2_x0028_delproveedorE_x0029_ xmlns="b646f9de-3297-4c31-891b-b6cf74e8a20b" xsi:nil="true"/>
    <Horadecita3_x0028_delproveedorE_x0029_ xmlns="b646f9de-3297-4c31-891b-b6cf74e8a20b" xsi:nil="true"/>
    <Fechadecita3_x0028_delproveedorD_x0029_ xmlns="b646f9de-3297-4c31-891b-b6cf74e8a20b" xsi:nil="true"/>
    <Horadecita2_x0028_delproveedorD_x0029_ xmlns="b646f9de-3297-4c31-891b-b6cf74e8a20b" xsi:nil="true"/>
    <ProveedorC xmlns="b646f9de-3297-4c31-891b-b6cf74e8a20b" xsi:nil="true"/>
    <Tel_x00e9_fonodelproveedorC xmlns="b646f9de-3297-4c31-891b-b6cf74e8a20b" xsi:nil="true"/>
    <Fechadecita4_x0028_delproveedorC_x0029_ xmlns="b646f9de-3297-4c31-891b-b6cf74e8a20b" xsi:nil="true"/>
    <Horadecita4_x0028_delproveedorB_x0029_ xmlns="b646f9de-3297-4c31-891b-b6cf74e8a20b" xsi:nil="true"/>
    <Tipodeconfi xmlns="b646f9de-3297-4c31-891b-b6cf74e8a20b" xsi:nil="true"/>
    <Motivo_NoRelacion xmlns="b646f9de-3297-4c31-891b-b6cf74e8a20b" xsi:nil="true"/>
    <Compa_x00f1_ia xmlns="b646f9de-3297-4c31-891b-b6cf74e8a20b" xsi:nil="true"/>
    <Horadecita2 xmlns="b646f9de-3297-4c31-891b-b6cf74e8a20b" xsi:nil="true"/>
    <Horadecita1_x0028_delproveedorD_x0029_ xmlns="b646f9de-3297-4c31-891b-b6cf74e8a20b" xsi:nil="true"/>
    <Horadecita4_x0028_delproveedorA_x0029_ xmlns="b646f9de-3297-4c31-891b-b6cf74e8a20b" xsi:nil="true"/>
    <Asunto_x002d_carta xmlns="b646f9de-3297-4c31-891b-b6cf74e8a20b" xsi:nil="true"/>
    <Anio_Informe xmlns="b646f9de-3297-4c31-891b-b6cf74e8a20b" xsi:nil="true"/>
    <Resultado_Informe xmlns="b646f9de-3297-4c31-891b-b6cf74e8a20b" xsi:nil="true"/>
    <Fecha_Siniestro xmlns="b646f9de-3297-4c31-891b-b6cf74e8a20b" xsi:nil="true"/>
    <Fecha_Siniestro1 xmlns="b646f9de-3297-4c31-891b-b6cf74e8a20b" xsi:nil="true"/>
    <Estadodedocumento xmlns="b646f9de-3297-4c31-891b-b6cf74e8a20b">Pendiente</Estadodedocumento>
    <Horadecita3 xmlns="b646f9de-3297-4c31-891b-b6cf74e8a20b" xsi:nil="true"/>
    <Horadecita1_x0028_delproveedorE_x0029_ xmlns="b646f9de-3297-4c31-891b-b6cf74e8a20b" xsi:nil="true"/>
    <Tel_x00e9_fonodelproveedorA xmlns="b646f9de-3297-4c31-891b-b6cf74e8a20b" xsi:nil="true"/>
    <Consecuencia xmlns="b646f9de-3297-4c31-891b-b6cf74e8a20b" xsi:nil="true"/>
    <Montodeintereseslegalesletras xmlns="b646f9de-3297-4c31-891b-b6cf74e8a20b" xsi:nil="true"/>
    <nrodedocumentodebeneficiario xmlns="b646f9de-3297-4c31-891b-b6cf74e8a20b" xsi:nil="true"/>
    <DICTMAPFRE2 xmlns="b646f9de-3297-4c31-891b-b6cf74e8a20b" xsi:nil="true"/>
    <LISTADEBENEFICIARIOS xmlns="b646f9de-3297-4c31-891b-b6cf74e8a20b" xsi:nil="true"/>
    <Empleador xmlns="b646f9de-3297-4c31-891b-b6cf74e8a20b" xsi:nil="true"/>
    <Fech_A xmlns="b646f9de-3297-4c31-891b-b6cf74e8a20b" xsi:nil="true"/>
    <FC_Laboral xmlns="b646f9de-3297-4c31-891b-b6cf74e8a20b" xsi:nil="true"/>
    <Vigencia_Constancia xmlns="b646f9de-3297-4c31-891b-b6cf74e8a20b" xsi:nil="true"/>
  </documentManagement>
</p:properties>
</file>

<file path=customXml/itemProps1.xml><?xml version="1.0" encoding="utf-8"?>
<ds:datastoreItem xmlns:ds="http://schemas.openxmlformats.org/officeDocument/2006/customXml" ds:itemID="{B9B928BD-4583-494F-AFA6-3545094E7C34}"/>
</file>

<file path=customXml/itemProps2.xml><?xml version="1.0" encoding="utf-8"?>
<ds:datastoreItem xmlns:ds="http://schemas.openxmlformats.org/officeDocument/2006/customXml" ds:itemID="{CF72B3D7-4916-44A4-89D7-B44EB51957E4}"/>
</file>

<file path=customXml/itemProps3.xml><?xml version="1.0" encoding="utf-8"?>
<ds:datastoreItem xmlns:ds="http://schemas.openxmlformats.org/officeDocument/2006/customXml" ds:itemID="{E867A2C4-1980-4FE1-8EA0-00AF282A8A87}"/>
</file>

<file path=customXml/itemProps4.xml><?xml version="1.0" encoding="utf-8"?>
<ds:datastoreItem xmlns:ds="http://schemas.openxmlformats.org/officeDocument/2006/customXml" ds:itemID="{BB43E007-2469-4D4A-A995-5BC9CC64538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SCTRSalud</cp:lastModifiedBy>
  <cp:revision/>
  <dcterms:created xsi:type="dcterms:W3CDTF">2026-10-13T22:57:45Z</dcterms:created>
  <dcterms:modified xsi:type="dcterms:W3CDTF">2026-10-20T21:21:29Z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0x010100055F873CD8E35B46AA94A8258DDC3D10</vt:lpwstr>
  </property>
  <property fmtid="{D5CDD505-2E9C-101B-9397-08002B2CF9AE}" pid="3" name="MediaServiceImageTags">
    <vt:lpwstr/>
  </property>
</Properties>
</file>