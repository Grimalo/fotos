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ladys\Desktop\LINEA 24 PERU\MAPFRE SCTR-INVESTIG. Cuadros Enviados\2026 Cuadro enviado a MAPFRE\Enviados a Jesus (07.08.26)\"/>
    </mc:Choice>
  </mc:AlternateContent>
  <xr:revisionPtr revIDLastSave="0" documentId="13_ncr:1_{7571B513-B491-47DE-AF29-915581FB296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AYO.2026" sheetId="1" r:id="rId1"/>
    <sheet name="Resumen MAYO.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5" i="1" l="1"/>
  <c r="K35" i="1" s="1"/>
  <c r="J34" i="1"/>
  <c r="K34" i="1" s="1"/>
  <c r="J33" i="1"/>
  <c r="K33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10" i="1"/>
  <c r="K10" i="1" s="1"/>
  <c r="J7" i="1"/>
  <c r="K7" i="1" s="1"/>
  <c r="J8" i="1"/>
  <c r="K8" i="1" s="1"/>
  <c r="J9" i="1"/>
  <c r="K9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9" i="1"/>
  <c r="K19" i="1" s="1"/>
  <c r="J20" i="1"/>
  <c r="K20" i="1" s="1"/>
  <c r="J21" i="1"/>
  <c r="K21" i="1" s="1"/>
  <c r="J23" i="1"/>
  <c r="K23" i="1" s="1"/>
  <c r="J32" i="1"/>
  <c r="K32" i="1" s="1"/>
  <c r="J36" i="1"/>
  <c r="K36" i="1" s="1"/>
  <c r="J4" i="1" l="1"/>
  <c r="K4" i="1" s="1"/>
  <c r="J5" i="1"/>
  <c r="K5" i="1" s="1"/>
  <c r="J6" i="1"/>
  <c r="K6" i="1" s="1"/>
  <c r="I38" i="1"/>
  <c r="E9" i="2"/>
  <c r="F8" i="2"/>
  <c r="F6" i="2"/>
  <c r="J38" i="1" l="1"/>
  <c r="G8" i="2"/>
  <c r="G9" i="2" s="1"/>
  <c r="G10" i="2" s="1"/>
  <c r="K38" i="1"/>
</calcChain>
</file>

<file path=xl/sharedStrings.xml><?xml version="1.0" encoding="utf-8"?>
<sst xmlns="http://schemas.openxmlformats.org/spreadsheetml/2006/main" count="151" uniqueCount="88">
  <si>
    <t>MAPFRE EPS</t>
  </si>
  <si>
    <t>N° DE ORDEN</t>
  </si>
  <si>
    <t>SOLICITUD DE OCURRENCIA</t>
  </si>
  <si>
    <t>ASEGURADO</t>
  </si>
  <si>
    <t>CLASE SINIESTRO</t>
  </si>
  <si>
    <t>LUGAR</t>
  </si>
  <si>
    <t>FECHA ENVIO DE INFORME</t>
  </si>
  <si>
    <t>EJECUTIVO RESPONSABLE</t>
  </si>
  <si>
    <t>Sub-total</t>
  </si>
  <si>
    <t>TOTAL</t>
  </si>
  <si>
    <t>QUEMADURA</t>
  </si>
  <si>
    <t>CALLAO</t>
  </si>
  <si>
    <t>MAPFRE</t>
  </si>
  <si>
    <t>POR CORREO</t>
  </si>
  <si>
    <t>APRISIONAMIENTO - ATRAPAMIENTO</t>
  </si>
  <si>
    <t>CAIDA DE ALTURA</t>
  </si>
  <si>
    <t>CORTE CON OBJETO</t>
  </si>
  <si>
    <t>AFILIACION - POLIZA</t>
  </si>
  <si>
    <t xml:space="preserve">MAPFRE - RESUMEN  INVESTIGACIONES </t>
  </si>
  <si>
    <t>ZONAS</t>
  </si>
  <si>
    <t>COSTO</t>
  </si>
  <si>
    <t>CANT.</t>
  </si>
  <si>
    <t>TOTAL GENERAL</t>
  </si>
  <si>
    <t>LIMA</t>
  </si>
  <si>
    <t>PROVINCIAS</t>
  </si>
  <si>
    <t>IGV</t>
  </si>
  <si>
    <t>ROSARIO RODAS</t>
  </si>
  <si>
    <t>PUENTE PIEDRA</t>
  </si>
  <si>
    <t>TRUJILLO - LA LIBERTAD</t>
  </si>
  <si>
    <t>ALICIA SANCCA</t>
  </si>
  <si>
    <t>CERCADO DE LIMA</t>
  </si>
  <si>
    <t>PIURA</t>
  </si>
  <si>
    <t>VENTANILLA - CALLAO</t>
  </si>
  <si>
    <t>SAN ISIDRO</t>
  </si>
  <si>
    <t>SAN JUAN DE MIRAFLORES</t>
  </si>
  <si>
    <t>*MAYO  *2026*</t>
  </si>
  <si>
    <t>MES DE MAYO 2026</t>
  </si>
  <si>
    <t>IPANAQUE PEÑA JOSE NICOLAS JUNIOR</t>
  </si>
  <si>
    <t>GUTIERREZ DE LA CRUZ SAMUEL ARMANDO (PRELIMINAR)</t>
  </si>
  <si>
    <t>YUPANQUI SULCA LUIS ALBERTO</t>
  </si>
  <si>
    <t>MENDOZA FORNOZA ANTULIO ALEJANDRO</t>
  </si>
  <si>
    <t>MASCO VILCAPOMA FRANK STIVEN</t>
  </si>
  <si>
    <t>HUAMAN QUISPE ALEJANDRO</t>
  </si>
  <si>
    <t>MOSCOSO CASTRO JETLEE IHO</t>
  </si>
  <si>
    <t xml:space="preserve">GOMEZ BARROSO ADONIS DANIEL </t>
  </si>
  <si>
    <t>CORNEJO PERLECHE FRANK JOSEPH</t>
  </si>
  <si>
    <t>BAUTISTA MAZA JESUS MIGUEL</t>
  </si>
  <si>
    <t>CESPEDES INGA IRVIN DANILO</t>
  </si>
  <si>
    <t>CASTILLO TOCTO LUIS ANTONY GREGORI</t>
  </si>
  <si>
    <t>ARROYO RICALDI CRISTIAN ALFREDO</t>
  </si>
  <si>
    <t>ZUÑIGA LAURA CHARLES RAFAEL</t>
  </si>
  <si>
    <t xml:space="preserve">ESPINOZA MALMA JORGE ANTONIO </t>
  </si>
  <si>
    <t>DIAZ FERNANDEZ JORGE LUIS</t>
  </si>
  <si>
    <t>MANAYAY SANTILLAN JOHNY REYES</t>
  </si>
  <si>
    <t>ARIAS CIRINEO ALFRED LEONCIO</t>
  </si>
  <si>
    <t>GUILLERMO TACZA ALEX</t>
  </si>
  <si>
    <t>FIERRO MALLQUI EDGAR RAMON</t>
  </si>
  <si>
    <t>RUMAY QUISPE JOSE CARLOS</t>
  </si>
  <si>
    <t>RODAS SANCHEZ BRAYAN MAXIMILIANO</t>
  </si>
  <si>
    <t>CHOQUEMAQUE CCOLQQUE EVER</t>
  </si>
  <si>
    <t>RUIZ CORDOVA FRANKLIN RENZO</t>
  </si>
  <si>
    <t>HANCCO MACHACA JEAN PIERRE FRANCISCO</t>
  </si>
  <si>
    <t>SEBASTIAN JONDA JUNIOR YOHAN</t>
  </si>
  <si>
    <t>RAMOS YARANGA JAVIER</t>
  </si>
  <si>
    <t>GONZALEZ GONZALEZ EDGAR LEONEL</t>
  </si>
  <si>
    <t xml:space="preserve">GIRALDO ACEVEDO JUAN GEORGE </t>
  </si>
  <si>
    <t>MUÑOZ PAREDES JOSE JEREMY</t>
  </si>
  <si>
    <t>RIOS VELASQUEZ ALEXA GERMARYORIE</t>
  </si>
  <si>
    <t>SALAZAR HUAMAN JHON ALEXANDER</t>
  </si>
  <si>
    <t>ESPINOZA ATENCIA DIONICIO ALMIRO</t>
  </si>
  <si>
    <t>AGRESION CON ARMA DE FUEGO</t>
  </si>
  <si>
    <t>IMPACTO OCULAR</t>
  </si>
  <si>
    <t>CASTILLA - PIURA</t>
  </si>
  <si>
    <t>COMAS</t>
  </si>
  <si>
    <t>LURIGANCHO - CHOSICA</t>
  </si>
  <si>
    <t>LURIGANCHO</t>
  </si>
  <si>
    <t>CARABAYLLO</t>
  </si>
  <si>
    <t>LURIN</t>
  </si>
  <si>
    <t>LA OROYA - JUNIN</t>
  </si>
  <si>
    <t>VILLA MARIA DEL TRIUNFO</t>
  </si>
  <si>
    <t>PATAZ - LA LIBERTAD</t>
  </si>
  <si>
    <t>CARAVELI - AREQUIPA</t>
  </si>
  <si>
    <t>TAMBOGRANDE - PIURA</t>
  </si>
  <si>
    <t>CERRO COLORADO - AREQUIPA</t>
  </si>
  <si>
    <t>CHINCHA - ICA</t>
  </si>
  <si>
    <t>HUANCAVELICA</t>
  </si>
  <si>
    <t>SURCO</t>
  </si>
  <si>
    <t>CHORRILLOS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</si>
</sst>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.&quot;\ #,##0.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0000CC"/>
      <name val="Calibri"/>
      <family val="2"/>
      <scheme val="minor"/>
    </font>
    <font>
      <sz val="14"/>
      <color rgb="FF0000CC"/>
      <name val="Calibri"/>
      <family val="2"/>
      <scheme val="minor"/>
    </font>
    <font>
      <b/>
      <sz val="14"/>
      <color rgb="FF0000CC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9" fontId="5" fillId="2" borderId="5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" fontId="7" fillId="0" borderId="9" xfId="0" applyNumberFormat="1" applyFont="1" applyBorder="1" applyAlignment="1">
      <alignment horizontal="right" vertical="center" wrapText="1"/>
    </xf>
    <xf numFmtId="4" fontId="8" fillId="0" borderId="9" xfId="0" applyNumberFormat="1" applyFont="1" applyBorder="1" applyAlignment="1">
      <alignment horizontal="right" vertical="center"/>
    </xf>
    <xf numFmtId="4" fontId="8" fillId="0" borderId="10" xfId="0" applyNumberFormat="1" applyFont="1" applyBorder="1" applyAlignment="1">
      <alignment horizontal="right" vertical="center"/>
    </xf>
    <xf numFmtId="9" fontId="0" fillId="0" borderId="0" xfId="0" applyNumberFormat="1"/>
    <xf numFmtId="0" fontId="5" fillId="3" borderId="11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4" fontId="7" fillId="0" borderId="15" xfId="0" applyNumberFormat="1" applyFont="1" applyBorder="1" applyAlignment="1">
      <alignment horizontal="right" vertical="center" wrapText="1"/>
    </xf>
    <xf numFmtId="4" fontId="8" fillId="0" borderId="15" xfId="0" applyNumberFormat="1" applyFont="1" applyBorder="1" applyAlignment="1">
      <alignment horizontal="right" vertical="center"/>
    </xf>
    <xf numFmtId="4" fontId="8" fillId="0" borderId="16" xfId="0" applyNumberFormat="1" applyFont="1" applyBorder="1" applyAlignment="1">
      <alignment horizontal="right" vertical="center"/>
    </xf>
    <xf numFmtId="0" fontId="6" fillId="0" borderId="13" xfId="0" applyFont="1" applyBorder="1" applyAlignment="1">
      <alignment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vertical="center" wrapText="1"/>
    </xf>
    <xf numFmtId="14" fontId="6" fillId="0" borderId="19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4" fontId="7" fillId="0" borderId="21" xfId="0" applyNumberFormat="1" applyFont="1" applyBorder="1" applyAlignment="1">
      <alignment horizontal="right" vertical="center" wrapText="1"/>
    </xf>
    <xf numFmtId="4" fontId="8" fillId="0" borderId="21" xfId="0" applyNumberFormat="1" applyFont="1" applyBorder="1" applyAlignment="1">
      <alignment horizontal="right" vertical="center"/>
    </xf>
    <xf numFmtId="4" fontId="8" fillId="0" borderId="22" xfId="0" applyNumberFormat="1" applyFont="1" applyBorder="1" applyAlignment="1">
      <alignment horizontal="right" vertical="center"/>
    </xf>
    <xf numFmtId="0" fontId="0" fillId="0" borderId="0" xfId="0" applyAlignment="1">
      <alignment horizontal="left"/>
    </xf>
    <xf numFmtId="4" fontId="9" fillId="4" borderId="23" xfId="0" applyNumberFormat="1" applyFont="1" applyFill="1" applyBorder="1"/>
    <xf numFmtId="4" fontId="10" fillId="0" borderId="0" xfId="0" applyNumberFormat="1" applyFont="1" applyAlignment="1">
      <alignment horizontal="right" vertical="center" wrapText="1"/>
    </xf>
    <xf numFmtId="0" fontId="11" fillId="6" borderId="29" xfId="0" applyFont="1" applyFill="1" applyBorder="1" applyAlignment="1">
      <alignment horizontal="center" vertical="center"/>
    </xf>
    <xf numFmtId="0" fontId="11" fillId="6" borderId="23" xfId="0" applyFont="1" applyFill="1" applyBorder="1" applyAlignment="1">
      <alignment horizontal="center" vertical="center"/>
    </xf>
    <xf numFmtId="0" fontId="12" fillId="6" borderId="23" xfId="0" applyFont="1" applyFill="1" applyBorder="1" applyAlignment="1">
      <alignment horizontal="center" vertical="center"/>
    </xf>
    <xf numFmtId="0" fontId="13" fillId="6" borderId="30" xfId="0" applyFont="1" applyFill="1" applyBorder="1" applyAlignment="1">
      <alignment horizontal="center" vertical="center" wrapText="1"/>
    </xf>
    <xf numFmtId="0" fontId="14" fillId="0" borderId="31" xfId="0" applyFont="1" applyBorder="1"/>
    <xf numFmtId="2" fontId="14" fillId="0" borderId="32" xfId="0" applyNumberFormat="1" applyFont="1" applyBorder="1" applyAlignment="1">
      <alignment horizontal="center"/>
    </xf>
    <xf numFmtId="1" fontId="0" fillId="0" borderId="32" xfId="0" applyNumberFormat="1" applyBorder="1" applyAlignment="1">
      <alignment horizontal="center" vertical="center"/>
    </xf>
    <xf numFmtId="2" fontId="14" fillId="0" borderId="0" xfId="0" applyNumberFormat="1" applyFont="1"/>
    <xf numFmtId="0" fontId="0" fillId="0" borderId="32" xfId="0" applyBorder="1"/>
    <xf numFmtId="0" fontId="15" fillId="0" borderId="31" xfId="0" applyFont="1" applyBorder="1"/>
    <xf numFmtId="2" fontId="14" fillId="0" borderId="33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 vertical="center"/>
    </xf>
    <xf numFmtId="0" fontId="0" fillId="0" borderId="33" xfId="0" applyBorder="1"/>
    <xf numFmtId="0" fontId="14" fillId="0" borderId="29" xfId="0" applyFont="1" applyBorder="1"/>
    <xf numFmtId="2" fontId="14" fillId="0" borderId="23" xfId="0" applyNumberFormat="1" applyFont="1" applyBorder="1" applyAlignment="1">
      <alignment horizontal="center"/>
    </xf>
    <xf numFmtId="1" fontId="0" fillId="0" borderId="23" xfId="0" applyNumberFormat="1" applyBorder="1" applyAlignment="1">
      <alignment horizontal="center" vertical="center"/>
    </xf>
    <xf numFmtId="2" fontId="14" fillId="0" borderId="24" xfId="0" applyNumberFormat="1" applyFont="1" applyBorder="1"/>
    <xf numFmtId="164" fontId="14" fillId="0" borderId="23" xfId="0" applyNumberFormat="1" applyFont="1" applyBorder="1"/>
    <xf numFmtId="0" fontId="9" fillId="0" borderId="0" xfId="0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4" fontId="9" fillId="0" borderId="0" xfId="0" applyNumberFormat="1" applyFont="1" applyAlignment="1">
      <alignment horizontal="right"/>
    </xf>
    <xf numFmtId="4" fontId="14" fillId="0" borderId="15" xfId="0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9" fillId="6" borderId="34" xfId="0" applyNumberFormat="1" applyFont="1" applyFill="1" applyBorder="1"/>
    <xf numFmtId="14" fontId="6" fillId="0" borderId="13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4" fontId="8" fillId="0" borderId="32" xfId="0" applyNumberFormat="1" applyFont="1" applyBorder="1" applyAlignment="1">
      <alignment vertical="center"/>
    </xf>
    <xf numFmtId="4" fontId="8" fillId="0" borderId="35" xfId="0" applyNumberFormat="1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4" fontId="8" fillId="0" borderId="32" xfId="0" applyNumberFormat="1" applyFont="1" applyBorder="1" applyAlignment="1">
      <alignment horizontal="center" vertical="center"/>
    </xf>
    <xf numFmtId="4" fontId="8" fillId="0" borderId="23" xfId="0" applyNumberFormat="1" applyFont="1" applyBorder="1" applyAlignment="1">
      <alignment horizontal="center" vertical="center"/>
    </xf>
    <xf numFmtId="4" fontId="8" fillId="0" borderId="35" xfId="0" applyNumberFormat="1" applyFont="1" applyBorder="1" applyAlignment="1">
      <alignment horizontal="center" vertical="center"/>
    </xf>
    <xf numFmtId="4" fontId="8" fillId="0" borderId="38" xfId="0" applyNumberFormat="1" applyFont="1" applyBorder="1" applyAlignment="1">
      <alignment horizontal="center" vertical="center"/>
    </xf>
    <xf numFmtId="4" fontId="7" fillId="0" borderId="32" xfId="0" applyNumberFormat="1" applyFont="1" applyBorder="1" applyAlignment="1">
      <alignment horizontal="center" vertical="center" wrapText="1"/>
    </xf>
    <xf numFmtId="4" fontId="7" fillId="0" borderId="23" xfId="0" applyNumberFormat="1" applyFont="1" applyBorder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3" borderId="36" xfId="0" applyFont="1" applyFill="1" applyBorder="1" applyAlignment="1">
      <alignment horizontal="center" vertical="center" wrapText="1"/>
    </xf>
    <xf numFmtId="0" fontId="5" fillId="3" borderId="3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7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5" borderId="25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17" fontId="16" fillId="6" borderId="18" xfId="0" applyNumberFormat="1" applyFont="1" applyFill="1" applyBorder="1" applyAlignment="1">
      <alignment horizontal="center" vertical="center"/>
    </xf>
    <xf numFmtId="0" fontId="16" fillId="6" borderId="19" xfId="0" applyFont="1" applyFill="1" applyBorder="1" applyAlignment="1">
      <alignment horizontal="center" vertical="center"/>
    </xf>
    <xf numFmtId="0" fontId="16" fillId="6" borderId="2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41"/>
  <sheetViews>
    <sheetView workbookViewId="0">
      <selection activeCell="I41" sqref="I41:I42"/>
    </sheetView>
  </sheetViews>
  <sheetFormatPr baseColWidth="10" defaultRowHeight="15" x14ac:dyDescent="0.25"/>
  <cols>
    <col min="1" max="1" width="3.140625" customWidth="1"/>
    <col min="2" max="2" width="5.42578125" style="28" customWidth="1"/>
    <col min="3" max="3" width="10" style="28" customWidth="1"/>
    <col min="4" max="4" width="25.5703125" style="28" customWidth="1"/>
    <col min="5" max="5" width="13.85546875" style="28" customWidth="1"/>
    <col min="6" max="6" width="12" style="28" customWidth="1"/>
    <col min="7" max="7" width="11.28515625" style="28" customWidth="1"/>
    <col min="8" max="8" width="10.140625" style="28" customWidth="1"/>
    <col min="9" max="9" width="9.140625" style="28" customWidth="1"/>
    <col min="10" max="10" width="8" style="28" customWidth="1"/>
    <col min="11" max="11" width="9.28515625" style="28" customWidth="1"/>
    <col min="12" max="12" width="4.7109375" customWidth="1"/>
  </cols>
  <sheetData>
    <row r="2" spans="2:14" ht="25.5" customHeight="1" thickBot="1" x14ac:dyDescent="0.35">
      <c r="B2" s="1" t="s">
        <v>0</v>
      </c>
      <c r="C2" s="2"/>
      <c r="D2" s="80" t="s">
        <v>35</v>
      </c>
      <c r="E2" s="81"/>
      <c r="F2" s="81"/>
      <c r="G2" s="81"/>
      <c r="H2" s="81"/>
      <c r="I2" s="81"/>
      <c r="J2" s="81"/>
      <c r="K2" s="82"/>
    </row>
    <row r="3" spans="2:14" ht="33" customHeight="1" thickBot="1" x14ac:dyDescent="0.3">
      <c r="B3" s="3" t="s">
        <v>1</v>
      </c>
      <c r="C3" s="4" t="s">
        <v>2</v>
      </c>
      <c r="D3" s="5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6">
        <v>0.18</v>
      </c>
      <c r="K3" s="7" t="s">
        <v>9</v>
      </c>
    </row>
    <row r="4" spans="2:14" ht="30.75" customHeight="1" x14ac:dyDescent="0.25">
      <c r="B4" s="8">
        <v>1</v>
      </c>
      <c r="C4" s="65">
        <v>1093814</v>
      </c>
      <c r="D4" s="58" t="s">
        <v>37</v>
      </c>
      <c r="E4" s="63" t="s">
        <v>16</v>
      </c>
      <c r="F4" s="63" t="s">
        <v>72</v>
      </c>
      <c r="G4" s="64">
        <v>46150</v>
      </c>
      <c r="H4" s="65" t="s">
        <v>12</v>
      </c>
      <c r="I4" s="10">
        <v>700</v>
      </c>
      <c r="J4" s="11">
        <f t="shared" ref="J4:J6" si="0">+I4*$J$3</f>
        <v>126</v>
      </c>
      <c r="K4" s="12">
        <f t="shared" ref="K4" si="1">SUM(I4:J4)</f>
        <v>826</v>
      </c>
      <c r="L4" s="9"/>
      <c r="M4" s="9"/>
      <c r="N4" s="13"/>
    </row>
    <row r="5" spans="2:14" ht="29.25" customHeight="1" x14ac:dyDescent="0.25">
      <c r="B5" s="14">
        <v>2</v>
      </c>
      <c r="C5" s="66">
        <v>1096029</v>
      </c>
      <c r="D5" s="19" t="s">
        <v>38</v>
      </c>
      <c r="E5" s="19" t="s">
        <v>10</v>
      </c>
      <c r="F5" s="15" t="s">
        <v>33</v>
      </c>
      <c r="G5" s="56">
        <v>46176</v>
      </c>
      <c r="H5" s="57" t="s">
        <v>12</v>
      </c>
      <c r="I5" s="16">
        <v>500</v>
      </c>
      <c r="J5" s="17">
        <f t="shared" si="0"/>
        <v>90</v>
      </c>
      <c r="K5" s="18">
        <f t="shared" ref="K5:K6" si="2">SUM(I5:J5)</f>
        <v>590</v>
      </c>
      <c r="L5" s="9"/>
      <c r="M5" s="62"/>
    </row>
    <row r="6" spans="2:14" ht="29.25" customHeight="1" x14ac:dyDescent="0.25">
      <c r="B6" s="14">
        <v>3</v>
      </c>
      <c r="C6" s="66">
        <v>1098970</v>
      </c>
      <c r="D6" s="19" t="s">
        <v>39</v>
      </c>
      <c r="E6" s="15" t="s">
        <v>10</v>
      </c>
      <c r="F6" s="15" t="s">
        <v>73</v>
      </c>
      <c r="G6" s="56">
        <v>46195</v>
      </c>
      <c r="H6" s="57" t="s">
        <v>12</v>
      </c>
      <c r="I6" s="16">
        <v>500</v>
      </c>
      <c r="J6" s="17">
        <f t="shared" si="0"/>
        <v>90</v>
      </c>
      <c r="K6" s="18">
        <f t="shared" si="2"/>
        <v>590</v>
      </c>
      <c r="L6" s="9"/>
      <c r="M6" s="9"/>
    </row>
    <row r="7" spans="2:14" ht="27" customHeight="1" x14ac:dyDescent="0.25">
      <c r="B7" s="14">
        <v>4</v>
      </c>
      <c r="C7" s="66">
        <v>89286588</v>
      </c>
      <c r="D7" s="15" t="s">
        <v>40</v>
      </c>
      <c r="E7" s="15" t="s">
        <v>10</v>
      </c>
      <c r="F7" s="15" t="s">
        <v>30</v>
      </c>
      <c r="G7" s="56">
        <v>46171</v>
      </c>
      <c r="H7" s="57" t="s">
        <v>29</v>
      </c>
      <c r="I7" s="16">
        <v>500</v>
      </c>
      <c r="J7" s="17">
        <f t="shared" ref="J7:J36" si="3">+I7*$J$3</f>
        <v>90</v>
      </c>
      <c r="K7" s="18">
        <f t="shared" ref="K7:K36" si="4">SUM(I7:J7)</f>
        <v>590</v>
      </c>
      <c r="L7" s="9"/>
    </row>
    <row r="8" spans="2:14" ht="36" customHeight="1" x14ac:dyDescent="0.25">
      <c r="B8" s="14">
        <v>5</v>
      </c>
      <c r="C8" s="66">
        <v>89307037</v>
      </c>
      <c r="D8" s="15" t="s">
        <v>41</v>
      </c>
      <c r="E8" s="19" t="s">
        <v>16</v>
      </c>
      <c r="F8" s="15" t="s">
        <v>73</v>
      </c>
      <c r="G8" s="56">
        <v>46170</v>
      </c>
      <c r="H8" s="57" t="s">
        <v>29</v>
      </c>
      <c r="I8" s="16">
        <v>500</v>
      </c>
      <c r="J8" s="17">
        <f t="shared" si="3"/>
        <v>90</v>
      </c>
      <c r="K8" s="18">
        <f t="shared" si="4"/>
        <v>590</v>
      </c>
      <c r="L8" s="9"/>
      <c r="M8" s="9"/>
    </row>
    <row r="9" spans="2:14" ht="32.25" customHeight="1" x14ac:dyDescent="0.25">
      <c r="B9" s="14">
        <v>6</v>
      </c>
      <c r="C9" s="66">
        <v>1100899</v>
      </c>
      <c r="D9" s="15" t="s">
        <v>42</v>
      </c>
      <c r="E9" s="19" t="s">
        <v>14</v>
      </c>
      <c r="F9" s="15" t="s">
        <v>74</v>
      </c>
      <c r="G9" s="56">
        <v>46170</v>
      </c>
      <c r="H9" s="57" t="s">
        <v>12</v>
      </c>
      <c r="I9" s="16">
        <v>500</v>
      </c>
      <c r="J9" s="59">
        <f t="shared" si="3"/>
        <v>90</v>
      </c>
      <c r="K9" s="60">
        <f t="shared" si="4"/>
        <v>590</v>
      </c>
      <c r="L9" s="9"/>
      <c r="M9" s="9"/>
    </row>
    <row r="10" spans="2:14" ht="33" customHeight="1" x14ac:dyDescent="0.25">
      <c r="B10" s="14">
        <v>7</v>
      </c>
      <c r="C10" s="66">
        <v>1101236</v>
      </c>
      <c r="D10" s="19" t="s">
        <v>43</v>
      </c>
      <c r="E10" s="15" t="s">
        <v>16</v>
      </c>
      <c r="F10" s="15" t="s">
        <v>11</v>
      </c>
      <c r="G10" s="56">
        <v>46185</v>
      </c>
      <c r="H10" s="57" t="s">
        <v>12</v>
      </c>
      <c r="I10" s="16">
        <v>500</v>
      </c>
      <c r="J10" s="59">
        <f t="shared" ref="J10" si="5">+I10*$J$3</f>
        <v>90</v>
      </c>
      <c r="K10" s="60">
        <f t="shared" ref="K10" si="6">SUM(I10:J10)</f>
        <v>590</v>
      </c>
      <c r="L10" s="9"/>
      <c r="M10" s="9"/>
    </row>
    <row r="11" spans="2:14" ht="33" customHeight="1" x14ac:dyDescent="0.25">
      <c r="B11" s="14">
        <v>8</v>
      </c>
      <c r="C11" s="66">
        <v>1096443</v>
      </c>
      <c r="D11" s="15" t="s">
        <v>44</v>
      </c>
      <c r="E11" s="19" t="s">
        <v>14</v>
      </c>
      <c r="F11" s="15" t="s">
        <v>75</v>
      </c>
      <c r="G11" s="56">
        <v>46171</v>
      </c>
      <c r="H11" s="57" t="s">
        <v>12</v>
      </c>
      <c r="I11" s="16">
        <v>500</v>
      </c>
      <c r="J11" s="17">
        <f t="shared" si="3"/>
        <v>90</v>
      </c>
      <c r="K11" s="18">
        <f t="shared" si="4"/>
        <v>590</v>
      </c>
      <c r="L11" s="9"/>
      <c r="M11" s="9"/>
    </row>
    <row r="12" spans="2:14" ht="33" customHeight="1" x14ac:dyDescent="0.25">
      <c r="B12" s="14">
        <v>9</v>
      </c>
      <c r="C12" s="66">
        <v>1099917</v>
      </c>
      <c r="D12" s="15" t="s">
        <v>45</v>
      </c>
      <c r="E12" s="19" t="s">
        <v>10</v>
      </c>
      <c r="F12" s="19" t="s">
        <v>75</v>
      </c>
      <c r="G12" s="56">
        <v>46171</v>
      </c>
      <c r="H12" s="57" t="s">
        <v>12</v>
      </c>
      <c r="I12" s="16">
        <v>500</v>
      </c>
      <c r="J12" s="17">
        <f t="shared" si="3"/>
        <v>90</v>
      </c>
      <c r="K12" s="18">
        <f t="shared" si="4"/>
        <v>590</v>
      </c>
      <c r="L12" s="9"/>
    </row>
    <row r="13" spans="2:14" ht="33" customHeight="1" x14ac:dyDescent="0.25">
      <c r="B13" s="14">
        <v>10</v>
      </c>
      <c r="C13" s="66">
        <v>1092787</v>
      </c>
      <c r="D13" s="19" t="s">
        <v>46</v>
      </c>
      <c r="E13" s="19" t="s">
        <v>14</v>
      </c>
      <c r="F13" s="19" t="s">
        <v>74</v>
      </c>
      <c r="G13" s="56">
        <v>46176</v>
      </c>
      <c r="H13" s="57" t="s">
        <v>12</v>
      </c>
      <c r="I13" s="16">
        <v>500</v>
      </c>
      <c r="J13" s="17">
        <f t="shared" si="3"/>
        <v>90</v>
      </c>
      <c r="K13" s="18">
        <f t="shared" si="4"/>
        <v>590</v>
      </c>
      <c r="L13" s="9"/>
    </row>
    <row r="14" spans="2:14" ht="33" customHeight="1" x14ac:dyDescent="0.25">
      <c r="B14" s="14">
        <v>11</v>
      </c>
      <c r="C14" s="66">
        <v>1095780</v>
      </c>
      <c r="D14" s="19" t="s">
        <v>47</v>
      </c>
      <c r="E14" s="19" t="s">
        <v>16</v>
      </c>
      <c r="F14" s="19" t="s">
        <v>31</v>
      </c>
      <c r="G14" s="56">
        <v>46157</v>
      </c>
      <c r="H14" s="57" t="s">
        <v>12</v>
      </c>
      <c r="I14" s="16">
        <v>700</v>
      </c>
      <c r="J14" s="17">
        <f t="shared" si="3"/>
        <v>126</v>
      </c>
      <c r="K14" s="18">
        <f t="shared" si="4"/>
        <v>826</v>
      </c>
      <c r="L14" s="9"/>
      <c r="M14" s="9"/>
    </row>
    <row r="15" spans="2:14" ht="33" customHeight="1" x14ac:dyDescent="0.25">
      <c r="B15" s="14">
        <v>12</v>
      </c>
      <c r="C15" s="66">
        <v>1098414</v>
      </c>
      <c r="D15" s="19" t="s">
        <v>48</v>
      </c>
      <c r="E15" s="19" t="s">
        <v>14</v>
      </c>
      <c r="F15" s="19" t="s">
        <v>28</v>
      </c>
      <c r="G15" s="56">
        <v>46174</v>
      </c>
      <c r="H15" s="57" t="s">
        <v>12</v>
      </c>
      <c r="I15" s="16">
        <v>700</v>
      </c>
      <c r="J15" s="17">
        <f t="shared" si="3"/>
        <v>126</v>
      </c>
      <c r="K15" s="18">
        <f t="shared" si="4"/>
        <v>826</v>
      </c>
      <c r="L15" s="9"/>
      <c r="M15" s="9"/>
    </row>
    <row r="16" spans="2:14" ht="33" customHeight="1" x14ac:dyDescent="0.25">
      <c r="B16" s="14">
        <v>13</v>
      </c>
      <c r="C16" s="66">
        <v>1100693</v>
      </c>
      <c r="D16" s="19" t="s">
        <v>49</v>
      </c>
      <c r="E16" s="19" t="s">
        <v>14</v>
      </c>
      <c r="F16" s="19" t="s">
        <v>74</v>
      </c>
      <c r="G16" s="56">
        <v>46175</v>
      </c>
      <c r="H16" s="57" t="s">
        <v>12</v>
      </c>
      <c r="I16" s="16">
        <v>500</v>
      </c>
      <c r="J16" s="17">
        <f t="shared" si="3"/>
        <v>90</v>
      </c>
      <c r="K16" s="18">
        <f t="shared" si="4"/>
        <v>590</v>
      </c>
      <c r="L16" s="9"/>
    </row>
    <row r="17" spans="2:13" ht="33" customHeight="1" x14ac:dyDescent="0.25">
      <c r="B17" s="75">
        <v>14</v>
      </c>
      <c r="C17" s="74">
        <v>89257781</v>
      </c>
      <c r="D17" s="58" t="s">
        <v>50</v>
      </c>
      <c r="E17" s="77" t="s">
        <v>70</v>
      </c>
      <c r="F17" s="77" t="s">
        <v>76</v>
      </c>
      <c r="G17" s="73">
        <v>46150</v>
      </c>
      <c r="H17" s="74" t="s">
        <v>29</v>
      </c>
      <c r="I17" s="71">
        <v>500</v>
      </c>
      <c r="J17" s="67">
        <f t="shared" si="3"/>
        <v>90</v>
      </c>
      <c r="K17" s="69">
        <f t="shared" si="4"/>
        <v>590</v>
      </c>
      <c r="L17" s="9"/>
      <c r="M17" s="9"/>
    </row>
    <row r="18" spans="2:13" ht="33" customHeight="1" x14ac:dyDescent="0.25">
      <c r="B18" s="76"/>
      <c r="C18" s="74"/>
      <c r="D18" s="58" t="s">
        <v>51</v>
      </c>
      <c r="E18" s="77"/>
      <c r="F18" s="77"/>
      <c r="G18" s="73"/>
      <c r="H18" s="74"/>
      <c r="I18" s="72"/>
      <c r="J18" s="68"/>
      <c r="K18" s="70"/>
      <c r="L18" s="9"/>
      <c r="M18" s="9"/>
    </row>
    <row r="19" spans="2:13" ht="33" customHeight="1" x14ac:dyDescent="0.25">
      <c r="B19" s="14">
        <v>15</v>
      </c>
      <c r="C19" s="66">
        <v>1096196</v>
      </c>
      <c r="D19" s="19" t="s">
        <v>52</v>
      </c>
      <c r="E19" s="61" t="s">
        <v>15</v>
      </c>
      <c r="F19" s="19" t="s">
        <v>77</v>
      </c>
      <c r="G19" s="56">
        <v>46161</v>
      </c>
      <c r="H19" s="57" t="s">
        <v>12</v>
      </c>
      <c r="I19" s="16">
        <v>500</v>
      </c>
      <c r="J19" s="17">
        <f t="shared" si="3"/>
        <v>90</v>
      </c>
      <c r="K19" s="18">
        <f t="shared" si="4"/>
        <v>590</v>
      </c>
      <c r="L19" s="9"/>
      <c r="M19" s="9"/>
    </row>
    <row r="20" spans="2:13" ht="33" customHeight="1" x14ac:dyDescent="0.25">
      <c r="B20" s="14">
        <v>16</v>
      </c>
      <c r="C20" s="66">
        <v>89282936</v>
      </c>
      <c r="D20" s="19" t="s">
        <v>53</v>
      </c>
      <c r="E20" s="15" t="s">
        <v>14</v>
      </c>
      <c r="F20" s="19" t="s">
        <v>27</v>
      </c>
      <c r="G20" s="56">
        <v>46161</v>
      </c>
      <c r="H20" s="57" t="s">
        <v>29</v>
      </c>
      <c r="I20" s="16">
        <v>500</v>
      </c>
      <c r="J20" s="17">
        <f t="shared" si="3"/>
        <v>90</v>
      </c>
      <c r="K20" s="18">
        <f t="shared" si="4"/>
        <v>590</v>
      </c>
      <c r="L20" s="9"/>
      <c r="M20" s="9"/>
    </row>
    <row r="21" spans="2:13" ht="33" customHeight="1" x14ac:dyDescent="0.25">
      <c r="B21" s="75">
        <v>17</v>
      </c>
      <c r="C21" s="74">
        <v>89285355</v>
      </c>
      <c r="D21" s="58" t="s">
        <v>54</v>
      </c>
      <c r="E21" s="78" t="s">
        <v>71</v>
      </c>
      <c r="F21" s="77" t="s">
        <v>78</v>
      </c>
      <c r="G21" s="73">
        <v>46171</v>
      </c>
      <c r="H21" s="74" t="s">
        <v>29</v>
      </c>
      <c r="I21" s="71">
        <v>700</v>
      </c>
      <c r="J21" s="67">
        <f t="shared" si="3"/>
        <v>126</v>
      </c>
      <c r="K21" s="69">
        <f t="shared" si="4"/>
        <v>826</v>
      </c>
      <c r="L21" s="9"/>
    </row>
    <row r="22" spans="2:13" ht="33" customHeight="1" x14ac:dyDescent="0.25">
      <c r="B22" s="76"/>
      <c r="C22" s="74"/>
      <c r="D22" s="58" t="s">
        <v>55</v>
      </c>
      <c r="E22" s="79"/>
      <c r="F22" s="77"/>
      <c r="G22" s="73"/>
      <c r="H22" s="74"/>
      <c r="I22" s="72"/>
      <c r="J22" s="68"/>
      <c r="K22" s="70"/>
      <c r="L22" s="9"/>
    </row>
    <row r="23" spans="2:13" ht="33" customHeight="1" x14ac:dyDescent="0.25">
      <c r="B23" s="14">
        <v>18</v>
      </c>
      <c r="C23" s="66">
        <v>89317195</v>
      </c>
      <c r="D23" s="19" t="s">
        <v>56</v>
      </c>
      <c r="E23" s="19" t="s">
        <v>70</v>
      </c>
      <c r="F23" s="19" t="s">
        <v>79</v>
      </c>
      <c r="G23" s="56">
        <v>46167</v>
      </c>
      <c r="H23" s="57" t="s">
        <v>29</v>
      </c>
      <c r="I23" s="16">
        <v>500</v>
      </c>
      <c r="J23" s="17">
        <f t="shared" si="3"/>
        <v>90</v>
      </c>
      <c r="K23" s="18">
        <f t="shared" si="4"/>
        <v>590</v>
      </c>
      <c r="L23" s="9"/>
    </row>
    <row r="24" spans="2:13" ht="33" customHeight="1" x14ac:dyDescent="0.25">
      <c r="B24" s="14">
        <v>19</v>
      </c>
      <c r="C24" s="66">
        <v>1087132</v>
      </c>
      <c r="D24" s="19" t="s">
        <v>57</v>
      </c>
      <c r="E24" s="19" t="s">
        <v>17</v>
      </c>
      <c r="F24" s="19" t="s">
        <v>80</v>
      </c>
      <c r="G24" s="56">
        <v>46148</v>
      </c>
      <c r="H24" s="57" t="s">
        <v>12</v>
      </c>
      <c r="I24" s="16">
        <v>700</v>
      </c>
      <c r="J24" s="17">
        <f t="shared" ref="J24:J31" si="7">+I24*$J$3</f>
        <v>126</v>
      </c>
      <c r="K24" s="18">
        <f t="shared" ref="K24:K31" si="8">SUM(I24:J24)</f>
        <v>826</v>
      </c>
      <c r="L24" s="9"/>
    </row>
    <row r="25" spans="2:13" ht="33" customHeight="1" x14ac:dyDescent="0.25">
      <c r="B25" s="14">
        <v>20</v>
      </c>
      <c r="C25" s="66">
        <v>1095745</v>
      </c>
      <c r="D25" s="19" t="s">
        <v>58</v>
      </c>
      <c r="E25" s="19" t="s">
        <v>17</v>
      </c>
      <c r="F25" s="19" t="s">
        <v>28</v>
      </c>
      <c r="G25" s="56">
        <v>46150</v>
      </c>
      <c r="H25" s="57" t="s">
        <v>29</v>
      </c>
      <c r="I25" s="16">
        <v>700</v>
      </c>
      <c r="J25" s="17">
        <f t="shared" si="7"/>
        <v>126</v>
      </c>
      <c r="K25" s="18">
        <f t="shared" si="8"/>
        <v>826</v>
      </c>
      <c r="L25" s="9"/>
    </row>
    <row r="26" spans="2:13" ht="33" customHeight="1" x14ac:dyDescent="0.25">
      <c r="B26" s="14">
        <v>21</v>
      </c>
      <c r="C26" s="66" t="s">
        <v>13</v>
      </c>
      <c r="D26" s="19" t="s">
        <v>59</v>
      </c>
      <c r="E26" s="19" t="s">
        <v>17</v>
      </c>
      <c r="F26" s="19" t="s">
        <v>81</v>
      </c>
      <c r="G26" s="56">
        <v>46182</v>
      </c>
      <c r="H26" s="57" t="s">
        <v>29</v>
      </c>
      <c r="I26" s="16">
        <v>700</v>
      </c>
      <c r="J26" s="17">
        <f t="shared" si="7"/>
        <v>126</v>
      </c>
      <c r="K26" s="18">
        <f t="shared" si="8"/>
        <v>826</v>
      </c>
      <c r="L26" s="9"/>
    </row>
    <row r="27" spans="2:13" ht="33" customHeight="1" x14ac:dyDescent="0.25">
      <c r="B27" s="14">
        <v>22</v>
      </c>
      <c r="C27" s="66">
        <v>1095675</v>
      </c>
      <c r="D27" s="19" t="s">
        <v>60</v>
      </c>
      <c r="E27" s="19" t="s">
        <v>17</v>
      </c>
      <c r="F27" s="19" t="s">
        <v>82</v>
      </c>
      <c r="G27" s="56">
        <v>46169</v>
      </c>
      <c r="H27" s="57" t="s">
        <v>29</v>
      </c>
      <c r="I27" s="16">
        <v>700</v>
      </c>
      <c r="J27" s="17">
        <f t="shared" si="7"/>
        <v>126</v>
      </c>
      <c r="K27" s="18">
        <f t="shared" si="8"/>
        <v>826</v>
      </c>
      <c r="L27" s="9"/>
    </row>
    <row r="28" spans="2:13" ht="33" customHeight="1" x14ac:dyDescent="0.25">
      <c r="B28" s="14">
        <v>23</v>
      </c>
      <c r="C28" s="66" t="s">
        <v>13</v>
      </c>
      <c r="D28" s="19" t="s">
        <v>61</v>
      </c>
      <c r="E28" s="19" t="s">
        <v>17</v>
      </c>
      <c r="F28" s="19" t="s">
        <v>83</v>
      </c>
      <c r="G28" s="56">
        <v>46167</v>
      </c>
      <c r="H28" s="57" t="s">
        <v>26</v>
      </c>
      <c r="I28" s="16">
        <v>700</v>
      </c>
      <c r="J28" s="17">
        <f t="shared" si="7"/>
        <v>126</v>
      </c>
      <c r="K28" s="18">
        <f t="shared" si="8"/>
        <v>826</v>
      </c>
      <c r="L28" s="9"/>
    </row>
    <row r="29" spans="2:13" ht="33" customHeight="1" x14ac:dyDescent="0.25">
      <c r="B29" s="14">
        <v>24</v>
      </c>
      <c r="C29" s="66" t="s">
        <v>13</v>
      </c>
      <c r="D29" s="19" t="s">
        <v>62</v>
      </c>
      <c r="E29" s="19" t="s">
        <v>17</v>
      </c>
      <c r="F29" s="15" t="s">
        <v>84</v>
      </c>
      <c r="G29" s="56">
        <v>46147</v>
      </c>
      <c r="H29" s="57" t="s">
        <v>29</v>
      </c>
      <c r="I29" s="16">
        <v>700</v>
      </c>
      <c r="J29" s="17">
        <f t="shared" si="7"/>
        <v>126</v>
      </c>
      <c r="K29" s="18">
        <f t="shared" si="8"/>
        <v>826</v>
      </c>
      <c r="L29" s="9"/>
    </row>
    <row r="30" spans="2:13" ht="33" customHeight="1" x14ac:dyDescent="0.25">
      <c r="B30" s="14">
        <v>25</v>
      </c>
      <c r="C30" s="66">
        <v>1076247</v>
      </c>
      <c r="D30" s="19" t="s">
        <v>63</v>
      </c>
      <c r="E30" s="19" t="s">
        <v>17</v>
      </c>
      <c r="F30" s="15" t="s">
        <v>85</v>
      </c>
      <c r="G30" s="56">
        <v>46149</v>
      </c>
      <c r="H30" s="57" t="s">
        <v>12</v>
      </c>
      <c r="I30" s="16">
        <v>700</v>
      </c>
      <c r="J30" s="17">
        <f t="shared" si="7"/>
        <v>126</v>
      </c>
      <c r="K30" s="18">
        <f t="shared" si="8"/>
        <v>826</v>
      </c>
      <c r="L30" s="9"/>
    </row>
    <row r="31" spans="2:13" ht="33" customHeight="1" x14ac:dyDescent="0.25">
      <c r="B31" s="14">
        <v>26</v>
      </c>
      <c r="C31" s="66">
        <v>89109584</v>
      </c>
      <c r="D31" s="19" t="s">
        <v>64</v>
      </c>
      <c r="E31" s="19" t="s">
        <v>17</v>
      </c>
      <c r="F31" s="19" t="s">
        <v>86</v>
      </c>
      <c r="G31" s="56">
        <v>46150</v>
      </c>
      <c r="H31" s="57" t="s">
        <v>29</v>
      </c>
      <c r="I31" s="16">
        <v>500</v>
      </c>
      <c r="J31" s="17">
        <f t="shared" si="7"/>
        <v>90</v>
      </c>
      <c r="K31" s="18">
        <f t="shared" si="8"/>
        <v>590</v>
      </c>
      <c r="L31" s="9"/>
    </row>
    <row r="32" spans="2:13" ht="33" customHeight="1" x14ac:dyDescent="0.25">
      <c r="B32" s="14">
        <v>27</v>
      </c>
      <c r="C32" s="66">
        <v>89249208</v>
      </c>
      <c r="D32" s="19" t="s">
        <v>65</v>
      </c>
      <c r="E32" s="19" t="s">
        <v>17</v>
      </c>
      <c r="F32" s="15" t="s">
        <v>79</v>
      </c>
      <c r="G32" s="56">
        <v>46154</v>
      </c>
      <c r="H32" s="57" t="s">
        <v>26</v>
      </c>
      <c r="I32" s="16">
        <v>500</v>
      </c>
      <c r="J32" s="17">
        <f t="shared" si="3"/>
        <v>90</v>
      </c>
      <c r="K32" s="18">
        <f t="shared" si="4"/>
        <v>590</v>
      </c>
      <c r="L32" s="9"/>
    </row>
    <row r="33" spans="2:13" ht="33" customHeight="1" x14ac:dyDescent="0.25">
      <c r="B33" s="14">
        <v>28</v>
      </c>
      <c r="C33" s="66">
        <v>1065286</v>
      </c>
      <c r="D33" s="19" t="s">
        <v>66</v>
      </c>
      <c r="E33" s="19" t="s">
        <v>17</v>
      </c>
      <c r="F33" s="19" t="s">
        <v>11</v>
      </c>
      <c r="G33" s="56">
        <v>46160</v>
      </c>
      <c r="H33" s="57" t="s">
        <v>29</v>
      </c>
      <c r="I33" s="16">
        <v>500</v>
      </c>
      <c r="J33" s="17">
        <f t="shared" ref="J33:J35" si="9">+I33*$J$3</f>
        <v>90</v>
      </c>
      <c r="K33" s="18">
        <f t="shared" ref="K33:K35" si="10">SUM(I33:J33)</f>
        <v>590</v>
      </c>
      <c r="L33" s="9"/>
    </row>
    <row r="34" spans="2:13" ht="33" customHeight="1" x14ac:dyDescent="0.25">
      <c r="B34" s="14">
        <v>29</v>
      </c>
      <c r="C34" s="66">
        <v>1062654</v>
      </c>
      <c r="D34" s="19" t="s">
        <v>67</v>
      </c>
      <c r="E34" s="19" t="s">
        <v>17</v>
      </c>
      <c r="F34" s="15" t="s">
        <v>32</v>
      </c>
      <c r="G34" s="56">
        <v>46161</v>
      </c>
      <c r="H34" s="57" t="s">
        <v>29</v>
      </c>
      <c r="I34" s="16">
        <v>500</v>
      </c>
      <c r="J34" s="17">
        <f t="shared" si="9"/>
        <v>90</v>
      </c>
      <c r="K34" s="18">
        <f t="shared" si="10"/>
        <v>590</v>
      </c>
      <c r="L34" s="9"/>
    </row>
    <row r="35" spans="2:13" ht="33" customHeight="1" x14ac:dyDescent="0.25">
      <c r="B35" s="14">
        <v>30</v>
      </c>
      <c r="C35" s="66">
        <v>1076252</v>
      </c>
      <c r="D35" s="19" t="s">
        <v>68</v>
      </c>
      <c r="E35" s="19" t="s">
        <v>17</v>
      </c>
      <c r="F35" s="15" t="s">
        <v>34</v>
      </c>
      <c r="G35" s="56">
        <v>46161</v>
      </c>
      <c r="H35" s="57" t="s">
        <v>29</v>
      </c>
      <c r="I35" s="16">
        <v>500</v>
      </c>
      <c r="J35" s="17">
        <f t="shared" si="9"/>
        <v>90</v>
      </c>
      <c r="K35" s="18">
        <f t="shared" si="10"/>
        <v>590</v>
      </c>
      <c r="L35" s="9"/>
    </row>
    <row r="36" spans="2:13" ht="33" customHeight="1" x14ac:dyDescent="0.25">
      <c r="B36" s="14">
        <v>31</v>
      </c>
      <c r="C36" s="65">
        <v>1081122</v>
      </c>
      <c r="D36" s="58" t="s">
        <v>69</v>
      </c>
      <c r="E36" s="58" t="s">
        <v>17</v>
      </c>
      <c r="F36" s="63" t="s">
        <v>87</v>
      </c>
      <c r="G36" s="64">
        <v>46169</v>
      </c>
      <c r="H36" s="65" t="s">
        <v>29</v>
      </c>
      <c r="I36" s="16">
        <v>500</v>
      </c>
      <c r="J36" s="17">
        <f t="shared" si="3"/>
        <v>90</v>
      </c>
      <c r="K36" s="18">
        <f t="shared" si="4"/>
        <v>590</v>
      </c>
      <c r="L36" s="9"/>
    </row>
    <row r="37" spans="2:13" ht="11.25" customHeight="1" thickBot="1" x14ac:dyDescent="0.3">
      <c r="B37" s="20"/>
      <c r="C37" s="21"/>
      <c r="D37" s="22"/>
      <c r="E37" s="22"/>
      <c r="F37" s="22"/>
      <c r="G37" s="23"/>
      <c r="H37" s="24"/>
      <c r="I37" s="25"/>
      <c r="J37" s="26"/>
      <c r="K37" s="27"/>
      <c r="L37" s="9"/>
      <c r="M37" s="9"/>
    </row>
    <row r="38" spans="2:13" ht="18.75" customHeight="1" x14ac:dyDescent="0.25">
      <c r="I38" s="29">
        <f>SUM(I4:I36)</f>
        <v>17700</v>
      </c>
      <c r="J38" s="29">
        <f>SUM(J4:J36)</f>
        <v>3186</v>
      </c>
      <c r="K38" s="29">
        <f>SUM(K4:K36)</f>
        <v>20886</v>
      </c>
      <c r="M38" s="9"/>
    </row>
    <row r="39" spans="2:13" x14ac:dyDescent="0.25">
      <c r="M39" s="9"/>
    </row>
    <row r="40" spans="2:13" ht="15.75" x14ac:dyDescent="0.25">
      <c r="H40" s="30"/>
      <c r="I40"/>
      <c r="M40" s="9"/>
    </row>
    <row r="41" spans="2:13" ht="15.75" x14ac:dyDescent="0.25">
      <c r="H41" s="30"/>
    </row>
  </sheetData>
  <mergeCells count="19">
    <mergeCell ref="D2:K2"/>
    <mergeCell ref="C17:C18"/>
    <mergeCell ref="C21:C22"/>
    <mergeCell ref="B17:B18"/>
    <mergeCell ref="B21:B22"/>
    <mergeCell ref="E17:E18"/>
    <mergeCell ref="E21:E22"/>
    <mergeCell ref="F17:F18"/>
    <mergeCell ref="F21:F22"/>
    <mergeCell ref="G17:G18"/>
    <mergeCell ref="G21:G22"/>
    <mergeCell ref="H17:H18"/>
    <mergeCell ref="H21:H22"/>
    <mergeCell ref="I17:I18"/>
    <mergeCell ref="J17:J18"/>
    <mergeCell ref="K17:K18"/>
    <mergeCell ref="I21:I22"/>
    <mergeCell ref="J21:J22"/>
    <mergeCell ref="K21:K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B3E1-E45E-4137-99DB-2D23A577AF6A}">
  <dimension ref="B1:G11"/>
  <sheetViews>
    <sheetView tabSelected="1" workbookViewId="0">
      <selection activeCell="J14" sqref="J14"/>
    </sheetView>
  </sheetViews>
  <sheetFormatPr baseColWidth="10" defaultRowHeight="15" x14ac:dyDescent="0.25"/>
  <cols>
    <col min="1" max="1" width="8.5703125" customWidth="1"/>
    <col min="2" max="2" width="10.28515625" style="28" customWidth="1"/>
    <col min="3" max="3" width="10.5703125" style="28" customWidth="1"/>
    <col min="4" max="4" width="10.85546875" style="28" customWidth="1"/>
    <col min="5" max="5" width="8.28515625" style="28" customWidth="1"/>
    <col min="6" max="6" width="10" style="28" customWidth="1"/>
    <col min="7" max="7" width="12.28515625" customWidth="1"/>
  </cols>
  <sheetData>
    <row r="1" spans="3:7" ht="22.5" customHeight="1" x14ac:dyDescent="0.25"/>
    <row r="2" spans="3:7" ht="15.75" thickBot="1" x14ac:dyDescent="0.3"/>
    <row r="3" spans="3:7" x14ac:dyDescent="0.25">
      <c r="C3" s="83" t="s">
        <v>18</v>
      </c>
      <c r="D3" s="84"/>
      <c r="E3" s="84"/>
      <c r="F3" s="84"/>
      <c r="G3" s="85"/>
    </row>
    <row r="4" spans="3:7" ht="23.25" customHeight="1" thickBot="1" x14ac:dyDescent="0.3">
      <c r="C4" s="86" t="s">
        <v>36</v>
      </c>
      <c r="D4" s="87"/>
      <c r="E4" s="87"/>
      <c r="F4" s="87"/>
      <c r="G4" s="88"/>
    </row>
    <row r="5" spans="3:7" x14ac:dyDescent="0.25">
      <c r="C5" s="31" t="s">
        <v>19</v>
      </c>
      <c r="D5" s="32" t="s">
        <v>20</v>
      </c>
      <c r="E5" s="33" t="s">
        <v>21</v>
      </c>
      <c r="F5" s="32" t="s">
        <v>9</v>
      </c>
      <c r="G5" s="34" t="s">
        <v>22</v>
      </c>
    </row>
    <row r="6" spans="3:7" x14ac:dyDescent="0.25">
      <c r="C6" s="35" t="s">
        <v>23</v>
      </c>
      <c r="D6" s="36">
        <v>500</v>
      </c>
      <c r="E6" s="37">
        <v>20</v>
      </c>
      <c r="F6" s="38">
        <f>+D6*E6</f>
        <v>10000</v>
      </c>
      <c r="G6" s="39"/>
    </row>
    <row r="7" spans="3:7" x14ac:dyDescent="0.25">
      <c r="C7" s="40"/>
      <c r="D7" s="41"/>
      <c r="E7" s="42"/>
      <c r="F7" s="38"/>
      <c r="G7" s="43"/>
    </row>
    <row r="8" spans="3:7" x14ac:dyDescent="0.25">
      <c r="C8" s="44" t="s">
        <v>24</v>
      </c>
      <c r="D8" s="45">
        <v>700</v>
      </c>
      <c r="E8" s="46">
        <v>11</v>
      </c>
      <c r="F8" s="47">
        <f>+D8*E8</f>
        <v>7700</v>
      </c>
      <c r="G8" s="48">
        <f>SUM(F6:F8)</f>
        <v>17700</v>
      </c>
    </row>
    <row r="9" spans="3:7" x14ac:dyDescent="0.25">
      <c r="C9"/>
      <c r="D9" s="49" t="s">
        <v>9</v>
      </c>
      <c r="E9" s="50">
        <f>SUM(E6:E8)</f>
        <v>31</v>
      </c>
      <c r="F9" s="51" t="s">
        <v>25</v>
      </c>
      <c r="G9" s="52">
        <f>+G8*18%</f>
        <v>3186</v>
      </c>
    </row>
    <row r="10" spans="3:7" ht="24" customHeight="1" thickBot="1" x14ac:dyDescent="0.3">
      <c r="C10"/>
      <c r="D10" s="53"/>
      <c r="E10" s="54"/>
      <c r="F10" s="54"/>
      <c r="G10" s="55">
        <f>+G9+G8</f>
        <v>20886</v>
      </c>
    </row>
    <row r="11" spans="3:7" ht="15.75" thickTop="1" x14ac:dyDescent="0.25"/>
  </sheetData>
  <mergeCells count="2">
    <mergeCell ref="C3:G3"/>
    <mergeCell ref="C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MAYO.2026</vt:lpstr>
      <vt:lpstr>Resumen MAYO.2026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Gladys</dc:creator>
  <cp:lastModifiedBy>JESUS ALBERTO</cp:lastModifiedBy>
  <dcterms:created xsi:type="dcterms:W3CDTF">2015-06-05T18:19:34Z</dcterms:created>
  <dcterms:modified xsi:type="dcterms:W3CDTF">2026-08-07T14:53:02Z</dcterms:modified>
</cp:coreProperties>
</file>