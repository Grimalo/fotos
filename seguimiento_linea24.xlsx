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TONE5\Downloads\"/>
    </mc:Choice>
  </mc:AlternateContent>
  <xr:revisionPtr revIDLastSave="4246" documentId="120_S{855FB63E-D94F-5A17-A0A4-0859E5E3ECEE}" xr6:coauthVersionLast="47" xr6:coauthVersionMax="47" xr10:uidLastSave="{35E5C29E-A6E5-4473-98E1-DE07452F50F0}"/>
  <bookViews>
    <workbookView xWindow="0" yWindow="0" windowWidth="20490" windowHeight="7620" firstSheet="1" activeTab="1" xr2:uid="{00000000-000D-0000-FFFF-FFFF00000000}"/>
  </bookViews>
  <sheets>
    <sheet name="LISTAS" sheetId="2" r:id="rId1"/>
    <sheet name="SEGUIMIENTO" sheetId="1" r:id="rId2"/>
  </sheets>
  <definedNames>
    <definedName name="_xlnm._FilterDatabase" localSheetId="1" hidden="1">SEGUIMIENTO!$B$1:$B$1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3" i="1" l="1"/>
  <c r="I493" i="1"/>
  <c r="M492" i="1"/>
  <c r="I492" i="1"/>
  <c r="M491" i="1"/>
  <c r="I491" i="1"/>
  <c r="M490" i="1"/>
  <c r="I490" i="1"/>
  <c r="M489" i="1"/>
  <c r="I489" i="1"/>
  <c r="M488" i="1"/>
  <c r="I488" i="1"/>
  <c r="M487" i="1"/>
  <c r="I487" i="1"/>
  <c r="M486" i="1"/>
  <c r="I486" i="1"/>
  <c r="M485" i="1"/>
  <c r="I485" i="1"/>
  <c r="M484" i="1"/>
  <c r="I484" i="1"/>
  <c r="M483" i="1"/>
  <c r="I483" i="1"/>
  <c r="M482" i="1"/>
  <c r="I482" i="1"/>
  <c r="M481" i="1"/>
  <c r="I481" i="1"/>
  <c r="M480" i="1"/>
  <c r="I480" i="1"/>
  <c r="M479" i="1"/>
  <c r="I479" i="1"/>
  <c r="M478" i="1"/>
  <c r="I478" i="1"/>
  <c r="M477" i="1"/>
  <c r="I477" i="1"/>
  <c r="M476" i="1"/>
  <c r="I476" i="1"/>
  <c r="M475" i="1"/>
  <c r="I475" i="1"/>
  <c r="M474" i="1"/>
  <c r="I474" i="1"/>
  <c r="M473" i="1"/>
  <c r="I473" i="1"/>
  <c r="M472" i="1"/>
  <c r="I472" i="1"/>
  <c r="M471" i="1"/>
  <c r="I471" i="1"/>
  <c r="M470" i="1"/>
  <c r="I470" i="1"/>
  <c r="M469" i="1"/>
  <c r="I469" i="1"/>
  <c r="M416" i="1"/>
  <c r="M417" i="1"/>
  <c r="M418" i="1"/>
  <c r="M419" i="1"/>
  <c r="M468" i="1"/>
  <c r="I468" i="1"/>
  <c r="M467" i="1"/>
  <c r="I467" i="1"/>
  <c r="M466" i="1"/>
  <c r="I466" i="1"/>
  <c r="M465" i="1"/>
  <c r="I465" i="1"/>
  <c r="L464" i="1"/>
  <c r="I464" i="1" s="1"/>
  <c r="M46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3" i="1"/>
  <c r="M454" i="1"/>
  <c r="M455" i="1"/>
  <c r="M456" i="1"/>
  <c r="M457" i="1"/>
  <c r="M458" i="1"/>
  <c r="M459" i="1"/>
  <c r="M460" i="1"/>
  <c r="M461" i="1"/>
  <c r="M462" i="1"/>
  <c r="M46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</calcChain>
</file>

<file path=xl/sharedStrings.xml><?xml version="1.0" encoding="utf-8"?>
<sst xmlns="http://schemas.openxmlformats.org/spreadsheetml/2006/main" count="2579" uniqueCount="1513">
  <si>
    <t>Estado</t>
  </si>
  <si>
    <t>Plazo_max</t>
  </si>
  <si>
    <t>L24_PrepararTabla: fechas volteadas corregidas (no borrar esta celda)</t>
  </si>
  <si>
    <t>PENDIENTE</t>
  </si>
  <si>
    <t>PRELIMINAR</t>
  </si>
  <si>
    <t>ENTREGADO</t>
  </si>
  <si>
    <t xml:space="preserve">Plazo </t>
  </si>
  <si>
    <t>Fuera</t>
  </si>
  <si>
    <t>Dentro</t>
  </si>
  <si>
    <t>Identificador</t>
  </si>
  <si>
    <t>ConversationId</t>
  </si>
  <si>
    <t>Asunto</t>
  </si>
  <si>
    <t>Nombre</t>
  </si>
  <si>
    <t>FechaRecepcion</t>
  </si>
  <si>
    <t>Motivo_Investigacion</t>
  </si>
  <si>
    <t>SOLICITA</t>
  </si>
  <si>
    <t>Días_Transcurridos</t>
  </si>
  <si>
    <t>Fecha_Activacion</t>
  </si>
  <si>
    <t>Fecha_Preliminar</t>
  </si>
  <si>
    <t>Fecha_Informe</t>
  </si>
  <si>
    <t>Días_Cal</t>
  </si>
  <si>
    <t>Decisión_Final</t>
  </si>
  <si>
    <t>Monto ahorrado</t>
  </si>
  <si>
    <t>Pago a Linea 24</t>
  </si>
  <si>
    <t>AAQkADdkNThjNzFkLWM0ZmMtNDJhYS04MDVlLTIwNzE4ZDI1Mzg4YgAQAI5R91zJv_BJgV5Z9x5f0qc=</t>
  </si>
  <si>
    <t>URPI PACASI ALEX ANDERSON -- SOLICITUD DE CONCURRENCIA - "MAPFRE EPS"</t>
  </si>
  <si>
    <t>URPI PACASI ALEX ANDERSON</t>
  </si>
  <si>
    <t xml:space="preserve">SCTR Salud </t>
  </si>
  <si>
    <t>INFORME FINAL</t>
  </si>
  <si>
    <t>AAQkADdkNThjNzFkLWM0ZmMtNDJhYS04MDVlLTIwNzE4ZDI1Mzg4YgAQAJKfrrAZSV5Mls0uGd5Hm-U=</t>
  </si>
  <si>
    <t>OVALLES ECHARRY PEDRO  LUIS -- SOLICITUD DE CONCURRENCIA - "MAPFRE EPS"</t>
  </si>
  <si>
    <t>OVALLES ECHARRY PEDRO LUIS</t>
  </si>
  <si>
    <t>AAQkADdkNThjNzFkLWM0ZmMtNDJhYS04MDVlLTIwNzE4ZDI1Mzg4YgAQADy2AZ55uL1Mqb11pAL-9L4=</t>
  </si>
  <si>
    <t>ACOSTA CIEZA CARLOS  ROSARIO -- SOLICITUD DE CONCURRENCIA - "MAPFRE EPS"</t>
  </si>
  <si>
    <t>ACOSTA CIEZA CARLOS ROSARIO</t>
  </si>
  <si>
    <t>AAQkADdkNThjNzFkLWM0ZmMtNDJhYS04MDVlLTIwNzE4ZDI1Mzg4YgAQANgkSIqpEcRBrSzG5K2Nqzo=</t>
  </si>
  <si>
    <t>FLORES DIAZ GARY ANDRES -- SOLICITUD DE CONCURRENCIA - "MAPFRE EPS"</t>
  </si>
  <si>
    <t>FLORES DIAZ GARY ANDRES</t>
  </si>
  <si>
    <t>AAQkADdkNThjNzFkLWM0ZmMtNDJhYS04MDVlLTIwNzE4ZDI1Mzg4YgAQACjJBXtNnHdLhOGDNzoW7NM=</t>
  </si>
  <si>
    <t>DIAZ SAAVEDRA DONY JUNIOR -- SOLICITUD DE CONCURRENCIA - "MAPFRE EPS"</t>
  </si>
  <si>
    <t>DIAZ SAAVEDRA DONY JUNIOR</t>
  </si>
  <si>
    <t>EN INVESTIGACION</t>
  </si>
  <si>
    <t>AAQkADdkNThjNzFkLWM0ZmMtNDJhYS04MDVlLTIwNzE4ZDI1Mzg4YgAQAMT1blWpzClGjzEmnS4y5aI=</t>
  </si>
  <si>
    <t>RAMOS CORDOVA JUAN -- SOLICITUD DE CONCURRENCIA - "MAPFRE EPS"</t>
  </si>
  <si>
    <t>RAMOS CORDOVA JUAN</t>
  </si>
  <si>
    <t>AAQkADdkNThjNzFkLWM0ZmMtNDJhYS04MDVlLTIwNzE4ZDI1Mzg4YgAQAOHSWVaue5pKgn7QIR3koRI=</t>
  </si>
  <si>
    <t>LLATAS FLORES MARIA LUZBELLA -- SOLICITUD DE CONCURRENCIA - "MAPFRE EPS"</t>
  </si>
  <si>
    <t>LLATAS FLORES MARIA LUZBELLA</t>
  </si>
  <si>
    <t>AAQkADdkNThjNzFkLWM0ZmMtNDJhYS04MDVlLTIwNzE4ZDI1Mzg4YgAQAF4gS7-1vahLmA4vSLHXm4c=</t>
  </si>
  <si>
    <t>SEVILLA VIDAL MAURIZIO JULIO -- SOLICITUD DE CONCURRENCIA - "MAPFRE EPS"</t>
  </si>
  <si>
    <t>SEVILLA VIDAL MAURIZIO JULIO</t>
  </si>
  <si>
    <t>AAQkADdkNThjNzFkLWM0ZmMtNDJhYS04MDVlLTIwNzE4ZDI1Mzg4YgAQAEqyclQNS_tHgrqtO_cnmHM=</t>
  </si>
  <si>
    <t>AGUILAR LAREZ EDUARDO MANUEL -- SOLICITUD DE CONCURRENCIA - "MAPFRE EPS"</t>
  </si>
  <si>
    <t>AGUILAR LAREZ EDUARDO MANUEL</t>
  </si>
  <si>
    <t>AAQkADdkNThjNzFkLWM0ZmMtNDJhYS04MDVlLTIwNzE4ZDI1Mzg4YgAQAMRGXyI9E91CsO-o1YUmMsw=</t>
  </si>
  <si>
    <t>TRUJILLO HUAHUASONCCO JOSE ANTONIO -- SOLICITUD DE CONCURRENCIA - "MAPFRE EPS"</t>
  </si>
  <si>
    <t>TRUJILLO HUAHUASONCCO JOSE ANTONIO</t>
  </si>
  <si>
    <t>AAQkADdkNThjNzFkLWM0ZmMtNDJhYS04MDVlLTIwNzE4ZDI1Mzg4YgAQAFq7RI79UwJKtlEQn5BWGe8=</t>
  </si>
  <si>
    <t>MIMBELA ROSAS NARCISO TEMISTOCLES -- SOLICITUD DE CONCURRENCIA - "MAPFRE EPS"</t>
  </si>
  <si>
    <t>MIMBELA ROSAS NARCISO TEMISTOCLES</t>
  </si>
  <si>
    <t>AAQkADdkNThjNzFkLWM0ZmMtNDJhYS04MDVlLTIwNzE4ZDI1Mzg4YgAQACcKD3snOOpNs7pNX0NBAlU=</t>
  </si>
  <si>
    <t>CHIROQUE JARAMILLO WILDER SANTOS -- SOLICITUD DE CONCURRENCIA - "MAPFRE EPS"</t>
  </si>
  <si>
    <t>CHIROQUE JARAMILLO WILDER SANTOS</t>
  </si>
  <si>
    <t>AAQkADdkNThjNzFkLWM0ZmMtNDJhYS04MDVlLTIwNzE4ZDI1Mzg4YgAQANBiUF6KO3pBoKIiyrYXZ_Q=</t>
  </si>
  <si>
    <t>FERNANDEZ HUAYTALLA GROBER -- SOLICITUD DE CONCURRENCIA - "MAPFRE EPS"</t>
  </si>
  <si>
    <t>FERNANDEZ HUAYTALLA GROBER</t>
  </si>
  <si>
    <t>AAQkADdkNThjNzFkLWM0ZmMtNDJhYS04MDVlLTIwNzE4ZDI1Mzg4YgAQADUR62Ci38ZEub13NhxgHJQ=</t>
  </si>
  <si>
    <t>RAMOS ESCALANTE MIGUEL ANGEL -- SOLICITUD DE CONCURRENCIA - "MAPFRE EPS"</t>
  </si>
  <si>
    <t>RAMOS ESCALANTE MIGUEL ANGEL</t>
  </si>
  <si>
    <t>AAQkADdkNThjNzFkLWM0ZmMtNDJhYS04MDVlLTIwNzE4ZDI1Mzg4YgAQAK86l5D26DpDjym4934Pvv8=</t>
  </si>
  <si>
    <t>PERALTA ESTRADA JEFERSON SMITH -- SOLICITUD DE CONCURRENCIA - "MAPFRE EPS"</t>
  </si>
  <si>
    <t>PERALTA ESTRADA JEFERSON SMITH</t>
  </si>
  <si>
    <t>AAQkADdkNThjNzFkLWM0ZmMtNDJhYS04MDVlLTIwNzE4ZDI1Mzg4YgAQAGPzoTu4BjJKnWAZy_VVCKc=</t>
  </si>
  <si>
    <t>ANTIZANA FIGUEROA EUSTAQUIO ANTONIO -- SOLICITUD DE CONCURRENCIA - "MAPFRE EPS"</t>
  </si>
  <si>
    <t>ANTIZANA FIGUEROA EUSTAQUIO ANTONIO</t>
  </si>
  <si>
    <t>AAQkADdkNThjNzFkLWM0ZmMtNDJhYS04MDVlLTIwNzE4ZDI1Mzg4YgAQAJf7yG0cY4FKhcNp-BjZRLQ=</t>
  </si>
  <si>
    <t>JIMENEZ GARCIA ORFELINDA -- SOLICITUD DE CONCURRENCIA - "MAPFRE EPS"</t>
  </si>
  <si>
    <t>JIMENEZ GARCIA ORFELINDA</t>
  </si>
  <si>
    <t>AAQkADdkNThjNzFkLWM0ZmMtNDJhYS04MDVlLTIwNzE4ZDI1Mzg4YgAQAG3RxAKujOhArsCvteIVCcA=</t>
  </si>
  <si>
    <t>NAIRA CRUZ YAURI JHORDAN -- SOLICITUD DE CONCURRENCIA - "MAPFRE EPS"</t>
  </si>
  <si>
    <t>NAIRA CRUZ YAURI JHORDAN</t>
  </si>
  <si>
    <t>AAQkADdkNThjNzFkLWM0ZmMtNDJhYS04MDVlLTIwNzE4ZDI1Mzg4YgAQAJS-_WcMfytCi6O7NKdiZSQ=</t>
  </si>
  <si>
    <t>CUIPAR YUYARIMA LUCY MARIA -- SOLICITUD DE CONCURRENCIA - "MAPFRE EPS"</t>
  </si>
  <si>
    <t>CUIPAR YUYARIMA LUCY MARIA</t>
  </si>
  <si>
    <t>AAQkADdkNThjNzFkLWM0ZmMtNDJhYS04MDVlLTIwNzE4ZDI1Mzg4YgAQABms8LFTXDdIsb4SIUoAtG0=</t>
  </si>
  <si>
    <t>RODRIGUEZ MOGGIANO VARYNIA ZAFHIR -- SOLICITUD DE CONCURRENCIA - "MAPFRE EPS"</t>
  </si>
  <si>
    <t>RODRIGUEZ MOGGIANO VARYNIA ZAFHIR</t>
  </si>
  <si>
    <t>AAQkADdkNThjNzFkLWM0ZmMtNDJhYS04MDVlLTIwNzE4ZDI1Mzg4YgAQANd7k1UPI4dDvrR4VxJCCsk=</t>
  </si>
  <si>
    <t>BECERRA CAMPOS JUAN CARLOS -- SOLICITUD DE CONCURRENCIA - "MAPFRE EPS"</t>
  </si>
  <si>
    <t>BECERRA CAMPOS JUAN CARLOS</t>
  </si>
  <si>
    <t>AAQkADdkNThjNzFkLWM0ZmMtNDJhYS04MDVlLTIwNzE4ZDI1Mzg4YgAQAKag8yBtRPxMsMX7IFOMPwY=</t>
  </si>
  <si>
    <t>HUAYTA SANCHEZ JOHAN JOSIAS -- SOLICITUD DE CONCURRENCIA - "MAPFRE EPS"</t>
  </si>
  <si>
    <t>HUAYTA SANCHEZ JOHAN JOSIAS</t>
  </si>
  <si>
    <t>AAQkADdkNThjNzFkLWM0ZmMtNDJhYS04MDVlLTIwNzE4ZDI1Mzg4YgAQAOsNtKWln8FHjLIsDfqm7jw=</t>
  </si>
  <si>
    <t>QUISPE HERBOZO ROCIO PILAR -- SOLICITUD DE CONCURRENCIA - "MAPFRE EPS"</t>
  </si>
  <si>
    <t>QUISPE HERBOZO ROCIO PILAR</t>
  </si>
  <si>
    <t>AAQkADdkNThjNzFkLWM0ZmMtNDJhYS04MDVlLTIwNzE4ZDI1Mzg4YgAQAK4gmmiMbBhNnTUtj8GhvL0=</t>
  </si>
  <si>
    <t>CANCHARI CAHUANA EFRAIN -- SOLICITUD DE CONCURRENCIA - "MAPFRE EPS"</t>
  </si>
  <si>
    <t>CANCHARI CAHUANA EFRAIN</t>
  </si>
  <si>
    <t>AAQkADdkNThjNzFkLWM0ZmMtNDJhYS04MDVlLTIwNzE4ZDI1Mzg4YgAQAAyTHFKr5jBPsyYIGjFoy2A=</t>
  </si>
  <si>
    <t>DAVILA MUCHO JORGE -- SOLICITUD DE CONCURRENCIA - "MAPFRE EPS"</t>
  </si>
  <si>
    <t>DAVILA MUCHO JORGE</t>
  </si>
  <si>
    <t>AAQkADdkNThjNzFkLWM0ZmMtNDJhYS04MDVlLTIwNzE4ZDI1Mzg4YgAQAJfOQfHwTpFPrW8RBIC45SE=</t>
  </si>
  <si>
    <t>YCOMENA RICOPA WILDEMAR -- SOLICITUD DE CONCURRENCIA - "MAPFRE EPS"</t>
  </si>
  <si>
    <t>YCOMENA RICOPA WILDEMAR</t>
  </si>
  <si>
    <t>AAQkADdkNThjNzFkLWM0ZmMtNDJhYS04MDVlLTIwNzE4ZDI1Mzg4YgAQAKqBqnT6b1RNnvmjnJcy3LI=</t>
  </si>
  <si>
    <t>ROJAS CAMPOS ERVIS JOSE -- SOLICITUD DE CONCURRENCIA - "MAPFRE EPS"</t>
  </si>
  <si>
    <t>ROJAS CAMPOS ERVIS JOSE</t>
  </si>
  <si>
    <t>AAQkADdkNThjNzFkLWM0ZmMtNDJhYS04MDVlLTIwNzE4ZDI1Mzg4YgAQANnySZLY7uNBvQcdAfJ5s9M=</t>
  </si>
  <si>
    <t>BANCES ARIZOLA SEGUNDO GUILLERMO -- SOLICITUD DE CONCURRENCIA - "MAPFRE EPS"</t>
  </si>
  <si>
    <t>BANCES ARIZOLA SEGUNDO GUILLERMO</t>
  </si>
  <si>
    <t>AAQkADdkNThjNzFkLWM0ZmMtNDJhYS04MDVlLTIwNzE4ZDI1Mzg4YgAQAMC8kKXxqW1EpqICFPiMzjo=</t>
  </si>
  <si>
    <t>CASTRO VERA ANGHELO JOEL -- SOLICITUD DE CONCURRENCIA - "MAPFRE EPS"</t>
  </si>
  <si>
    <t>CASTRO VERA ANGHELO JOEL</t>
  </si>
  <si>
    <t>AAQkADdkNThjNzFkLWM0ZmMtNDJhYS04MDVlLTIwNzE4ZDI1Mzg4YgAQAOLKL4sZRuZDhqGNauXsnWE=</t>
  </si>
  <si>
    <t>CHINCHILLA CASTILLO WILMER DEMETRIO -- SOLICITUD DE CONCURRENCIA - "MAPFRE EPS"</t>
  </si>
  <si>
    <t>CHINCHILLA CASTILLO WILMER DEMETRIO</t>
  </si>
  <si>
    <t>AAQkADdkNThjNzFkLWM0ZmMtNDJhYS04MDVlLTIwNzE4ZDI1Mzg4YgAQAEnnk78EdF1DkRBZukGZTn0=</t>
  </si>
  <si>
    <t>REATEGUI DEL AGUILA SANTIAGO -- SOLICITUD DE CONCURRENCIA - "MAPFRE EPS"</t>
  </si>
  <si>
    <t>REATEGUI DEL AGUILA SANTIAGO</t>
  </si>
  <si>
    <t>AAQkADdkNThjNzFkLWM0ZmMtNDJhYS04MDVlLTIwNzE4ZDI1Mzg4YgAQAI1sNXO415lCgLEicBBMJ8c=</t>
  </si>
  <si>
    <t>ASCUÑA CAYO GILMAR ANTONY -- SOLICITUD DE CONCURRENCIA - "MAPFRE EPS"</t>
  </si>
  <si>
    <t>ASCUÑA CAYO GILMAR ANTONY</t>
  </si>
  <si>
    <t>AAQkADdkNThjNzFkLWM0ZmMtNDJhYS04MDVlLTIwNzE4ZDI1Mzg4YgAQAGFnRD5T4WNPlQ1sM4ibNL4=</t>
  </si>
  <si>
    <t>SABOYA GASTON NEIRE -- SOLICITUD DE CONCURRENCIA - "MAPFRE EPS"</t>
  </si>
  <si>
    <t>SABOYA GASTON NEIRE</t>
  </si>
  <si>
    <t>AAQkADdkNThjNzFkLWM0ZmMtNDJhYS04MDVlLTIwNzE4ZDI1Mzg4YgAQAGa1sIJ2UlFCvo2HR2ajs38=</t>
  </si>
  <si>
    <t>LUMBRE NECIOSUP JUAN -- SOLICITUD DE CONCURRENCIA - "MAPFRE EPS"</t>
  </si>
  <si>
    <t>LUMBRE NECIOSUP JUAN</t>
  </si>
  <si>
    <t>AAQkADdkNThjNzFkLWM0ZmMtNDJhYS04MDVlLTIwNzE4ZDI1Mzg4YgAQANv4oHWdXB9Ljc3GGjzq9Ig=</t>
  </si>
  <si>
    <t>MEJIA GAMARRA AVEMELEC -- SOLICITUD DE CONCURRENCIA - "MAPFRE EPS"</t>
  </si>
  <si>
    <t>MEJIA GAMARRA AVEMELEC</t>
  </si>
  <si>
    <t>AAQkADdkNThjNzFkLWM0ZmMtNDJhYS04MDVlLTIwNzE4ZDI1Mzg4YgAQAFYVlwoG3yZDtn8gUiomSHc=</t>
  </si>
  <si>
    <t>CUMPA FARRO PEDRO EMANUEL -- SOLICITUD DE CONCURRENCIA - "MAPFRE EPS"</t>
  </si>
  <si>
    <t>CUMPA FARRO PEDRO EMANUEL</t>
  </si>
  <si>
    <t>AAQkADdkNThjNzFkLWM0ZmMtNDJhYS04MDVlLTIwNzE4ZDI1Mzg4YgAQALizY722oPBBhYzr2zLI6Fk=</t>
  </si>
  <si>
    <t>MARQUINA OCHANTE RONALD ALFREDO -- SOLICITUD DE CONCURRENCIA - "MAPFRE EPS"</t>
  </si>
  <si>
    <t>MARQUINA OCHANTE RONALD ALFREDO</t>
  </si>
  <si>
    <t>AAQkADdkNThjNzFkLWM0ZmMtNDJhYS04MDVlLTIwNzE4ZDI1Mzg4YgAQAPkHuHWI-1dHiW3n-Vbbw6g=</t>
  </si>
  <si>
    <t>SOSA SICHE EDINSON FRANCISCO -- SOLICITUD DE CONCURRENCIA - "MAPFRE EPS"</t>
  </si>
  <si>
    <t>SOSA SICHE EDINSON FRANCISCO</t>
  </si>
  <si>
    <t>AAQkADdkNThjNzFkLWM0ZmMtNDJhYS04MDVlLTIwNzE4ZDI1Mzg4YgAQAKGDkAI0qw9Nn4wza3vimPE=</t>
  </si>
  <si>
    <t>VEGA CORTEZ PATRICIA ELIZABETH -- SOLICITUD DE CONCURRENCIA - "MAPFRE EPS"</t>
  </si>
  <si>
    <t>VEGA CORTEZ PATRICIA ELIZABETH</t>
  </si>
  <si>
    <t>AAQkADdkNThjNzFkLWM0ZmMtNDJhYS04MDVlLTIwNzE4ZDI1Mzg4YgAQADZFQnGectJMlG2X2HzgKwY=</t>
  </si>
  <si>
    <t>ZAPATA BRIONES ALEJANDRO STEBEN -- SOLICITUD DE CONCURRENCIA - "MAPFRE EPS"</t>
  </si>
  <si>
    <t>ZAPATA BRIONES ALEJANDRO STEBEN</t>
  </si>
  <si>
    <t>AAQkADdkNThjNzFkLWM0ZmMtNDJhYS04MDVlLTIwNzE4ZDI1Mzg4YgAQAKIgnskqHNlMu9eObXGHnMM=</t>
  </si>
  <si>
    <t>DELGADO TRIVEÑO ROBERTO CARLOS -- SOLICITUD DE CONCURRENCIA - "MAPFRE EPS"</t>
  </si>
  <si>
    <t>DELGADO TRIVEÑO ROBERTO CARLOS</t>
  </si>
  <si>
    <t>AAQkADdkNThjNzFkLWM0ZmMtNDJhYS04MDVlLTIwNzE4ZDI1Mzg4YgAQALqdha8DTvFGoQpacvq9MGk=</t>
  </si>
  <si>
    <t>LLATAS AZALDE MANUEL JOSE -- SOLICITUD DE CONCURRENCIA - "MAPFRE EPS"</t>
  </si>
  <si>
    <t>LLATAS AZALDE MANUEL JOSE</t>
  </si>
  <si>
    <t>AAQkADdkNThjNzFkLWM0ZmMtNDJhYS04MDVlLTIwNzE4ZDI1Mzg4YgAQAAky08MtRN9EuzWzegmLEYY=</t>
  </si>
  <si>
    <t>ARIRUA PACAYA LLESICA MELIZA -- SOLICITUD DE CONCURRENCIA - "MAPFRE EPS"</t>
  </si>
  <si>
    <t>ARIRUA PACAYA LLESICA MELIZA</t>
  </si>
  <si>
    <t>AAQkADdkNThjNzFkLWM0ZmMtNDJhYS04MDVlLTIwNzE4ZDI1Mzg4YgAQAErAs4P6K0tLiErp3ba15aA=</t>
  </si>
  <si>
    <t>CARRILLO CORONADO EDY WILLIAM -- SOLICITUD DE CONCURRENCIA - "MAPFRE EPS"</t>
  </si>
  <si>
    <t>CARRILLO CORONADO EDY WILLIAM</t>
  </si>
  <si>
    <t>AAQkADdkNThjNzFkLWM0ZmMtNDJhYS04MDVlLTIwNzE4ZDI1Mzg4YgAQAMKkiJv-AkpDkH0Bv9sN-5c=</t>
  </si>
  <si>
    <t>GUEVARA ARIRAMA WALTER -- SOLICITUD DE CONCURRENCIA - "MAPFRE EPS"</t>
  </si>
  <si>
    <t>GUEVARA ARIRAMA WALTER</t>
  </si>
  <si>
    <t>AAQkADdkNThjNzFkLWM0ZmMtNDJhYS04MDVlLTIwNzE4ZDI1Mzg4YgAQAGwsmD7MGhJLhF_Ob6U7tNA=</t>
  </si>
  <si>
    <t>DONAYRE RAYGADA WILLY VICENTE -- SOLICITUD DE CONCURRENCIA - "MAPFRE EPS"</t>
  </si>
  <si>
    <t>DONAYRE RAYGADA WILLY VICENTE</t>
  </si>
  <si>
    <t>AAQkADdkNThjNzFkLWM0ZmMtNDJhYS04MDVlLTIwNzE4ZDI1Mzg4YgAQABXzLEDEgbBKlQHzX8ZpSxE=</t>
  </si>
  <si>
    <t>CHARCAPE QUIROZ JOSE EDMUNDO -- SOLICITUD DE CONCURRENCIA - "MAPFRE EPS"</t>
  </si>
  <si>
    <t>CHARCAPE QUIROZ JOSE EDMUNDO</t>
  </si>
  <si>
    <t>AAQkADdkNThjNzFkLWM0ZmMtNDJhYS04MDVlLTIwNzE4ZDI1Mzg4YgAQAFHiEOrYsclDjmiypWX-AGU=</t>
  </si>
  <si>
    <t>SANCHEZ CASMA LUISA EDDA -- SOLICITUD DE CONCURRENCIA - "MAPFRE EPS"</t>
  </si>
  <si>
    <t>SANCHEZ CASMA LUISA EDDA</t>
  </si>
  <si>
    <t>AAQkADdkNThjNzFkLWM0ZmMtNDJhYS04MDVlLTIwNzE4ZDI1Mzg4YgAQAKLjUkH-_SBLsdiiGnu7tFs=</t>
  </si>
  <si>
    <t>VARGAS TENAZOA PETER STEVES -- SOLICITUD DE CONCURRENCIA - "MAPFRE EPS"</t>
  </si>
  <si>
    <t>VARGAS TENAZOA PETER STEVES</t>
  </si>
  <si>
    <t>AAQkADdkNThjNzFkLWM0ZmMtNDJhYS04MDVlLTIwNzE4ZDI1Mzg4YgAQAGkcAXjpub1Av9Li99t0JFk=</t>
  </si>
  <si>
    <t>SANCHEZ SANTAMARIA CESAR -- SOLICITUD DE CONCURRENCIA - "MAPFRE EPS"</t>
  </si>
  <si>
    <t>SANCHEZ SANTAMARIA CESAR</t>
  </si>
  <si>
    <t>AAQkADdkNThjNzFkLWM0ZmMtNDJhYS04MDVlLTIwNzE4ZDI1Mzg4YgAQAPhchQOA5qlFraULPOIN_rk=</t>
  </si>
  <si>
    <t>GARCIA FARCEQUE ROLANDO -- SOLICITUD DE CONCURRENCIA - "MAPFRE EPS"</t>
  </si>
  <si>
    <t>GARCIA FARCEQUE ROLANDO</t>
  </si>
  <si>
    <t>AAQkADdkNThjNzFkLWM0ZmMtNDJhYS04MDVlLTIwNzE4ZDI1Mzg4YgAQAHMaqzqxCLlMvXNZnINwx1s=</t>
  </si>
  <si>
    <t>SANGAMA TAPAYURI SUNNER -- SOLICITUD DE CONCURRENCIA - "MAPFRE EPS"</t>
  </si>
  <si>
    <t>SANGAMA TAPAYURI SUNNER</t>
  </si>
  <si>
    <t>AAQkADdkNThjNzFkLWM0ZmMtNDJhYS04MDVlLTIwNzE4ZDI1Mzg4YgAQANv8OV5iSLVGpr-0dhabBmk=</t>
  </si>
  <si>
    <t>RAMIREZ MOGOLLON JESUS -- SOLICITUD DE CONCURRENCIA - "MAPFRE EPS"</t>
  </si>
  <si>
    <t>RAMIREZ MOGOLLON JESUS</t>
  </si>
  <si>
    <t>AAQkADdkNThjNzFkLWM0ZmMtNDJhYS04MDVlLTIwNzE4ZDI1Mzg4YgAQAMRWNUSVsN5OuQzD_s-ssEE=</t>
  </si>
  <si>
    <t>SANTOME SINTI OSCAR EMILIO -- SOLICITUD DE CONCURRENCIA - "MAPFRE EPS"</t>
  </si>
  <si>
    <t>SANTOME SINTI OSCAR EMILIO</t>
  </si>
  <si>
    <t>AAQkADdkNThjNzFkLWM0ZmMtNDJhYS04MDVlLTIwNzE4ZDI1Mzg4YgAQACuNx_L1ZfNArAt-NKYymQ8=</t>
  </si>
  <si>
    <t>PADILLA LOPEZ FRAY MESIAS -- SOLICITUD DE CONCURRENCIA - "MAPFRE EPS"</t>
  </si>
  <si>
    <t>PADILLA LOPEZ FRAY MESIAS</t>
  </si>
  <si>
    <t>AAQkADdkNThjNzFkLWM0ZmMtNDJhYS04MDVlLTIwNzE4ZDI1Mzg4YgAQAHum6a3CJV5DnTpMLrzGibg=</t>
  </si>
  <si>
    <t>RAMOS BLAS RUFINO -- SOLICITUD DE CONCURRENCIA - "MAPFRE EPS"</t>
  </si>
  <si>
    <t>RAMOS BLAS RUFINO</t>
  </si>
  <si>
    <t>AAQkADdkNThjNzFkLWM0ZmMtNDJhYS04MDVlLTIwNzE4ZDI1Mzg4YgAQAMlxKtGF7uNLq1_Ft29ktIA=</t>
  </si>
  <si>
    <t>RELAIZA SONAPO JOSE LUIS -- SOLICITUD DE CONCURRENCIA - "MAPFRE EPS"</t>
  </si>
  <si>
    <t>RELAIZA SONAPO JOSE LUIS</t>
  </si>
  <si>
    <t>AAQkADdkNThjNzFkLWM0ZmMtNDJhYS04MDVlLTIwNzE4ZDI1Mzg4YgAQAIwF3ASPDJ1Hhix5jcIp2Vw=</t>
  </si>
  <si>
    <t>APAZA PANCA JHON ANTHONY -- SOLICITUD DE CONCURRENCIA - "MAPFRE EPS"</t>
  </si>
  <si>
    <t>APAZA PANCA JHON ANTHONY</t>
  </si>
  <si>
    <t>AAQkADdkNThjNzFkLWM0ZmMtNDJhYS04MDVlLTIwNzE4ZDI1Mzg4YgAQANzmM4NSM4BHlHNJeN2shvU=</t>
  </si>
  <si>
    <t>MARIÑO MONTES ROLANDO JUAN -- SOLICITUD DE CONCURRENCIA - "MAPFRE EPS"</t>
  </si>
  <si>
    <t>MARIÑO MONTES ROLANDO JUAN</t>
  </si>
  <si>
    <t>AAQkADdkNThjNzFkLWM0ZmMtNDJhYS04MDVlLTIwNzE4ZDI1Mzg4YgAQAEIboP1mRFNOgMWEkZ-u--I=</t>
  </si>
  <si>
    <t>PEREZ SAAVEDRA JUAN CARLOS -- SOLICITUD DE CONCURRENCIA - "MAPFRE EPS"</t>
  </si>
  <si>
    <t>PEREZ SAAVEDRA JUAN CARLOS</t>
  </si>
  <si>
    <t>AAQkADdkNThjNzFkLWM0ZmMtNDJhYS04MDVlLTIwNzE4ZDI1Mzg4YgAQACCXzdSUL1hJrfTc5OTGEEs=</t>
  </si>
  <si>
    <t>QUISPE PINEDA ANTUANETHE ALMENDRA -- SOLICITUD DE CONCURRENCIA - "MAPFRE EPS"</t>
  </si>
  <si>
    <t>QUISPE PINEDA ANTUANETHE ALMENDRA</t>
  </si>
  <si>
    <t>AAQkADdkNThjNzFkLWM0ZmMtNDJhYS04MDVlLTIwNzE4ZDI1Mzg4YgAQAA0jZ_UF1PVMnxS9Y_t1bvw=</t>
  </si>
  <si>
    <t>BALTAZAR JULCARIMA KEVIN MAIK -- SOLICITUD DE CONCURRENCIA - "MAPFRE EPS"</t>
  </si>
  <si>
    <t>BALTAZAR JULCARIMA KEVIN MAIK</t>
  </si>
  <si>
    <t>AAQkADdkNThjNzFkLWM0ZmMtNDJhYS04MDVlLTIwNzE4ZDI1Mzg4YgAQAFg-p35AtFZNiFKISGrFASk=</t>
  </si>
  <si>
    <t>GUARNIZ HOYOS RONAL HONAN -- SOLICITUD DE CONCURRENCIA - "MAPFRE EPS"</t>
  </si>
  <si>
    <t>GUARNIZ HOYOS RONAL HONAN</t>
  </si>
  <si>
    <t>AAQkADdkNThjNzFkLWM0ZmMtNDJhYS04MDVlLTIwNzE4ZDI1Mzg4YgAQANooE9dbZONMg_VYq_d_yn0=</t>
  </si>
  <si>
    <t>CASANI SANTI ISAC ESTEBAN -- SOLICITUD DE CONCURRENCIA - "MAPFRE EPS"</t>
  </si>
  <si>
    <t>CASANI SANTI ISAC ESTEBAN</t>
  </si>
  <si>
    <t>AAQkADdkNThjNzFkLWM0ZmMtNDJhYS04MDVlLTIwNzE4ZDI1Mzg4YgAQAEoRIBHRje5Pny-frWDrjE4=</t>
  </si>
  <si>
    <t>CABRERA SOTO HECTOR -- SOLICITUD DE CONCURRENCIA - "MAPFRE EPS"</t>
  </si>
  <si>
    <t>CABRERA SOTO HECTOR</t>
  </si>
  <si>
    <t>AAQkADdkNThjNzFkLWM0ZmMtNDJhYS04MDVlLTIwNzE4ZDI1Mzg4YgAQAK9xHoU7ZAZGt2HRWarbOLg=</t>
  </si>
  <si>
    <t>RODRIGUEZ PRECIADO JEAN STEWAR -- SOLICITUD DE CONCURRENCIA - "MAPFRE EPS"</t>
  </si>
  <si>
    <t>RODRIGUEZ PRECIADO JEAN STEWAR</t>
  </si>
  <si>
    <t>AAQkADdkNThjNzFkLWM0ZmMtNDJhYS04MDVlLTIwNzE4ZDI1Mzg4YgAQAMH6FspznzRCtOH8sb_sjUc=</t>
  </si>
  <si>
    <t>FLORES SILVA NILO -- SOLICITUD DE CONCURRENCIA - "MAPFRE EPS"</t>
  </si>
  <si>
    <t>FLORES SILVA NILO</t>
  </si>
  <si>
    <t>AAQkADdkNThjNzFkLWM0ZmMtNDJhYS04MDVlLTIwNzE4ZDI1Mzg4YgAQAACr1LYkFoVFhwFIsoyTDTc=</t>
  </si>
  <si>
    <t>VENTURA GOICOCHEA JUAN CARLOS -- SOLICITUD DE CONCURRENCIA - "MAPFRE EPS"</t>
  </si>
  <si>
    <t>VENTURA GOICOCHEA JUAN CARLOS</t>
  </si>
  <si>
    <t>AAQkADdkNThjNzFkLWM0ZmMtNDJhYS04MDVlLTIwNzE4ZDI1Mzg4YgAQAM1SwtxRc51LvM9RiNXYipg=</t>
  </si>
  <si>
    <t>AGUIRRE KOGA DIEGO ANTONIO -- SOLICITUD DE CONCURRENCIA - "MAPFRE EPS"</t>
  </si>
  <si>
    <t>AGUIRRE KOGA DIEGO ANTONIO</t>
  </si>
  <si>
    <t>AAQkADdkNThjNzFkLWM0ZmMtNDJhYS04MDVlLTIwNzE4ZDI1Mzg4YgAQACCPu9ss9WtDmEXN8GA4mEo=</t>
  </si>
  <si>
    <t>SANTIAGO SUAREZ JULIO CESAR -- SOLICITUD DE CONCURRENCIA - "MAPFRE EPS"</t>
  </si>
  <si>
    <t>SANTIAGO SUAREZ JULIO CESAR</t>
  </si>
  <si>
    <t>AAQkADdkNThjNzFkLWM0ZmMtNDJhYS04MDVlLTIwNzE4ZDI1Mzg4YgAQADv44alrCkVDrZ9whrFTXBA=</t>
  </si>
  <si>
    <t>ENCISO GONZALES JESUS ERNESTO UBALDO -- SOLICITUD DE CONCURRENCIA - "MAPFRE EPS"</t>
  </si>
  <si>
    <t>ENCISO GONZALES JESUS ERNESTO UBALDO</t>
  </si>
  <si>
    <t>AAQkADdkNThjNzFkLWM0ZmMtNDJhYS04MDVlLTIwNzE4ZDI1Mzg4YgAQAA_V0S8htGhKjEMdnI3xjnk=</t>
  </si>
  <si>
    <t>BRITO RUIZ SANDRO FRANCISCO -- SOLICITUD DE CONCURRENCIA - "MAPFRE EPS"</t>
  </si>
  <si>
    <t>BRITO RUIZ SANDRO FRANCISCO</t>
  </si>
  <si>
    <t>AAQkADdkNThjNzFkLWM0ZmMtNDJhYS04MDVlLTIwNzE4ZDI1Mzg4YgAQACH95VpxsnRJqO2MwaVtD1U=</t>
  </si>
  <si>
    <t>VELASCO CORDOVA JOSEPH HENRY -- SOLICITUD DE CONCURRENCIA - "MAPFRE EPS"</t>
  </si>
  <si>
    <t>VELASCO CORDOVA JOSEPH HENRY</t>
  </si>
  <si>
    <t>AAQkADdkNThjNzFkLWM0ZmMtNDJhYS04MDVlLTIwNzE4ZDI1Mzg4YgAQAIaihDH_e3ZJhnVIbWaTbgo=</t>
  </si>
  <si>
    <t>NIZAMA MELENDEZ LUIS ENRIQUE -- SOLICITUD DE CONCURRENCIA - "MAPFRE EPS"</t>
  </si>
  <si>
    <t>NIZAMA MELENDEZ LUIS ENRIQUE</t>
  </si>
  <si>
    <t>AAQkADdkNThjNzFkLWM0ZmMtNDJhYS04MDVlLTIwNzE4ZDI1Mzg4YgAQAK0xGvzo1zFMk4yTQ_Daycw=</t>
  </si>
  <si>
    <t>QUISPE VILLAGRA RODY ULICES -- SOLICITUD DE CONCURRENCIA - "MAPFRE EPS"</t>
  </si>
  <si>
    <t>QUISPE VILLAGRA RODY ULICES</t>
  </si>
  <si>
    <t>AAQkADdkNThjNzFkLWM0ZmMtNDJhYS04MDVlLTIwNzE4ZDI1Mzg4YgAQANUWy-Ll8BdInZP0fXMtphg=</t>
  </si>
  <si>
    <t>CHAVEZ TAPULLIMA ROBERTO -- SOLICITUD DE CONCURRENCIA - "MAPFRE EPS"</t>
  </si>
  <si>
    <t>CHAVEZ TAPULLIMA ROBERTO</t>
  </si>
  <si>
    <t>AAQkADdkNThjNzFkLWM0ZmMtNDJhYS04MDVlLTIwNzE4ZDI1Mzg4YgAQAJ9DCqnDvxlErWKYxflu6qw=</t>
  </si>
  <si>
    <t>ALFARO VERA FREDY GERARDO -- SOLICITUD DE CONCURRENCIA - "MAPFRE EPS"</t>
  </si>
  <si>
    <t>ALFARO VERA FREDY GERARDO</t>
  </si>
  <si>
    <t>AAQkADdkNThjNzFkLWM0ZmMtNDJhYS04MDVlLTIwNzE4ZDI1Mzg4YgAQACrOzXPuXLVCmnIiVkCi2Cc=</t>
  </si>
  <si>
    <t>CACHA LEYVA FELIX ALEJANDRO -- SOLICITUD DE CONCURRENCIA - "MAPFRE EPS"</t>
  </si>
  <si>
    <t>CACHA LEYVA FELIX ALEJANDRO</t>
  </si>
  <si>
    <t>AAQkADdkNThjNzFkLWM0ZmMtNDJhYS04MDVlLTIwNzE4ZDI1Mzg4YgAQAGs-rMvuKAJPrBcphPQdS9c=</t>
  </si>
  <si>
    <t>CUADROS MACO EDGAR ANTONIO -- SOLICITUD DE CONCURRENCIA - "MAPFRE EPS"</t>
  </si>
  <si>
    <t>CUADROS MACO EDGAR ANTONIO</t>
  </si>
  <si>
    <t>AAQkADdkNThjNzFkLWM0ZmMtNDJhYS04MDVlLTIwNzE4ZDI1Mzg4YgAQAPwiPIGPYDhOi-5rCAGGiQE=</t>
  </si>
  <si>
    <t>MIRAMIRA MIRAMIRA GLADYS -- SOLICITUD DE CONCURRENCIA - "MAPFRE EPS"</t>
  </si>
  <si>
    <t>MIRAMIRA MIRAMIRA GLADYS</t>
  </si>
  <si>
    <t>AAQkADdkNThjNzFkLWM0ZmMtNDJhYS04MDVlLTIwNzE4ZDI1Mzg4YgAQADo6xpT8paxDr1YEHa-oKiQ=</t>
  </si>
  <si>
    <t>QUEREVALU YENQUE JHONATAN FIDEL -- SOLICITUD DE CONCURRENCIA - "MAPFRE EPS"</t>
  </si>
  <si>
    <t>QUEREVALU YENQUE JHONATAN FIDEL</t>
  </si>
  <si>
    <t>AAQkADdkNThjNzFkLWM0ZmMtNDJhYS04MDVlLTIwNzE4ZDI1Mzg4YgAQAI0RU9uJ9L5Nmcxq6WhhSwA=</t>
  </si>
  <si>
    <t>CHAVEZ RIVERA JULIO FRANCISCO -- SOLICITUD DE CONCURRENCIA - "MAPFRE EPS"</t>
  </si>
  <si>
    <t>CHAVEZ RIVERA JULIO FRANCISCO</t>
  </si>
  <si>
    <t>AAQkADdkNThjNzFkLWM0ZmMtNDJhYS04MDVlLTIwNzE4ZDI1Mzg4YgAQAO60SD6raPFCpkgGVQ15U1o=</t>
  </si>
  <si>
    <t>ROJAS CCORIMANYA EDWIN -- SOLICITUD DE CONCURRENCIA - "MAPFRE EPS"</t>
  </si>
  <si>
    <t>ROJAS CCORIMANYA EDWIN</t>
  </si>
  <si>
    <t>AAQkADdkNThjNzFkLWM0ZmMtNDJhYS04MDVlLTIwNzE4ZDI1Mzg4YgAQAASlG19W46BKmag7Zh3JAe4=</t>
  </si>
  <si>
    <t>DIAZ ZELADA BRUNO EMMANUEL -- SOLICITUD DE CONCURRENCIA - "MAPFRE EPS"</t>
  </si>
  <si>
    <t>DIAZ ZELADA BRUNO EMMANUEL</t>
  </si>
  <si>
    <t>AAQkADdkNThjNzFkLWM0ZmMtNDJhYS04MDVlLTIwNzE4ZDI1Mzg4YgAQANeaZovedcVHhiMxdtKUZfk=</t>
  </si>
  <si>
    <t>CANELO TRILLO ANGEL TEODORO -- SOLICITUD DE CONCURRENCIA - "MAPFRE EPS"</t>
  </si>
  <si>
    <t>CANELO TRILLO ANGEL TEODORO</t>
  </si>
  <si>
    <t>AAQkADdkNThjNzFkLWM0ZmMtNDJhYS04MDVlLTIwNzE4ZDI1Mzg4YgAQAPhCKhmDs6VJpF7m577fAIs=</t>
  </si>
  <si>
    <t>ROSALES PAULINO JONAIAS RUEL -- SOLICITUD DE CONCURRENCIA - "MAPFRE EPS"</t>
  </si>
  <si>
    <t>ROSALES PAULINO JONAIAS RUEL</t>
  </si>
  <si>
    <t>AAQkADdkNThjNzFkLWM0ZmMtNDJhYS04MDVlLTIwNzE4ZDI1Mzg4YgAQAHmvZK5UcTpLq-aqwsARO8Q=</t>
  </si>
  <si>
    <t>MONROY HOCES DAVID EMANUEL -- SOLICITUD DE CONCURRENCIA - "MAPFRE EPS"</t>
  </si>
  <si>
    <t>MONROY HOCES DAVID EMANUEL</t>
  </si>
  <si>
    <t>AAQkADdkNThjNzFkLWM0ZmMtNDJhYS04MDVlLTIwNzE4ZDI1Mzg4YgAQAA7B3IJoqUtHibe5dGJg3TU=</t>
  </si>
  <si>
    <t>SIHUINCHO VILLANUEVA PITTER -- SOLICITUD DE CONCURRENCIA - "MAPFRE EPS"</t>
  </si>
  <si>
    <t>SIHUINCHO VILLANUEVA PITTER</t>
  </si>
  <si>
    <t>AAQkADdkNThjNzFkLWM0ZmMtNDJhYS04MDVlLTIwNzE4ZDI1Mzg4YgAQAPhApo-NiEFGvsPUv7QWKEs=</t>
  </si>
  <si>
    <t>RUIZ TELLO MERLYN -- SOLICITUD DE CONCURRENCIA - "MAPFRE EPS"</t>
  </si>
  <si>
    <t>RUIZ TELLO MERLYN</t>
  </si>
  <si>
    <t>AAQkADdkNThjNzFkLWM0ZmMtNDJhYS04MDVlLTIwNzE4ZDI1Mzg4YgAQAOKswY5276xIq7p9zXqMxX4=</t>
  </si>
  <si>
    <t>CUMMININS OSORIO JOHN FERNANDO -- SOLICITUD DE CONCURRENCIA - "MAPFRE EPS"</t>
  </si>
  <si>
    <t>CUMMININS OSORIO JOHN FERNANDO</t>
  </si>
  <si>
    <t>AAQkADdkNThjNzFkLWM0ZmMtNDJhYS04MDVlLTIwNzE4ZDI1Mzg4YgAQAM5nikzfLN5BlIkABBIN2Y4=</t>
  </si>
  <si>
    <t>CARHUAPOMA FLORES ADILMER -- SOLICITUD DE CONCURRENCIA - "MAPFRE EPS"</t>
  </si>
  <si>
    <t>CARHUAPOMA FLORES ADILMER</t>
  </si>
  <si>
    <t>AAQkADdkNThjNzFkLWM0ZmMtNDJhYS04MDVlLTIwNzE4ZDI1Mzg4YgAQAPIXC77cABlGrD2PvqgC3zk=</t>
  </si>
  <si>
    <t>GARCIA GALVEZ JUAN CARLOS -- SOLICITUD DE CONCURRENCIA - "MAPFRE EPS"</t>
  </si>
  <si>
    <t>GARCIA GALVEZ JUAN CARLOS</t>
  </si>
  <si>
    <t>AAQkADdkNThjNzFkLWM0ZmMtNDJhYS04MDVlLTIwNzE4ZDI1Mzg4YgAQAM5GKwogaqlEvh5o0IRRUdg=</t>
  </si>
  <si>
    <t>PARIMANGO BELTRAN SANTOS ZACARIAS -- SOLICITUD DE CONCURRENCIA - "MAPFRE EPS"</t>
  </si>
  <si>
    <t>PARIMANGO BELTRAN SANTOS ZACARIAS</t>
  </si>
  <si>
    <t>AAQkADdkNThjNzFkLWM0ZmMtNDJhYS04MDVlLTIwNzE4ZDI1Mzg4YgAQAIuel8eCPc9NjLGP8NUjEJM=</t>
  </si>
  <si>
    <t>VEGA GOMEZ JULIO CESAR -- SOLICITUD DE CONCURRENCIA - "MAPFRE EPS"</t>
  </si>
  <si>
    <t>VEGA GOMEZ JULIO CESAR</t>
  </si>
  <si>
    <t>PROCURACION</t>
  </si>
  <si>
    <t>AAQkADdkNThjNzFkLWM0ZmMtNDJhYS04MDVlLTIwNzE4ZDI1Mzg4YgAQAOisXnwCxr9EkPcVIyP3agc=</t>
  </si>
  <si>
    <t>MEDINA JIMENEZ BRAYAN SMIT -- SOLICITUD DE CONCURRENCIA - "MAPFRE EPS"</t>
  </si>
  <si>
    <t>MEDINA JIMENEZ BRAYAN SMIT</t>
  </si>
  <si>
    <t>AAQkADdkNThjNzFkLWM0ZmMtNDJhYS04MDVlLTIwNzE4ZDI1Mzg4YgAQAMKqcbjEdtRImCXXQIHiyxo=</t>
  </si>
  <si>
    <t>VENTOCILLA RODRIGUEZ WALTER GABRIEL -- SOLICITUD DE CONCURRENCIA - "MAPFRE EPS"</t>
  </si>
  <si>
    <t>VENTOCILLA RODRIGUEZ WALTER GABRIEL</t>
  </si>
  <si>
    <t>AAQkADdkNThjNzFkLWM0ZmMtNDJhYS04MDVlLTIwNzE4ZDI1Mzg4YgAQAJ1d13AJi0JJjf4S0SrYeeI=</t>
  </si>
  <si>
    <t>PADILLA CASAS JORGE LUIS -- SOLICITUD DE CONCURRENCIA - "MAPFRE EPS"</t>
  </si>
  <si>
    <t>PADILLA CASAS JORGE LUIS</t>
  </si>
  <si>
    <t>AAQkADdkNThjNzFkLWM0ZmMtNDJhYS04MDVlLTIwNzE4ZDI1Mzg4YgAQAFX_TBUCOpVNh1EkaGC_NJk=</t>
  </si>
  <si>
    <t>SANCHEZ HUANUCO JEAMPIERRE -- SOLICITUD DE CONCURRENCIA - "MAPFRE EPS"</t>
  </si>
  <si>
    <t>SANCHEZ HUANUCO JEAMPIERRE</t>
  </si>
  <si>
    <t>AAQkADdkNThjNzFkLWM0ZmMtNDJhYS04MDVlLTIwNzE4ZDI1Mzg4YgAQAOF4f254sLpPuF4GSsS3Slw=</t>
  </si>
  <si>
    <t>SANCHEZ AMORETTI JAIME AUGUSTO -- SOLICITUD DE CONCURRENCIA - "MAPFRE EPS"</t>
  </si>
  <si>
    <t>SANCHEZ AMORETTI JAIME AUGUSTO</t>
  </si>
  <si>
    <t>AAQkADdkNThjNzFkLWM0ZmMtNDJhYS04MDVlLTIwNzE4ZDI1Mzg4YgAQACggegcAW_FApPcoyxYuxh4=</t>
  </si>
  <si>
    <t>VEGA LARA MIGUEL ANGEL -- SOLICITUD DE CONCURRENCIA - "MAPFRE EPS"</t>
  </si>
  <si>
    <t>VEGA LARA MIGUEL ANGEL</t>
  </si>
  <si>
    <t>AAQkADdkNThjNzFkLWM0ZmMtNDJhYS04MDVlLTIwNzE4ZDI1Mzg4YgAQAMYLLUJQ9-dPv9vDnqKpOYY=</t>
  </si>
  <si>
    <t>CUBA ALVITES MIJAEL JEFFREY -- SOLICITUD DE CONCURRENCIA - "MAPFRE EPS"</t>
  </si>
  <si>
    <t>CUBA ALVITES MIJAEL JEFFREY</t>
  </si>
  <si>
    <t>AAQkADdkNThjNzFkLWM0ZmMtNDJhYS04MDVlLTIwNzE4ZDI1Mzg4YgAQANxvc8WFN1dEqQUZ5CylODY=</t>
  </si>
  <si>
    <t>CHOQUEMAQUI CHOQUEMAQUI EFRAN -- SOLICITUD DE CONCURRENCIA - "MAPFRE EPS"</t>
  </si>
  <si>
    <t>CHOQUEMAQUI CHOQUEMAQUI EFRAN</t>
  </si>
  <si>
    <t>AAQkADdkNThjNzFkLWM0ZmMtNDJhYS04MDVlLTIwNzE4ZDI1Mzg4YgAQAMrk67it09pErmKGQj7i15c=</t>
  </si>
  <si>
    <t>NORABUENA MATA AXEL EDWIN -- SOLICITUD DE CONCURRENCIA - "MAPFRE EPS"</t>
  </si>
  <si>
    <t>NORABUENA MATA AXEL EDWIN</t>
  </si>
  <si>
    <t>AAQkADdkNThjNzFkLWM0ZmMtNDJhYS04MDVlLTIwNzE4ZDI1Mzg4YgAQAJ6mGmPmVsZGqIsGD7NOJOc=</t>
  </si>
  <si>
    <t>BAJONERO LOPEZ CHEKELFORT HASLEF -- SOLICITUD DE CONCURRENCIA - "MAPFRE EPS"</t>
  </si>
  <si>
    <t>BAJONERO LOPEZ CHEKELFORT HASLEF</t>
  </si>
  <si>
    <t>AAQkADdkNThjNzFkLWM0ZmMtNDJhYS04MDVlLTIwNzE4ZDI1Mzg4YgAQAJpG464AzmtHimc9SeLwV70=</t>
  </si>
  <si>
    <t>CASTILLO PINEDO MIGUEL ANGEL -- SOLICITUD DE CONCURRENCIA - "MAPFRE EPS"</t>
  </si>
  <si>
    <t>CASTILLO PINEDO MIGUEL ANGEL</t>
  </si>
  <si>
    <t>AAQkADdkNThjNzFkLWM0ZmMtNDJhYS04MDVlLTIwNzE4ZDI1Mzg4YgAQAEfPFPIhfOlPrFkq763smjI=</t>
  </si>
  <si>
    <t>PAIMA NASHNATE ROBERT -- SOLICITUD DE CONCURRENCIA - "MAPFRE EPS"</t>
  </si>
  <si>
    <t>PAIMA NASHNATE ROBERT</t>
  </si>
  <si>
    <t>AAQkADdkNThjNzFkLWM0ZmMtNDJhYS04MDVlLTIwNzE4ZDI1Mzg4YgAQAHT2mBF7clhOtbbB8BqVPZM=</t>
  </si>
  <si>
    <t>OSTOS LLASHAG ALEJANDRO -- SOLICITUD DE CONCURRENCIA - "MAPFRE EPS"</t>
  </si>
  <si>
    <t>OSTOS LLASHAG ALEJANDRO</t>
  </si>
  <si>
    <t>AAQkADdkNThjNzFkLWM0ZmMtNDJhYS04MDVlLTIwNzE4ZDI1Mzg4YgAQAIXsNI4Q6mRPvl-sn4ozgBU=</t>
  </si>
  <si>
    <t>ROBLES USHIÑAHUA JIMMY RICHARD -- SOLICITUD DE CONCURRENCIA - "MAPFRE EPS"</t>
  </si>
  <si>
    <t>ROBLES USHIÑAHUA JIMMY RICHARD</t>
  </si>
  <si>
    <t>AAQkADdkNThjNzFkLWM0ZmMtNDJhYS04MDVlLTIwNzE4ZDI1Mzg4YgAQADCBVPzrK9BPmDzMeqzuOgU=</t>
  </si>
  <si>
    <t>BURGA CORTIJO ERIC OMAR -- SOLICITUD DE CONCURRENCIA - "MAPFRE EPS"</t>
  </si>
  <si>
    <t>BURGA CORTIJO ERIC OMAR</t>
  </si>
  <si>
    <t>AAQkADdkNThjNzFkLWM0ZmMtNDJhYS04MDVlLTIwNzE4ZDI1Mzg4YgAQAD1B1CKkJjpAm0oBvAeTukU=</t>
  </si>
  <si>
    <t>ALVAREZ JULCA ANIBAL -- SOLICITUD DE CONCURRENCIA - "MAPFRE EPS"</t>
  </si>
  <si>
    <t>ALVAREZ JULCA ANIBAL</t>
  </si>
  <si>
    <t>AAQkADdkNThjNzFkLWM0ZmMtNDJhYS04MDVlLTIwNzE4ZDI1Mzg4YgAQALU6W81NtBxMggNW8wOZV4I=</t>
  </si>
  <si>
    <t>HEREDIA QUIROZ CARLOS AUGUSTO -- SOLICITUD DE CONCURRENCIA - "MAPFRE EPS"</t>
  </si>
  <si>
    <t>HEREDIA QUIROZ CARLOS AUGUSTO</t>
  </si>
  <si>
    <t>AAQkADdkNThjNzFkLWM0ZmMtNDJhYS04MDVlLTIwNzE4ZDI1Mzg4YgAQAC1bXtTr9FJCgSyGE8c6mo8=</t>
  </si>
  <si>
    <t>DONGO CHURAMPI JHOSEP HAMILTON -- SOLICITUD DE CONCURRENCIA - "MAPFRE EPS"</t>
  </si>
  <si>
    <t>DONGO CHURAMPI JHOSEP HAMILTON</t>
  </si>
  <si>
    <t>AAQkADdkNThjNzFkLWM0ZmMtNDJhYS04MDVlLTIwNzE4ZDI1Mzg4YgAQAGKvMhTSaElCjdLGoVSq6Z8=</t>
  </si>
  <si>
    <t>QUISPE MORENO ROSISELA -- SOLICITUD DE CONCURRENCIA - "MAPFRE EPS"</t>
  </si>
  <si>
    <t>QUISPE MORENO ROSISELA</t>
  </si>
  <si>
    <t>AAQkADdkNThjNzFkLWM0ZmMtNDJhYS04MDVlLTIwNzE4ZDI1Mzg4YgAQAB1_M-5dBFpEvsEjosM5wsg=</t>
  </si>
  <si>
    <t>PORTELLA PIZARRO NILVER MORI -- SOLICITUD DE CONCURRENCIA - "MAPFRE EPS"</t>
  </si>
  <si>
    <t>PORTELLA PIZARRO NILVER MORI</t>
  </si>
  <si>
    <t>AAQkADdkNThjNzFkLWM0ZmMtNDJhYS04MDVlLTIwNzE4ZDI1Mzg4YgAQAGx79W3ih4tMgxKmzNsag4A=</t>
  </si>
  <si>
    <t>MENDOZA ZARATE JOSE JOEL -- SOLICITUD DE CONCURRENCIA - "MAPFRE EPS"</t>
  </si>
  <si>
    <t>MENDOZA ZARATE JOSE JOEL</t>
  </si>
  <si>
    <t>AAQkADdkNThjNzFkLWM0ZmMtNDJhYS04MDVlLTIwNzE4ZDI1Mzg4YgAQAMT4GMU7V49GqW5isfPXMnU=</t>
  </si>
  <si>
    <t>TTORUCO PAUCCAR YASSER BENITO -- SOLICITUD DE CONCURRENCIA - "MAPFRE EPS"</t>
  </si>
  <si>
    <t>TTORUCO PAUCCAR YASSER BENITO</t>
  </si>
  <si>
    <t>AAQkADdkNThjNzFkLWM0ZmMtNDJhYS04MDVlLTIwNzE4ZDI1Mzg4YgAQANhjtRR9lLJJvjH6kipvHcI=</t>
  </si>
  <si>
    <t>MURGA ORTIZ SEGUNDO MOISES -- SOLICITUD DE CONCURRENCIA - "MAPFRE EPS"</t>
  </si>
  <si>
    <t>MURGA ORTIZ SEGUNDO MOISES</t>
  </si>
  <si>
    <t>AAQkADdkNThjNzFkLWM0ZmMtNDJhYS04MDVlLTIwNzE4ZDI1Mzg4YgAQANAWalDxR6hCpcbNZVv6RzM=</t>
  </si>
  <si>
    <t>CONDOR ORE JEAN PIERRE -- SOLICITUD DE CONCURRENCIA - "MAPFRE EPS"</t>
  </si>
  <si>
    <t>CONDOR ORE JEAN PIERRE</t>
  </si>
  <si>
    <t>AAQkADdkNThjNzFkLWM0ZmMtNDJhYS04MDVlLTIwNzE4ZDI1Mzg4YgAQADNr3MEzd-VNlDyo61U8fC0=</t>
  </si>
  <si>
    <t>HERNANDEZ CALDERON JORGE DANIEL -- SOLICITUD DE CONCURRENCIA - "MAPFRE EPS"</t>
  </si>
  <si>
    <t>HERNANDEZ CALDERON JORGE DANIEL</t>
  </si>
  <si>
    <t>AAQkADdkNThjNzFkLWM0ZmMtNDJhYS04MDVlLTIwNzE4ZDI1Mzg4YgAQABOf6NkBG4ZGsEHoRAGU0Eo=</t>
  </si>
  <si>
    <t>ALAYO ROSALES JULIO CESAR -- SOLICITUD DE CONCURRENCIA - "MAPFRE EPS"</t>
  </si>
  <si>
    <t>ALAYO ROSALES JULIO CESAR</t>
  </si>
  <si>
    <t>AAQkADdkNThjNzFkLWM0ZmMtNDJhYS04MDVlLTIwNzE4ZDI1Mzg4YgAQANAiRHdZkLJAjtJbKHEwZOU=</t>
  </si>
  <si>
    <t>VILLALTA CAMPOS CHRISTIAN ALBERTO -- SOLICITUD DE CONCURRENCIA - "MAPFRE EPS"</t>
  </si>
  <si>
    <t>VILLALTA CAMPOS CHRISTIAN ALBERTO</t>
  </si>
  <si>
    <t>AAQkADdkNThjNzFkLWM0ZmMtNDJhYS04MDVlLTIwNzE4ZDI1Mzg4YgAQABD9P5zxV8RAgvM1C3K8tA4=</t>
  </si>
  <si>
    <t>FIGUEROA QUISPE JOSE SALOMON -- SOLICITUD DE CONCURRENCIA - "MAPFRE EPS"</t>
  </si>
  <si>
    <t>FIGUEROA QUISPE JOSE SALOMON</t>
  </si>
  <si>
    <t>AAQkADdkNThjNzFkLWM0ZmMtNDJhYS04MDVlLTIwNzE4ZDI1Mzg4YgAQAK6mtkxg1npIoT18OCCZfL8=</t>
  </si>
  <si>
    <t>DIAZ AGUILAR AARON RAFAEL -- SOLICITUD DE CONCURRENCIA - "MAPFRE EPS"</t>
  </si>
  <si>
    <t>DIAZ AGUILAR AARON RAFAEL</t>
  </si>
  <si>
    <t>SCTR Salud</t>
  </si>
  <si>
    <t>AAQkADdkNThjNzFkLWM0ZmMtNDJhYS04MDVlLTIwNzE4ZDI1Mzg4YgAQAAn-DMmJe5RNtSwrorlITDk=</t>
  </si>
  <si>
    <t>PROCURADOR SCTR / CASO: 88950277</t>
  </si>
  <si>
    <t>Central</t>
  </si>
  <si>
    <t>AAQkADdkNThjNzFkLWM0ZmMtNDJhYS04MDVlLTIwNzE4ZDI1Mzg4YgAQAK488jlpK_xJvrufBkjxRX4=</t>
  </si>
  <si>
    <t>HUANCASACA LOAYZA JAIRO MAX -- SOLICITUD DE CONCURRENCIA - "MAPFRE EPS"</t>
  </si>
  <si>
    <t>HUANCASACA LOAYZA JAIRO MAX</t>
  </si>
  <si>
    <t>AAQkADdkNThjNzFkLWM0ZmMtNDJhYS04MDVlLTIwNzE4ZDI1Mzg4YgAQAJaMb3aXKgtNoMdMFrlmeAU=</t>
  </si>
  <si>
    <t>GARCIA AVILA JOSE DAVID -- SOLICITUD DE CONCURRENCIA - "MAPFRE EPS"</t>
  </si>
  <si>
    <t>GARCIA AVILA JOSE DAVID</t>
  </si>
  <si>
    <t>AAQkADdkNThjNzFkLWM0ZmMtNDJhYS04MDVlLTIwNzE4ZDI1Mzg4YgAQAKnaO3RF1PRKhYtCQ0ljX74=</t>
  </si>
  <si>
    <t>BELLODAS GALVEZ ELISBETH KARINA -- SOLICITUD DE CONCURRENCIA - "MAPFRE EPS"</t>
  </si>
  <si>
    <t>BELLODAS GALVEZ ELISBETH KARINA</t>
  </si>
  <si>
    <t>AAQkADdkNThjNzFkLWM0ZmMtNDJhYS04MDVlLTIwNzE4ZDI1Mzg4YgAQANKHTb8_abhCrpOFzxmLodE=</t>
  </si>
  <si>
    <t>SALAZAR VALDIVIA LUDWIN DUBERLY -- SOLICITUD DE CONCURRENCIA - "MAPFRE EPS"</t>
  </si>
  <si>
    <t>SALAZAR VALDIVIA LUDWIN DUBERLY</t>
  </si>
  <si>
    <t>AAQkADdkNThjNzFkLWM0ZmMtNDJhYS04MDVlLTIwNzE4ZDI1Mzg4YgAQAMxKw_OZEjNIr3-a12PIRYw=</t>
  </si>
  <si>
    <t>PROCURADOR SCTR / CASO: 88954311</t>
  </si>
  <si>
    <t>AAQkADdkNThjNzFkLWM0ZmMtNDJhYS04MDVlLTIwNzE4ZDI1Mzg4YgAQAARCZpn25QJOrXlyirYz6ys=</t>
  </si>
  <si>
    <t>ORTIZ MONTOYA JERSON HERNAN -- SOLICITUD DE CONCURRENCIA - "MAPFRE EPS"</t>
  </si>
  <si>
    <t>ORTIZ MONTOYA JERSON HERNAN</t>
  </si>
  <si>
    <t>AAQkADdkNThjNzFkLWM0ZmMtNDJhYS04MDVlLTIwNzE4ZDI1Mzg4YgAQAOrEeiXa9QhKl-qDNde21AQ=</t>
  </si>
  <si>
    <t>OLORTEGUI CUNEO JOSE ALEJANDRO -- SOLICITUD DE CONCURRENCIA - "MAPFRE EPS"</t>
  </si>
  <si>
    <t>OLORTEGUI CUNEO JOSE ALEJANDRO</t>
  </si>
  <si>
    <t>AAQkADdkNThjNzFkLWM0ZmMtNDJhYS04MDVlLTIwNzE4ZDI1Mzg4YgAQACFpvPqTGZxGhpJ-w5cYoOQ=</t>
  </si>
  <si>
    <t>VARGAS GONZALES RONALD SMITH -- SOLICITUD DE CONCURRENCIA - "MAPFRE EPS"</t>
  </si>
  <si>
    <t>VARGAS GONZALES RONALD SMITH</t>
  </si>
  <si>
    <t>AAQkADdkNThjNzFkLWM0ZmMtNDJhYS04MDVlLTIwNzE4ZDI1Mzg4YgAQAMcHrpGGK11LsIdKWd0bJt4=</t>
  </si>
  <si>
    <t>PROCURADOR SCTR - Caso  88955543</t>
  </si>
  <si>
    <t>AAQkADdkNThjNzFkLWM0ZmMtNDJhYS04MDVlLTIwNzE4ZDI1Mzg4YgAQALE0t3pCVKBAoAu2FucLApg=</t>
  </si>
  <si>
    <t>LOLI SALAS FRANCESCA DOMENICA -- SOLICITUD DE CONCURRENCIA - "MAPFRE EPS"</t>
  </si>
  <si>
    <t>LOLI SALAS FRANCESCA DOMENICA</t>
  </si>
  <si>
    <t>AAQkADdkNThjNzFkLWM0ZmMtNDJhYS04MDVlLTIwNzE4ZDI1Mzg4YgAQANUsUB8DG1BAs6lICjyBZm8=</t>
  </si>
  <si>
    <t>PROCURADOR SCTR - CASO: 88809468</t>
  </si>
  <si>
    <t>AAQkADdkNThjNzFkLWM0ZmMtNDJhYS04MDVlLTIwNzE4ZDI1Mzg4YgAQABAz11YB2xFPm23Gple8RQc=</t>
  </si>
  <si>
    <t>LEONARDO DURAND EMERSON DONATO -- SOLICITUD DE CONCURRENCIA - "MAPFRE EPS"</t>
  </si>
  <si>
    <t>LEONARDO DURAND EMERSON DONATO</t>
  </si>
  <si>
    <t>AAQkADdkNThjNzFkLWM0ZmMtNDJhYS04MDVlLTIwNzE4ZDI1Mzg4YgAQABsr9-PyECZGvkeSWmWpsjs=</t>
  </si>
  <si>
    <t>LOPEZ GOICOCHEA NILO -- SOLICITUD DE CONCURRENCIA - "MAPFRE EPS"</t>
  </si>
  <si>
    <t>LOPEZ GOICOCHEA NILO</t>
  </si>
  <si>
    <t>AAQkADdkNThjNzFkLWM0ZmMtNDJhYS04MDVlLTIwNzE4ZDI1Mzg4YgAQAF-1qikxo-lJrgb24LHpSf4=</t>
  </si>
  <si>
    <t>PISCO CAMACHO JETLI -- SOLICITUD DE CONCURRENCIA - "MAPFRE EPS"</t>
  </si>
  <si>
    <t>PISCO CAMACHO JETLI</t>
  </si>
  <si>
    <t>AAQkADdkNThjNzFkLWM0ZmMtNDJhYS04MDVlLTIwNzE4ZDI1Mzg4YgAQANYwqiJr5TZLiBDufMTMqaI=</t>
  </si>
  <si>
    <t>VARGAS CORNEJO MARCO ANTONIO -- SOLICITUD DE CONCURRENCIA - "MAPFRE EPS"</t>
  </si>
  <si>
    <t>VARGAS CORNEJO MARCO ANTONIO</t>
  </si>
  <si>
    <t>AAQkADdkNThjNzFkLWM0ZmMtNDJhYS04MDVlLTIwNzE4ZDI1Mzg4YgAQAFbWs1JdOPdBgyPrDfMTTzw=</t>
  </si>
  <si>
    <t>ZUÑIGA ESCALA ALFONSO ORLANDO -- SOLICITUD DE CONCURRENCIA - "MAPFRE EPS"</t>
  </si>
  <si>
    <t>ZUÑIGA ESCALA ALFONSO ORLANDO</t>
  </si>
  <si>
    <t>AAQkADdkNThjNzFkLWM0ZmMtNDJhYS04MDVlLTIwNzE4ZDI1Mzg4YgAQAF7aDfXddgJLiAys-mWDw4s=</t>
  </si>
  <si>
    <t>PACHECO CUYA RENATO RICARDO -- SOLICITUD DE CONCURRENCIA - "MAPFRE EPS"</t>
  </si>
  <si>
    <t>PACHECO CUYA RENATO RICARDO</t>
  </si>
  <si>
    <t>AAQkADdkNThjNzFkLWM0ZmMtNDJhYS04MDVlLTIwNzE4ZDI1Mzg4YgAQAPisD6sQbCBIntuvWW3ZzI0=</t>
  </si>
  <si>
    <t>PAYANO RAMIREZ JHOSIMAR CRISTHIAN -- SOLICITUD DE CONCURRENCIA - "MAPFRE EPS"</t>
  </si>
  <si>
    <t>PAYANO RAMIREZ JHOSIMAR CRISTHIAN</t>
  </si>
  <si>
    <t>AAQkADdkNThjNzFkLWM0ZmMtNDJhYS04MDVlLTIwNzE4ZDI1Mzg4YgAQAFHvS4VByrRFsE07SquyBlY=</t>
  </si>
  <si>
    <t>FARIAS MEDINA EDE  BENITO -- SOLICITUD DE CONCURRENCIA - "MAPFRE EPS"</t>
  </si>
  <si>
    <t>FARIAS MEDINA EDE BENITO</t>
  </si>
  <si>
    <t>AAQkADdkNThjNzFkLWM0ZmMtNDJhYS04MDVlLTIwNzE4ZDI1Mzg4YgAQAOnQJn8RlodDjE2-iIxh_C8=</t>
  </si>
  <si>
    <t>AAQkADdkNThjNzFkLWM0ZmMtNDJhYS04MDVlLTIwNzE4ZDI1Mzg4YgAQAKYZmmZ9weVKmZMhZHiwoAY=</t>
  </si>
  <si>
    <t>CARLOS CHAMORRO ROMERO -- SOLICITUD DE CONCURRENCIA - "MAPFRE EPS"</t>
  </si>
  <si>
    <t>CARLOS CHAMORRO ROMERO</t>
  </si>
  <si>
    <t>AAQkADdkNThjNzFkLWM0ZmMtNDJhYS04MDVlLTIwNzE4ZDI1Mzg4YgAQACrsxJdIsz9PsyHA9fU9ZGQ=</t>
  </si>
  <si>
    <t>GIRALDO POPAYAN JUAN JOSE -- SOLICITUD DE CONCURRENCIA - "MAPFRE EPS"</t>
  </si>
  <si>
    <t>GIRALDO POPAYAN JUAN JOSE</t>
  </si>
  <si>
    <t>AAQkADdkNThjNzFkLWM0ZmMtNDJhYS04MDVlLTIwNzE4ZDI1Mzg4YgAQAErAjNlRSlZKuHGHygU6ino=</t>
  </si>
  <si>
    <t>COLLQUI MALDONADO KAREN ROSMERY -- SOLICITUD DE CONCURRENCIA - "MAPFRE EPS"</t>
  </si>
  <si>
    <t>COLLQUI MALDONADO KAREN ROSMERY</t>
  </si>
  <si>
    <t>AAQkADdkNThjNzFkLWM0ZmMtNDJhYS04MDVlLTIwNzE4ZDI1Mzg4YgAQAAgwOobKaKNNsqLZ5oxQKx0=</t>
  </si>
  <si>
    <t>ARELA RAMOS WALDIR -- SOLICITUD DE CONCURRENCIA - "MAPFRE EPS"</t>
  </si>
  <si>
    <t>ARELA RAMOS WALDIR</t>
  </si>
  <si>
    <t>AAQkADdkNThjNzFkLWM0ZmMtNDJhYS04MDVlLTIwNzE4ZDI1Mzg4YgAQAInH_1R1EsVBg4rC9_FJDzg=</t>
  </si>
  <si>
    <t>FERNANDEZ CHAVARRIA NINO -- SOLICITUD DE CONCURRENCIA - "MAPFRE EPS"</t>
  </si>
  <si>
    <t>FERNANDEZ CHAVARRIA NINO</t>
  </si>
  <si>
    <t>AAQkADdkNThjNzFkLWM0ZmMtNDJhYS04MDVlLTIwNzE4ZDI1Mzg4YgAQAKFdaSaGgBtKgeLLPTSsDyE=</t>
  </si>
  <si>
    <t>Procurador SCTR - Caso 88970654</t>
  </si>
  <si>
    <t>AAQkADdkNThjNzFkLWM0ZmMtNDJhYS04MDVlLTIwNzE4ZDI1Mzg4YgAQANLbDJun7vRCmOpMFwYKX8A=</t>
  </si>
  <si>
    <t>GONZALES PEDRAZA MARIO -- SOLICITUD DE CONCURRENCIA - "MAPFRE EPS"</t>
  </si>
  <si>
    <t>GONZALES PEDRAZA MARIO</t>
  </si>
  <si>
    <t>AAQkADdkNThjNzFkLWM0ZmMtNDJhYS04MDVlLTIwNzE4ZDI1Mzg4YgAQAE5_PIJYBKtFlLxFTS_EfQQ=</t>
  </si>
  <si>
    <t>PROCURADOR SCTR Caso  88978456</t>
  </si>
  <si>
    <t>AAQkADdkNThjNzFkLWM0ZmMtNDJhYS04MDVlLTIwNzE4ZDI1Mzg4YgAQANcRBmpHqm1Pqa3e23QKXgI=</t>
  </si>
  <si>
    <t>HERNANDEZ CHERO JUNIOR ALEXANDER -- SOLICITUD DE CONCURRENCIA - "MAPFRE EPS"</t>
  </si>
  <si>
    <t>HERNANDEZ CHERO JUNIOR ALEXANDER</t>
  </si>
  <si>
    <t>AAQkADdkNThjNzFkLWM0ZmMtNDJhYS04MDVlLTIwNzE4ZDI1Mzg4YgAQABw2GUnnPUNOoJxcbbWxLpI=</t>
  </si>
  <si>
    <t>DAMIAN FERROA ELMER JOHN -- SOLICITUD DE CONCURRENCIA - "MAPFRE EPS"</t>
  </si>
  <si>
    <t>DAMIAN FERROA ELMER JOHN</t>
  </si>
  <si>
    <t>AAQkADdkNThjNzFkLWM0ZmMtNDJhYS04MDVlLTIwNzE4ZDI1Mzg4YgAQAKlaD2Bsm1JBsZuklGuc_5s=</t>
  </si>
  <si>
    <t>DENNIS ESAU SOTO NIEVES -- SOLICITUD DE CONCURRENCIA - "MAPFRE EPS"</t>
  </si>
  <si>
    <t>DENNIS ESAU SOTO NIEVES</t>
  </si>
  <si>
    <t>AAQkADdkNThjNzFkLWM0ZmMtNDJhYS04MDVlLTIwNzE4ZDI1Mzg4YgAQAJFdo8jWEK1AnWNWLyfS6I8=</t>
  </si>
  <si>
    <t>GRIMALDO CHAYCHA VICTOR PEDRO -- SOLICITUD DE CONCURRENCIA - "MAPFRE EPS"</t>
  </si>
  <si>
    <t>GRIMALDO CHAYCHA VICTOR PEDRO</t>
  </si>
  <si>
    <t>AAQkADdkNThjNzFkLWM0ZmMtNDJhYS04MDVlLTIwNzE4ZDI1Mzg4YgAQAJaho_T85tZMlJl-IHGYbVo=</t>
  </si>
  <si>
    <t>CABRERA CHANTA GIRIBERTO -- SOLICITUD DE CONCURRENCIA - "MAPFRE EPS"</t>
  </si>
  <si>
    <t>CABRERA CHANTA GIRIBERTO</t>
  </si>
  <si>
    <t>AAQkADdkNThjNzFkLWM0ZmMtNDJhYS04MDVlLTIwNzE4ZDI1Mzg4YgAQAON803Vt6ipBpyMwLCNj3zk=</t>
  </si>
  <si>
    <t>PROCURADOR SCTR / CASO: 88988204</t>
  </si>
  <si>
    <t>AAQkADdkNThjNzFkLWM0ZmMtNDJhYS04MDVlLTIwNzE4ZDI1Mzg4YgAQACHm3-11an1DlXyNfBtaFUg=</t>
  </si>
  <si>
    <t>TORNERO CORTEZ JUNIOR SILVESTRE -- SOLICITUD DE CONCURRENCIA - "MAPFRE EPS"</t>
  </si>
  <si>
    <t>TORNERO CORTEZ JUNIOR SILVESTRE</t>
  </si>
  <si>
    <t>AAQkADdkNThjNzFkLWM0ZmMtNDJhYS04MDVlLTIwNzE4ZDI1Mzg4YgAQAGBIEUHP_6JCiBnCXZTyLWQ=</t>
  </si>
  <si>
    <t>ABRAMONTE ARRUNATEGUI JAIME AUGUSTO -- SOLICITUD DE CONCURRENCIA - "MAPFRE EPS"</t>
  </si>
  <si>
    <t>ABRAMONTE ARRUNATEGUI JAIME AUGUSTO</t>
  </si>
  <si>
    <t>AAQkADdkNThjNzFkLWM0ZmMtNDJhYS04MDVlLTIwNzE4ZDI1Mzg4YgAQADkxA2yiv51Lgnnsp1motZs=</t>
  </si>
  <si>
    <t>MORI RODRIGUEZ GEORGINA BEBERLY -- SOLICITUD DE CONCURRENCIA - "MAPFRE EPS"</t>
  </si>
  <si>
    <t>MORI RODRIGUEZ GEORGINA BEBERLY</t>
  </si>
  <si>
    <t>AAQkADdkNThjNzFkLWM0ZmMtNDJhYS04MDVlLTIwNzE4ZDI1Mzg4YgAQAFYpflOcCKBFmtIQ48YF5VY=</t>
  </si>
  <si>
    <t>PROCURADOR SCTR // CASO 88991261</t>
  </si>
  <si>
    <t>AAQkADdkNThjNzFkLWM0ZmMtNDJhYS04MDVlLTIwNzE4ZDI1Mzg4YgAQAEFq79-t_bdEgJsTlwT1rTU=</t>
  </si>
  <si>
    <t>PALOMARES ZAVALETA VICTOR HUGO -- SOLICITUD DE CONCURRENCIA - "MAPFRE EPS"</t>
  </si>
  <si>
    <t>PALOMARES ZAVALETA VICTOR HUGO</t>
  </si>
  <si>
    <t>AAQkADdkNThjNzFkLWM0ZmMtNDJhYS04MDVlLTIwNzE4ZDI1Mzg4YgAQADT25HWJrLJOlKWwaYiWMPY=</t>
  </si>
  <si>
    <t>ZAMALLOA PATIÑO YENS RUDIGER -- SOLICITUD DE CONCURRENCIA - "MAPFRE EPS"</t>
  </si>
  <si>
    <t>ZAMALLOA PATIÑO YENS RUDIGER</t>
  </si>
  <si>
    <t>AAQkADdkNThjNzFkLWM0ZmMtNDJhYS04MDVlLTIwNzE4ZDI1Mzg4YgAQAHdfhlAVYA9Ao64xzA0n2qg=</t>
  </si>
  <si>
    <t>CARDENAS CRISPIN LESANDRO -- SOLICITUD DE CONCURRENCIA - "MAPFRE EPS"</t>
  </si>
  <si>
    <t>CARDENAS CRISPIN LESANDRO</t>
  </si>
  <si>
    <t>AAQkADdkNThjNzFkLWM0ZmMtNDJhYS04MDVlLTIwNzE4ZDI1Mzg4YgAQAM9lNwMLRSRJkpAVDM8Owno=</t>
  </si>
  <si>
    <t>FLORES ROMERO JOSE ANTONIO -- SOLICITUD DE CONCURRENCIA - "MAPFRE EPS"</t>
  </si>
  <si>
    <t>FLORES ROMERO JOSE ANTONIO</t>
  </si>
  <si>
    <t>AAQkADdkNThjNzFkLWM0ZmMtNDJhYS04MDVlLTIwNzE4ZDI1Mzg4YgAQANilpRMFGfdHp69qjdC7wM0=</t>
  </si>
  <si>
    <t>AAQkADdkNThjNzFkLWM0ZmMtNDJhYS04MDVlLTIwNzE4ZDI1Mzg4YgAQALoRbXjS81hCkmmpPY8-zto=</t>
  </si>
  <si>
    <t>OLIVA MORALES JONATHAN CRISTHIAN -- SOLICITUD DE CONCURRENCIA - "MAPFRE EPS"</t>
  </si>
  <si>
    <t>OLIVA MORALES JONATHAN CRISTHIAN</t>
  </si>
  <si>
    <t>AAQkADdkNThjNzFkLWM0ZmMtNDJhYS04MDVlLTIwNzE4ZDI1Mzg4YgAQAHkgYbCWVUJNnVGa4zdHKN4=</t>
  </si>
  <si>
    <t>GUARDADO CADENAS ORLANDO ANTONIO -- SOLICITUD DE CONCURRENCIA - "MAPFRE EPS"</t>
  </si>
  <si>
    <t>GUARDADO CADENAS ORLANDO ANTONIO</t>
  </si>
  <si>
    <t>AAQkADdkNThjNzFkLWM0ZmMtNDJhYS04MDVlLTIwNzE4ZDI1Mzg4YgAQAJgeoIyLX7BLqRGfuzY0vw0=</t>
  </si>
  <si>
    <t>NAVARRO MARTINEZ NEVER CHARLES -- SOLICITUD DE CONCURRENCIA - "MAPFRE EPS"</t>
  </si>
  <si>
    <t>NAVARRO MARTINEZ NEVER CHARLES</t>
  </si>
  <si>
    <t>AAQkADdkNThjNzFkLWM0ZmMtNDJhYS04MDVlLTIwNzE4ZDI1Mzg4YgAQAI1utFIZCSRMiXnAcr15of0=</t>
  </si>
  <si>
    <t>LAULATE CHANCHARI JORGE LUIS -- SOLICITUD DE CONCURRENCIA - "MAPFRE EPS"</t>
  </si>
  <si>
    <t>LAULATE CHANCHARI JORGE LUIS</t>
  </si>
  <si>
    <t>AAQkADdkNThjNzFkLWM0ZmMtNDJhYS04MDVlLTIwNzE4ZDI1Mzg4YgAQACiuTQcuT4BPtzgRQItYlls=</t>
  </si>
  <si>
    <t>VITIRI ROMERO SEGUNDO GERMAN -- SOLICITUD DE CONCURRENCIA - "MAPFRE EPS"</t>
  </si>
  <si>
    <t>VITIRI ROMERO SEGUNDO GERMAN</t>
  </si>
  <si>
    <t>AAQkADdkNThjNzFkLWM0ZmMtNDJhYS04MDVlLTIwNzE4ZDI1Mzg4YgAQAOMZG4w4EaREnKl5JJsZWSs=</t>
  </si>
  <si>
    <t>FIGUEROA VASQUEZ ANGELICA MARIA -- SOLICITUD DE CONCURRENCIA - "MAPFRE EPS"</t>
  </si>
  <si>
    <t>FIGUEROA VASQUEZ ANGELICA MARIA</t>
  </si>
  <si>
    <t>AAQkADdkNThjNzFkLWM0ZmMtNDJhYS04MDVlLTIwNzE4ZDI1Mzg4YgAQAI-e6XLGDjlChaA4Kqtoi-k=</t>
  </si>
  <si>
    <t>ROMERO FERNANDEZ CESAR ESWIN -- SOLICITUD DE CONCURRENCIA - "MAPFRE EPS"</t>
  </si>
  <si>
    <t>ROMERO FERNANDEZ CESAR ESWIN</t>
  </si>
  <si>
    <t>AAQkADdkNThjNzFkLWM0ZmMtNDJhYS04MDVlLTIwNzE4ZDI1Mzg4YgAQAD24lby20S5OpSFOUd0ivKY=</t>
  </si>
  <si>
    <t>TARAZONA RAMOS MANUEL -- SOLICITUD DE CONCURRENCIA - "MAPFRE EPS"</t>
  </si>
  <si>
    <t>TARAZONA RAMOS MANUEL</t>
  </si>
  <si>
    <t>AAQkADdkNThjNzFkLWM0ZmMtNDJhYS04MDVlLTIwNzE4ZDI1Mzg4YgAQANkBMsf-FY1Amrl5JV28DQY=</t>
  </si>
  <si>
    <t>URIBE CASAS CHRISTOPHER ULISES -- SOLICITUD DE CONCURRENCIA - "MAPFRE EPS"</t>
  </si>
  <si>
    <t>URIBE CASAS CHRISTOPHER ULISES</t>
  </si>
  <si>
    <t>AAQkADdkNThjNzFkLWM0ZmMtNDJhYS04MDVlLTIwNzE4ZDI1Mzg4YgAQAIvSQ-1syRtMgmlbrNSUkZE=</t>
  </si>
  <si>
    <t>VENTURA DIAZ ZEUS APOLO -- SOLICITUD DE CONCURRENCIA - "MAPFRE EPS"</t>
  </si>
  <si>
    <t>VENTURA DIAZ ZEUS APOLO</t>
  </si>
  <si>
    <t>AAQkADdkNThjNzFkLWM0ZmMtNDJhYS04MDVlLTIwNzE4ZDI1Mzg4YgAQAL0byS-whwNJmMuuEvCd0Js=</t>
  </si>
  <si>
    <t>HOSPINAL DONAYRE JOSE EMILIO -- SOLICITUD DE CONCURRENCIA - "MAPFRE EPS"</t>
  </si>
  <si>
    <t>HOSPINAL DONAYRE JOSE EMILIO</t>
  </si>
  <si>
    <t>AAQkADdkNThjNzFkLWM0ZmMtNDJhYS04MDVlLTIwNzE4ZDI1Mzg4YgAQAIs5EAo0zBZNt_oGbt03t7o=</t>
  </si>
  <si>
    <t>NUÑEZ PEÑA NEIL WILSON -- SOLICITUD DE CONCURRENCIA - "MAPFRE EPS"</t>
  </si>
  <si>
    <t>NUÑEZ PEÑA NEIL WILSON</t>
  </si>
  <si>
    <t>AAQkADdkNThjNzFkLWM0ZmMtNDJhYS04MDVlLTIwNzE4ZDI1Mzg4YgAQAJo75Wk0vIpIid8qnWZntcE=</t>
  </si>
  <si>
    <t>MARROU DIAZ BARBARA GEMA -- SOLICITUD DE CONCURRENCIA - "MAPFRE EPS"</t>
  </si>
  <si>
    <t>MARROU DIAZ BARBARA GEMA</t>
  </si>
  <si>
    <t>AAQkADdkNThjNzFkLWM0ZmMtNDJhYS04MDVlLTIwNzE4ZDI1Mzg4YgAQAJSMnlyqdopLv0mk51zWAng=</t>
  </si>
  <si>
    <t>CUADROS BAUTISTA RAUL DANIEL -- SOLICITUD DE CONCURRENCIA - "MAPFRE EPS"</t>
  </si>
  <si>
    <t>CUADROS BAUTISTA RAUL DANIEL</t>
  </si>
  <si>
    <t>AAQkADdkNThjNzFkLWM0ZmMtNDJhYS04MDVlLTIwNzE4ZDI1Mzg4YgAQAKoeZ9FJZsVEiysWx526WG0=</t>
  </si>
  <si>
    <t>PROCURADOR SCTR // CASO 89000108</t>
  </si>
  <si>
    <t>AAQkADdkNThjNzFkLWM0ZmMtNDJhYS04MDVlLTIwNzE4ZDI1Mzg4YgAQAGpujNdaFH1Kqze2IxdU6KY=</t>
  </si>
  <si>
    <t>PROCURADOR SCTR / CASO 89007043</t>
  </si>
  <si>
    <t>AAQkADdkNThjNzFkLWM0ZmMtNDJhYS04MDVlLTIwNzE4ZDI1Mzg4YgAQANw-WSsOFLdAhUKDCRStUIo=</t>
  </si>
  <si>
    <t>PONCE BARRUETA DELMER LUIS -- SOLICITUD DE CONCURRENCIA - "MAPFRE EPS"</t>
  </si>
  <si>
    <t>PONCE BARRUETA DELMER LUIS</t>
  </si>
  <si>
    <t>AAQkADdkNThjNzFkLWM0ZmMtNDJhYS04MDVlLTIwNzE4ZDI1Mzg4YgAQABOHYk48y65GksarjN-Zx7M=</t>
  </si>
  <si>
    <t>MARIÑOS RODRIGUEZ SEGUNDO -- SOLICITUD DE CONCURRENCIA - "MAPFRE EPS"</t>
  </si>
  <si>
    <t>MARIÑOS RODRIGUEZ SEGUNDO</t>
  </si>
  <si>
    <t>AAQkADdkNThjNzFkLWM0ZmMtNDJhYS04MDVlLTIwNzE4ZDI1Mzg4YgAQAPP0LSgbzJdLlEV4WZPryqM=</t>
  </si>
  <si>
    <t>PALOMINO MOYNA AGRIPINO GUILLERMO -- SOLICITUD DE CONCURRENCIA - "MAPFRE EPS"</t>
  </si>
  <si>
    <t>PALOMINO MOYNA AGRIPINO GUILLERMO</t>
  </si>
  <si>
    <t>AAQkADdkNThjNzFkLWM0ZmMtNDJhYS04MDVlLTIwNzE4ZDI1Mzg4YgAQABM-AG8frmJAh09hUYSLv30=</t>
  </si>
  <si>
    <t>HUANCA CONDORI AXEL JHEREMY -- SOLICITUD DE CONCURRENCIA - "MAPFRE EPS"</t>
  </si>
  <si>
    <t>HUANCA CONDORI AXEL JHEREMY</t>
  </si>
  <si>
    <t>AAQkADdkNThjNzFkLWM0ZmMtNDJhYS04MDVlLTIwNzE4ZDI1Mzg4YgAQAFaRA4eb0PpCkyOiMqNEWfE=</t>
  </si>
  <si>
    <t>GOMEZ ECHEVARRIA ISRAEL ELIAS -- SOLICITUD DE CONCURRENCIA - "MAPFRE EPS"</t>
  </si>
  <si>
    <t>GOMEZ ECHEVARRIA ISRAEL ELIAS</t>
  </si>
  <si>
    <t>AAQkADdkNThjNzFkLWM0ZmMtNDJhYS04MDVlLTIwNzE4ZDI1Mzg4YgAQADFgGr-59h1Jg1IWuf_v_6k=</t>
  </si>
  <si>
    <t>QUISPE AROTINCO LUIS -- SOLICITUD DE CONCURRENCIA - "MAPFRE EPS"</t>
  </si>
  <si>
    <t>QUISPE AROTINCO LUIS</t>
  </si>
  <si>
    <t>AAQkADdkNThjNzFkLWM0ZmMtNDJhYS04MDVlLTIwNzE4ZDI1Mzg4YgAQADESQQmkBglKomqdQpi9Rlw=</t>
  </si>
  <si>
    <t>GARCIA X ZULEINI CAROLINA -- SOLICITUD DE CONCURRENCIA - "MAPFRE EPS"</t>
  </si>
  <si>
    <t>GARCIA X ZULEINI CAROLINA</t>
  </si>
  <si>
    <t>AAQkADdkNThjNzFkLWM0ZmMtNDJhYS04MDVlLTIwNzE4ZDI1Mzg4YgAQABJHvDCSAbZNu72HObuOQzI=</t>
  </si>
  <si>
    <t>CCANCHILLO AHUANLLA JUVENAL -- SOLICITUD DE CONCURRENCIA - "MAPFRE EPS"</t>
  </si>
  <si>
    <t>CCANCHILLO AHUANLLA JUVENAL</t>
  </si>
  <si>
    <t>AAQkADdkNThjNzFkLWM0ZmMtNDJhYS04MDVlLTIwNzE4ZDI1Mzg4YgAQAHnurz87Au5LrZiNvgmelFk=</t>
  </si>
  <si>
    <t>MARTINEZ CARRASCO JULIO CESAR -- SOLICITUD DE CONCURRENCIA - "MAPFRE EPS"</t>
  </si>
  <si>
    <t>MARTINEZ CARRASCO JULIO CESAR</t>
  </si>
  <si>
    <t>AAQkADdkNThjNzFkLWM0ZmMtNDJhYS04MDVlLTIwNzE4ZDI1Mzg4YgAQAHb6T7rB5ddBpRkKjdH5CRc=</t>
  </si>
  <si>
    <t>GOMEZ PALMA RICARDO WALTHER -- SOLICITUD DE CONCURRENCIA - "MAPFRE EPS"</t>
  </si>
  <si>
    <t>GOMEZ PALMA RICARDO WALTHER</t>
  </si>
  <si>
    <t>AAQkADdkNThjNzFkLWM0ZmMtNDJhYS04MDVlLTIwNzE4ZDI1Mzg4YgAQAJR_0RWicrtNlwEOGGY_hOA=</t>
  </si>
  <si>
    <t>DIAZ CAMPOS INDALECIO -- SOLICITUD DE CONCURRENCIA - "MAPFRE EPS"</t>
  </si>
  <si>
    <t>DIAZ CAMPOS INDALECIO</t>
  </si>
  <si>
    <t>AAQkADdkNThjNzFkLWM0ZmMtNDJhYS04MDVlLTIwNzE4ZDI1Mzg4YgAQAMZsIeEXPDZGjMgAKaKY3Mo=</t>
  </si>
  <si>
    <t>VARE LOPEZ EUSEBIO GERMAN -- SOLICITUD DE CONCURRENCIA - "MAPFRE EPS"</t>
  </si>
  <si>
    <t>VARE LOPEZ EUSEBIO GERMAN</t>
  </si>
  <si>
    <t>AAQkADdkNThjNzFkLWM0ZmMtNDJhYS04MDVlLTIwNzE4ZDI1Mzg4YgAQAG7QiLX4zWBHvOr5uRZfdU8=</t>
  </si>
  <si>
    <t>OTAROLA CANCHARI CARLOS AUGUSTO -- SOLICITUD DE CONCURRENCIA - "MAPFRE EPS"</t>
  </si>
  <si>
    <t>OTAROLA CANCHARI CARLOS AUGUSTO</t>
  </si>
  <si>
    <t>AAQkADdkNThjNzFkLWM0ZmMtNDJhYS04MDVlLTIwNzE4ZDI1Mzg4YgAQAArYx20nRXBJhzLTKAPTOoM=</t>
  </si>
  <si>
    <t>SANCHEZ CHIROQUE CESAR DIEGO -- SOLICITUD DE CONCURRENCIA - "MAPFRE EPS"</t>
  </si>
  <si>
    <t>SANCHEZ CHIROQUE CESAR DIEGO</t>
  </si>
  <si>
    <t>AAQkADdkNThjNzFkLWM0ZmMtNDJhYS04MDVlLTIwNzE4ZDI1Mzg4YgAQAMkgDzhOeCxMh1F62vyyyD0=</t>
  </si>
  <si>
    <t>IZQUIERDO GALVAN PEDRO MANUEL -- SOLICITUD DE CONCURRENCIA - "MAPFRE EPS"</t>
  </si>
  <si>
    <t>IZQUIERDO GALVAN PEDRO MANUEL</t>
  </si>
  <si>
    <t>AAQkADdkNThjNzFkLWM0ZmMtNDJhYS04MDVlLTIwNzE4ZDI1Mzg4YgAQAHoAYDCDEiNGj1MkRDTWlp8=</t>
  </si>
  <si>
    <t>CUELA ASUERO DAVID JEREMIAS -- SOLICITUD DE CONCURRENCIA - "MAPFRE EPS"</t>
  </si>
  <si>
    <t>CUELA ASUERO DAVID JEREMIAS</t>
  </si>
  <si>
    <t>AAQkADdkNThjNzFkLWM0ZmMtNDJhYS04MDVlLTIwNzE4ZDI1Mzg4YgAQANqtsIVDvMpPvb5HQXuHNdA=</t>
  </si>
  <si>
    <t>BERROCAL ESPINOZA RICARDO CRISTOFER -- SOLICITUD DE CONCURRENCIA - "MAPFRE EPS"</t>
  </si>
  <si>
    <t>BERROCAL ESPINOZA RICARDO CRISTOFER</t>
  </si>
  <si>
    <t>AAQkADdkNThjNzFkLWM0ZmMtNDJhYS04MDVlLTIwNzE4ZDI1Mzg4YgAQAFGNOkElEipJvVjvkb_-J6k=</t>
  </si>
  <si>
    <t>POMA FLORES YELTSIN ANDREOTTI -- SOLICITUD DE CONCURRENCIA - "MAPFRE EPS"</t>
  </si>
  <si>
    <t>POMA FLORES YELTSIN ANDREOTTI</t>
  </si>
  <si>
    <t>AAQkADdkNThjNzFkLWM0ZmMtNDJhYS04MDVlLTIwNzE4ZDI1Mzg4YgAQAH0k6jThjABMpou_woGJjGY=</t>
  </si>
  <si>
    <t>BARRERA ORTEGA JEFERSON ABEL -- SOLICITUD DE CONCURRENCIA - "MAPFRE EPS"</t>
  </si>
  <si>
    <t>BARRERA ORTEGA JEFERSON ABEL</t>
  </si>
  <si>
    <t>AAQkADdkNThjNzFkLWM0ZmMtNDJhYS04MDVlLTIwNzE4ZDI1Mzg4YgAQAD46FQSoMpNKuoQrvsL_z98=</t>
  </si>
  <si>
    <t>LAZO QUISPE ARMANDO -- SOLICITUD DE CONCURRENCIA - "MAPFRE EPS"</t>
  </si>
  <si>
    <t>LAZO QUISPE ARMANDO</t>
  </si>
  <si>
    <t>AAQkADdkNThjNzFkLWM0ZmMtNDJhYS04MDVlLTIwNzE4ZDI1Mzg4YgAQAAoZQNt1s19JlPsQDTmiBVg=</t>
  </si>
  <si>
    <t>PIZARRO SUYON ROSA MARIA -- SOLICITUD DE CONCURRENCIA - "MAPFRE EPS"</t>
  </si>
  <si>
    <t>PIZARRO SUYON ROSA MARIA</t>
  </si>
  <si>
    <t>AAQkADdkNThjNzFkLWM0ZmMtNDJhYS04MDVlLTIwNzE4ZDI1Mzg4YgAQAET6-yCxiCRMn-qooeIX_ko=</t>
  </si>
  <si>
    <t>LLANCARE RAMIREZ RICHARD ALBERTO -- SOLICITUD DE CONCURRENCIA - "MAPFRE EPS"</t>
  </si>
  <si>
    <t>LLANCARE RAMIREZ RICHARD ALBERTO</t>
  </si>
  <si>
    <t>AAQkADdkNThjNzFkLWM0ZmMtNDJhYS04MDVlLTIwNzE4ZDI1Mzg4YgAQACdpulECmLhItvC-SqprsLg=</t>
  </si>
  <si>
    <t>CUETO QUISPE OSCAR EDUARDO -- SOLICITUD DE CONCURRENCIA - "MAPFRE EPS"</t>
  </si>
  <si>
    <t>CUETO QUISPE OSCAR EDUARDO</t>
  </si>
  <si>
    <t>AAQkADdkNThjNzFkLWM0ZmMtNDJhYS04MDVlLTIwNzE4ZDI1Mzg4YgAQAEWQnvUPSaJMtpqDDlzp5Ao=</t>
  </si>
  <si>
    <t>AAQkADdkNThjNzFkLWM0ZmMtNDJhYS04MDVlLTIwNzE4ZDI1Mzg4YgAQAHT2HaFhn7tGnynCWb7Ho8Q=</t>
  </si>
  <si>
    <t>XU XXXXXX QIFENG -- SOLICITUD DE CONCURRENCIA - "MAPFRE EPS"</t>
  </si>
  <si>
    <t>XU XXXXXX QIFENG</t>
  </si>
  <si>
    <t>AAQkADdkNThjNzFkLWM0ZmMtNDJhYS04MDVlLTIwNzE4ZDI1Mzg4YgAQAGU8_oPar_hErG1I4_6ke24=</t>
  </si>
  <si>
    <t>TASAYCO SANCHEZ JHONNATAN -- SOLICITUD DE CONCURRENCIA - "MAPFRE EPS"</t>
  </si>
  <si>
    <t>TASAYCO SANCHEZ JHONNATAN</t>
  </si>
  <si>
    <t>AAQkADdkNThjNzFkLWM0ZmMtNDJhYS04MDVlLTIwNzE4ZDI1Mzg4YgAQAKsIFqOCMsFCrbhm6EXcw7s=</t>
  </si>
  <si>
    <t>VILLARREYES ROJAS CALIXTO -- SOLICITUD DE CONCURRENCIA - "MAPFRE EPS"</t>
  </si>
  <si>
    <t>VILLARREYES ROJAS CALIXTO</t>
  </si>
  <si>
    <t>AAQkADdkNThjNzFkLWM0ZmMtNDJhYS04MDVlLTIwNzE4ZDI1Mzg4YgAQAMiNFDeMYLVEr8Q7j8nGNrU=</t>
  </si>
  <si>
    <t>CORONEL HUERTAS EDWIN SEGUNDO -- SOLICITUD DE CONCURRENCIA - "MAPFRE EPS"</t>
  </si>
  <si>
    <t>CORONEL HUERTAS EDWIN SEGUNDO</t>
  </si>
  <si>
    <t>AAQkADdkNThjNzFkLWM0ZmMtNDJhYS04MDVlLTIwNzE4ZDI1Mzg4YgAQAI-ErQ99G6pLmqaSFCPMk5c=</t>
  </si>
  <si>
    <t>BURGOS CALDERON CIRO KENEDY -- SOLICITUD DE CONCURRENCIA - "MAPFRE EPS"</t>
  </si>
  <si>
    <t>BURGOS CALDERON CIRO KENEDY</t>
  </si>
  <si>
    <t>AAQkADdkNThjNzFkLWM0ZmMtNDJhYS04MDVlLTIwNzE4ZDI1Mzg4YgAQANZTS4iieT1OstRcUf4c7fg=</t>
  </si>
  <si>
    <t>CAICEDO RONQUILLO ANDRES ANTONIO -- SOLICITUD DE CONCURRENCIA - "MAPFRE EPS"</t>
  </si>
  <si>
    <t>CAICEDO RONQUILLO ANDRES ANTONIO</t>
  </si>
  <si>
    <t>AAQkADdkNThjNzFkLWM0ZmMtNDJhYS04MDVlLTIwNzE4ZDI1Mzg4YgAQAFgOxw9q8n1KledT-5zbeTc=</t>
  </si>
  <si>
    <t>CUBEÑAS ROMERO JOSE LUIS -- SOLICITUD DE CONCURRENCIA - "MAPFRE EPS"</t>
  </si>
  <si>
    <t>CUBEÑAS ROMERO JOSE LUIS</t>
  </si>
  <si>
    <t>AAQkADdkNThjNzFkLWM0ZmMtNDJhYS04MDVlLTIwNzE4ZDI1Mzg4YgAQAItDOZPzrh1MqvsDxWR-jhE=</t>
  </si>
  <si>
    <t>SILVA RAMIREZ JUVER ROVENZON -- SOLICITUD DE CONCURRENCIA - "MAPFRE EPS"</t>
  </si>
  <si>
    <t>SILVA RAMIREZ JUVER ROVENZON</t>
  </si>
  <si>
    <t>AAQkADdkNThjNzFkLWM0ZmMtNDJhYS04MDVlLTIwNzE4ZDI1Mzg4YgAQAFX6c5azTAFMkDSVkJ_mQz4=</t>
  </si>
  <si>
    <t>URBIZAGASTEGUI MENDOZA ELISVAN PORFIDIO -- SOLICITUD DE CONCURRENCIA - "MAPFRE EPS"</t>
  </si>
  <si>
    <t>URBIZAGASTEGUI MENDOZA ELISVAN PORFIDIO</t>
  </si>
  <si>
    <t>AAQkADdkNThjNzFkLWM0ZmMtNDJhYS04MDVlLTIwNzE4ZDI1Mzg4YgAQAOnWUaWZd7hLpEvwK5LA-xQ=</t>
  </si>
  <si>
    <t>LAZARO VALLES FLORA YESENIA -- SOLICITUD DE CONCURRENCIA - "MAPFRE EPS"</t>
  </si>
  <si>
    <t>LAZARO VALLES FLORA YESENIA</t>
  </si>
  <si>
    <t>AAQkADdkNThjNzFkLWM0ZmMtNDJhYS04MDVlLTIwNzE4ZDI1Mzg4YgAQAGihs__zP-FOqPc7S820CEo=</t>
  </si>
  <si>
    <t>RETUERTO MENA JUVER GONZALO -- SOLICITUD DE CONCURRENCIA - "MAPFRE EPS"</t>
  </si>
  <si>
    <t>RETUERTO MENA JUVER GONZALO</t>
  </si>
  <si>
    <t>AAQkADdkNThjNzFkLWM0ZmMtNDJhYS04MDVlLTIwNzE4ZDI1Mzg4YgAQAJhGrP4EvbpMnmXCvMyjqrc=</t>
  </si>
  <si>
    <t>AAQkADdkNThjNzFkLWM0ZmMtNDJhYS04MDVlLTIwNzE4ZDI1Mzg4YgAQAC4vh1_dX6BCn9N9qHz0vAk=</t>
  </si>
  <si>
    <t>LARA ARBIZA JOSE ALBERTO -- SOLICITUD DE CONCURRENCIA - "MAPFRE EPS"</t>
  </si>
  <si>
    <t>LARA ARBIZA JOSE ALBERTO</t>
  </si>
  <si>
    <t>AAQkADdkNThjNzFkLWM0ZmMtNDJhYS04MDVlLTIwNzE4ZDI1Mzg4YgAQAFjuz9zr-F5BhJ9SWCp1COQ=</t>
  </si>
  <si>
    <t>DIAZ LAZARO WILBERTH SEBASTIAN -- SOLICITUD DE CONCURRENCIA - "MAPFRE EPS"</t>
  </si>
  <si>
    <t>DIAZ LAZARO WILBERTH SEBASTIAN</t>
  </si>
  <si>
    <t>AAQkADdkNThjNzFkLWM0ZmMtNDJhYS04MDVlLTIwNzE4ZDI1Mzg4YgAQAJG8Pyu86cpAjxVaoASeOos=</t>
  </si>
  <si>
    <t>ROJAS JULON WALTER -- SOLICITUD DE CONCURRENCIA - "MAPFRE EPS"</t>
  </si>
  <si>
    <t>ROJAS JULON WALTER</t>
  </si>
  <si>
    <t>AAQkADdkNThjNzFkLWM0ZmMtNDJhYS04MDVlLTIwNzE4ZDI1Mzg4YgAQABkL5tSvFMdEliXGt4B5Jec=</t>
  </si>
  <si>
    <t>LOMAS PUA GUSTAVO MIGUEL -- SOLICITUD DE CONCURRENCIA - "MAPFRE EPS"</t>
  </si>
  <si>
    <t>LOMAS PUA GUSTAVO MIGUEL</t>
  </si>
  <si>
    <t>AAQkADdkNThjNzFkLWM0ZmMtNDJhYS04MDVlLTIwNzE4ZDI1Mzg4YgAQAI9TbK95qTFEjQJC7eOG3e4=</t>
  </si>
  <si>
    <t>HERNANDEZ FLORES VICTOR ALFONSO -- SOLICITUD DE CONCURRENCIA - "MAPFRE EPS"</t>
  </si>
  <si>
    <t>HERNANDEZ FLORES VICTOR ALFONSO</t>
  </si>
  <si>
    <t>AAQkADdkNThjNzFkLWM0ZmMtNDJhYS04MDVlLTIwNzE4ZDI1Mzg4YgAQAIhXgls5yuxKrlJpxRU9jcI=</t>
  </si>
  <si>
    <t>VENTURO ESPINOZA ROBER MIJAIL -- SOLICITUD DE CONCURRENCIA - "MAPFRE EPS"</t>
  </si>
  <si>
    <t>VENTURO ESPINOZA ROBER MIJAIL</t>
  </si>
  <si>
    <t>AAQkADdkNThjNzFkLWM0ZmMtNDJhYS04MDVlLTIwNzE4ZDI1Mzg4YgAQALN7ipXCvbNCnwqleyrxnLA=</t>
  </si>
  <si>
    <t>ORTIZ BRAVO MANUEL ENRIQUE -- SOLICITUD DE CONCURRENCIA - "MAPFRE EPS"</t>
  </si>
  <si>
    <t>ORTIZ BRAVO MANUEL ENRIQUE</t>
  </si>
  <si>
    <t>AAQkADdkNThjNzFkLWM0ZmMtNDJhYS04MDVlLTIwNzE4ZDI1Mzg4YgAQAFS8kQhPR31GtI1zPGTMvBg=</t>
  </si>
  <si>
    <t>PROCURADOR SCTR - Caso  89044704</t>
  </si>
  <si>
    <t>AAQkADdkNThjNzFkLWM0ZmMtNDJhYS04MDVlLTIwNzE4ZDI1Mzg4YgAQAIFl4HxOps5BtF0tS3WxN1g=</t>
  </si>
  <si>
    <t>VALVERDE MALASQUEZ ENRIQUE ISMAEL -- SOLICITUD DE CONCURRENCIA - "MAPFRE EPS"</t>
  </si>
  <si>
    <t>VALVERDE MALASQUEZ ENRIQUE ISMAEL</t>
  </si>
  <si>
    <t>AAQkADdkNThjNzFkLWM0ZmMtNDJhYS04MDVlLTIwNzE4ZDI1Mzg4YgAQAFIFciPJ9o1Il4dQNiTGZSM=</t>
  </si>
  <si>
    <t>VASQUEZ SALCEDO SEGUNDO JEANPIERE -- SOLICITUD DE CONCURRENCIA - "MAPFRE EPS"</t>
  </si>
  <si>
    <t>VASQUEZ SALCEDO SEGUNDO JEANPIERE</t>
  </si>
  <si>
    <t>AAQkADdkNThjNzFkLWM0ZmMtNDJhYS04MDVlLTIwNzE4ZDI1Mzg4YgAQAL5VXExf3oNFh2_ZL1GO29c=</t>
  </si>
  <si>
    <t>TORRES DELGADO LUIS MANUEL -- SOLICITUD DE CONCURRENCIA - "MAPFRE EPS"</t>
  </si>
  <si>
    <t>TORRES DELGADO LUIS MANUEL</t>
  </si>
  <si>
    <t>AAQkADdkNThjNzFkLWM0ZmMtNDJhYS04MDVlLTIwNzE4ZDI1Mzg4YgAQAJwkIZplZUBMtInIF_UWANM=</t>
  </si>
  <si>
    <t>TALEXIO SAAVEDRA EDWIN -- SOLICITUD DE CONCURRENCIA - "MAPFRE EPS"</t>
  </si>
  <si>
    <t>TALEXIO SAAVEDRA EDWIN</t>
  </si>
  <si>
    <t>AAQkADdkNThjNzFkLWM0ZmMtNDJhYS04MDVlLTIwNzE4ZDI1Mzg4YgAQACOSSHcDfsFBoq0jeAOiDV4=</t>
  </si>
  <si>
    <t>CACERES CASTILLO ALEX JAVIER -- SOLICITUD DE CONCURRENCIA - "MAPFRE EPS"</t>
  </si>
  <si>
    <t>CACERES CASTILLO ALEX JAVIER</t>
  </si>
  <si>
    <t>AAQkADdkNThjNzFkLWM0ZmMtNDJhYS04MDVlLTIwNzE4ZDI1Mzg4YgAQAD-gAgR9YSFJnQf_vHOawSk=</t>
  </si>
  <si>
    <t>LIMACO LEON IMER -- SOLICITUD DE CONCURRENCIA - "MAPFRE EPS"</t>
  </si>
  <si>
    <t>LIMACO LEON IMER</t>
  </si>
  <si>
    <t>AAQkADdkNThjNzFkLWM0ZmMtNDJhYS04MDVlLTIwNzE4ZDI1Mzg4YgAQAGPyDqb33-1El1E3frzu94g=</t>
  </si>
  <si>
    <t>ROJAS DAVILA DARWIN WILLIAM -- SOLICITUD DE CONCURRENCIA - "MAPFRE EPS"</t>
  </si>
  <si>
    <t>ROJAS DAVILA DARWIN WILLIAM</t>
  </si>
  <si>
    <t>AAQkADdkNThjNzFkLWM0ZmMtNDJhYS04MDVlLTIwNzE4ZDI1Mzg4YgAQAIyx1bDFAlNLskrJ4-XAZBY=</t>
  </si>
  <si>
    <t>PROCURADOR SCTR Caso  89059867</t>
  </si>
  <si>
    <t>AAQkADdkNThjNzFkLWM0ZmMtNDJhYS04MDVlLTIwNzE4ZDI1Mzg4YgAQAOO7pAC2t8tIg8fbouOamfQ=</t>
  </si>
  <si>
    <t>AAQkADdkNThjNzFkLWM0ZmMtNDJhYS04MDVlLTIwNzE4ZDI1Mzg4YgAQAOIYp8DzfDZAt32cIFECmwc=</t>
  </si>
  <si>
    <t>GAMBOA FLORES JAN CARLOS -- SOLICITUD DE CONCURRENCIA - "MAPFRE EPS"</t>
  </si>
  <si>
    <t>GAMBOA FLORES JAN CARLOS</t>
  </si>
  <si>
    <t>AAQkADdkNThjNzFkLWM0ZmMtNDJhYS04MDVlLTIwNzE4ZDI1Mzg4YgAQAIVl2_s-m-5Ou39ee7LQDDY=</t>
  </si>
  <si>
    <t>PROCURADOR SCTR Caso  89063117</t>
  </si>
  <si>
    <t>AAQkADdkNThjNzFkLWM0ZmMtNDJhYS04MDVlLTIwNzE4ZDI1Mzg4YgAQAHMlXiX_o5dJkMYIi7bM7XQ=</t>
  </si>
  <si>
    <t>SAAVEDRA SANCHEZ MARIO EMILIO -- SOLICITUD DE CONCURRENCIA - "MAPFRE EPS"</t>
  </si>
  <si>
    <t>SAAVEDRA SANCHEZ MARIO EMILIO</t>
  </si>
  <si>
    <t>AAQkADdkNThjNzFkLWM0ZmMtNDJhYS04MDVlLTIwNzE4ZDI1Mzg4YgAQACffSLs76KBNluZuQaZjgXk=</t>
  </si>
  <si>
    <t>HEREDIA MARQUEZ JOHN CHRISTIAN -- SOLICITUD DE CONCURRENCIA - "MAPFRE EPS"</t>
  </si>
  <si>
    <t>HEREDIA MARQUEZ JOHN CHRISTIAN</t>
  </si>
  <si>
    <t>AAQkADdkNThjNzFkLWM0ZmMtNDJhYS04MDVlLTIwNzE4ZDI1Mzg4YgAQAJoQAA7YCgpEsQnC8crt-C0=</t>
  </si>
  <si>
    <t>CÓRDOVA MATIENZO, JAIR ALEJANDRO -- SOLICITUD DE CONCURRENCIA - "MAPFRE EPS"</t>
  </si>
  <si>
    <t>CÓRDOVA MATIENZO, JAIR ALEJANDRO</t>
  </si>
  <si>
    <t>AAQkADdkNThjNzFkLWM0ZmMtNDJhYS04MDVlLTIwNzE4ZDI1Mzg4YgAQALeFlzGb6JlDinT1-4QdMqw=</t>
  </si>
  <si>
    <t>LEZAMETA SANCHEZ YEDER ALIVERT -- SOLICITUD DE CONCURRENCIA - "MAPFRE EPS"</t>
  </si>
  <si>
    <t>LEZAMETA SANCHEZ YEDER ALIVERT</t>
  </si>
  <si>
    <t>AAQkADdkNThjNzFkLWM0ZmMtNDJhYS04MDVlLTIwNzE4ZDI1Mzg4YgAQAB9QBFhnIqhEiCVDsi5I5kY=</t>
  </si>
  <si>
    <t>Procurador SCTR -  Caso 89069793</t>
  </si>
  <si>
    <t>AAQkADdkNThjNzFkLWM0ZmMtNDJhYS04MDVlLTIwNzE4ZDI1Mzg4YgAQAGdu7V_1yVFMnJq7Y-k25Iw=</t>
  </si>
  <si>
    <t>HILARIO CONDEMARIN MARTIN DAVID -- SOLICITUD DE CONCURRENCIA - "MAPFRE EPS"</t>
  </si>
  <si>
    <t>HILARIO CONDEMARIN MARTIN DAVID</t>
  </si>
  <si>
    <t>AAQkADdkNThjNzFkLWM0ZmMtNDJhYS04MDVlLTIwNzE4ZDI1Mzg4YgAQAB9W7fVIRP5MgrE64b_JKo0=</t>
  </si>
  <si>
    <t>NOLASCO ESPINOZA WILFREDO -- SOLICITUD DE CONCURRENCIA - "MAPFRE EPS"</t>
  </si>
  <si>
    <t>NOLASCO ESPINOZA WILFREDO</t>
  </si>
  <si>
    <t>AAQkADdkNThjNzFkLWM0ZmMtNDJhYS04MDVlLTIwNzE4ZDI1Mzg4YgAQAHD3vvlBpyRFiIZWZi8qGts=</t>
  </si>
  <si>
    <t>BENITES CHAMBA ALBERTO MIGUEL -- SOLICITUD DE CONCURRENCIA - "MAPFRE EPS"</t>
  </si>
  <si>
    <t>BENITES CHAMBA ALBERTO MIGUEL</t>
  </si>
  <si>
    <t>AAQkADdkNThjNzFkLWM0ZmMtNDJhYS04MDVlLTIwNzE4ZDI1Mzg4YgAQAO8o9yDmnwpNrNtFPo7b1zc=</t>
  </si>
  <si>
    <t>TAMANI IHUARAQUI FRANCISCO -- SOLICITUD DE CONCURRENCIA - "MAPFRE EPS"</t>
  </si>
  <si>
    <t>TAMANI IHUARAQUI FRANCISCO</t>
  </si>
  <si>
    <t>AAQkADdkNThjNzFkLWM0ZmMtNDJhYS04MDVlLTIwNzE4ZDI1Mzg4YgAQANJxkQWItOVKq-VNla9yi-c=</t>
  </si>
  <si>
    <t>PALOMINO ASPARRIN JHONATAN HERSCHEL -- SOLICITUD DE CONCURRENCIA - "MAPFRE EPS"</t>
  </si>
  <si>
    <t>PALOMINO ASPARRIN JHONATAN HERSCHEL</t>
  </si>
  <si>
    <t>AAQkADdkNThjNzFkLWM0ZmMtNDJhYS04MDVlLTIwNzE4ZDI1Mzg4YgAQAE82OgdjSoRCvJw3sFfZEzs=</t>
  </si>
  <si>
    <t>AAQkADdkNThjNzFkLWM0ZmMtNDJhYS04MDVlLTIwNzE4ZDI1Mzg4YgAQAKeksgRvfrZAs4Mn1rcuDVU=</t>
  </si>
  <si>
    <t>PROCURADOR SCTR 89071369</t>
  </si>
  <si>
    <t>AAQkADdkNThjNzFkLWM0ZmMtNDJhYS04MDVlLTIwNzE4ZDI1Mzg4YgAQAI5Sj9-ONq1ChYRvfx35k_4=</t>
  </si>
  <si>
    <t>RIOS JIMENEZ YENY JUANA -- SOLICITUD DE CONCURRENCIA - "MAPFRE EPS"</t>
  </si>
  <si>
    <t>RIOS JIMENEZ YENY JUANA</t>
  </si>
  <si>
    <t>AAQkADdkNThjNzFkLWM0ZmMtNDJhYS04MDVlLTIwNzE4ZDI1Mzg4YgAQAGokzPyJuNdAi8tFKWJgchY=</t>
  </si>
  <si>
    <t>OSCCO HUAMAN MARCO ANTONIO -- SOLICITUD DE CONCURRENCIA - "MAPFRE EPS"</t>
  </si>
  <si>
    <t>OSCCO HUAMAN MARCO ANTONIO</t>
  </si>
  <si>
    <t>AAQkADdkNThjNzFkLWM0ZmMtNDJhYS04MDVlLTIwNzE4ZDI1Mzg4YgAQACPKJcmJ_hxPkRxItlTij1k=</t>
  </si>
  <si>
    <t>PROCURADOR SCTR Caso  89075837</t>
  </si>
  <si>
    <t>AAQkADdkNThjNzFkLWM0ZmMtNDJhYS04MDVlLTIwNzE4ZDI1Mzg4YgAQAN4HAUTaoGVDnUlZh9xAjGg=</t>
  </si>
  <si>
    <t>HERNANDEZ RONDON MOISES DE JESUS -- SOLICITUD DE CONCURRENCIA - "MAPFRE EPS"</t>
  </si>
  <si>
    <t>HERNANDEZ RONDON MOISES DE JESUS</t>
  </si>
  <si>
    <t>AAQkADdkNThjNzFkLWM0ZmMtNDJhYS04MDVlLTIwNzE4ZDI1Mzg4YgAQAJIFe0UO4RFJk7IyLLx7Ggg=</t>
  </si>
  <si>
    <t>FERNANDEZ CHAVEZ WILIAN -- SOLICITUD DE CONCURRENCIA - "MAPFRE EPS"</t>
  </si>
  <si>
    <t>FERNANDEZ CHAVEZ WILIAN</t>
  </si>
  <si>
    <t>AAQkADdkNThjNzFkLWM0ZmMtNDJhYS04MDVlLTIwNzE4ZDI1Mzg4YgAQADLlCEc8_1hKkGPJo2NUdCY=</t>
  </si>
  <si>
    <t>LOZANO CHAVARRIA LEONARDO JEREMY -- SOLICITUD DE CONCURRENCIA - "MAPFRE EPS"</t>
  </si>
  <si>
    <t>LOZANO CHAVARRIA LEONARDO JEREMY</t>
  </si>
  <si>
    <t>AAQkADdkNThjNzFkLWM0ZmMtNDJhYS04MDVlLTIwNzE4ZDI1Mzg4YgAQAFYPBp9HpfZBhWKrOK0eX-I=</t>
  </si>
  <si>
    <t>AAQkADdkNThjNzFkLWM0ZmMtNDJhYS04MDVlLTIwNzE4ZDI1Mzg4YgAQADOtV6ycp65NpzoZ3B1AYqQ=</t>
  </si>
  <si>
    <t>CHUQUIHUANGA SALVADOR LEODAN -- SOLICITUD DE CONCURRENCIA - "MAPFRE EPS"</t>
  </si>
  <si>
    <t>CHUQUIHUANGA SALVADOR LEODAN</t>
  </si>
  <si>
    <t>AAQkADdkNThjNzFkLWM0ZmMtNDJhYS04MDVlLTIwNzE4ZDI1Mzg4YgAQAF7lsvRrn2VPmGINHApbe8E=</t>
  </si>
  <si>
    <t>PAULINO AVILA RUBEN -- SOLICITUD DE CONCURRENCIA - "MAPFRE EPS"</t>
  </si>
  <si>
    <t>PAULINO AVILA RUBEN</t>
  </si>
  <si>
    <t>AAQkADdkNThjNzFkLWM0ZmMtNDJhYS04MDVlLTIwNzE4ZDI1Mzg4YgAQALBOrYaBQKhJgTPtlsMv9MA=</t>
  </si>
  <si>
    <t>RODRIGUEZ SIQUIHUA FERNANDO -- SOLICITUD DE CONCURRENCIA - "MAPFRE EPS"</t>
  </si>
  <si>
    <t>RODRIGUEZ SIQUIHUA FERNANDO</t>
  </si>
  <si>
    <t>AAQkADdkNThjNzFkLWM0ZmMtNDJhYS04MDVlLTIwNzE4ZDI1Mzg4YgAQAC8tt_cc5cpMofiQ6PsUO1g=</t>
  </si>
  <si>
    <t>CABRERA REYES JACINTA ESTEFA -- SOLICITUD DE CONCURRENCIA - "MAPFRE EPS"</t>
  </si>
  <si>
    <t>CABRERA REYES JACINTA ESTEFA</t>
  </si>
  <si>
    <t>AAQkADdkNThjNzFkLWM0ZmMtNDJhYS04MDVlLTIwNzE4ZDI1Mzg4YgAQAMbgVnyHRklJowBdndXUtYk=</t>
  </si>
  <si>
    <t>PROCURADOR SCTR // CASO 89083887</t>
  </si>
  <si>
    <t>AAQkADdkNThjNzFkLWM0ZmMtNDJhYS04MDVlLTIwNzE4ZDI1Mzg4YgAQADB_FrKTt51Kp3UAzGlSJGw=</t>
  </si>
  <si>
    <t>APARCANA HUAMAN JESUS MIGUEL -- SOLICITUD DE CONCURRENCIA - "MAPFRE EPS"</t>
  </si>
  <si>
    <t>APARCANA HUAMAN JESUS MIGUEL</t>
  </si>
  <si>
    <t>AAQkADdkNThjNzFkLWM0ZmMtNDJhYS04MDVlLTIwNzE4ZDI1Mzg4YgAQAGK_KZ_2AGhLvbL-Zimqhek=</t>
  </si>
  <si>
    <t>ESCALONA DUNO LEONARD JOSE -- SOLICITUD DE CONCURRENCIA - "MAPFRE EPS"</t>
  </si>
  <si>
    <t>ESCALONA DUNO LEONARD JOSE</t>
  </si>
  <si>
    <t>AAQkADdkNThjNzFkLWM0ZmMtNDJhYS04MDVlLTIwNzE4ZDI1Mzg4YgAQABKKfA1w3HZJvgQGGBdAJn0=</t>
  </si>
  <si>
    <t>CRUCES GAMERO EDDY ROMULO -- SOLICITUD DE CONCURRENCIA - "MAPFRE EPS"</t>
  </si>
  <si>
    <t>CRUCES GAMERO EDDY ROMULO</t>
  </si>
  <si>
    <t>AAQkADdkNThjNzFkLWM0ZmMtNDJhYS04MDVlLTIwNzE4ZDI1Mzg4YgAQAB29hT5-SSFPjhLrYRpmBUk=</t>
  </si>
  <si>
    <t>REGALADO CORONADO DIEGO EDSON -- SOLICITUD DE CONCURRENCIA - "MAPFRE EPS"</t>
  </si>
  <si>
    <t>REGALADO CORONADO DIEGO EDSON</t>
  </si>
  <si>
    <t>AAQkADdkNThjNzFkLWM0ZmMtNDJhYS04MDVlLTIwNzE4ZDI1Mzg4YgAQAAlukfR90xZKntku7bQnZU8=</t>
  </si>
  <si>
    <t>YESAN DIOSES FRANCISCO -- SOLICITUD DE CONCURRENCIA - "MAPFRE EPS"</t>
  </si>
  <si>
    <t>YESAN DIOSES FRANCISCO</t>
  </si>
  <si>
    <t>AAQkADdkNThjNzFkLWM0ZmMtNDJhYS04MDVlLTIwNzE4ZDI1Mzg4YgAQAELTU-X92u5LpllpvL9V35w=</t>
  </si>
  <si>
    <t>FLORES OQUEÑA LIDER EUSEBIO -- SOLICITUD DE CONCURRENCIA - "MAPFRE EPS"</t>
  </si>
  <si>
    <t>FLORES OQUEÑA LIDER EUSEBIO</t>
  </si>
  <si>
    <t>AAQkADdkNThjNzFkLWM0ZmMtNDJhYS04MDVlLTIwNzE4ZDI1Mzg4YgAQACmm4KJakINOgMDaQnlZrtE=</t>
  </si>
  <si>
    <t>LEVA BERNAOLA JULIO CESAR -- SOLICITUD DE CONCURRENCIA - "MAPFRE EPS"</t>
  </si>
  <si>
    <t>LEVA BERNAOLA JULIO CESAR</t>
  </si>
  <si>
    <t>AAQkADdkNThjNzFkLWM0ZmMtNDJhYS04MDVlLTIwNzE4ZDI1Mzg4YgAQAMdDp2YAPm5BoEZ-PhkmJ18=</t>
  </si>
  <si>
    <t>ROMAN QUITO RAUL -- SOLICITUD DE CONCURRENCIA - "MAPFRE EPS"</t>
  </si>
  <si>
    <t>ROMAN QUITO RAUL</t>
  </si>
  <si>
    <t>AAQkADdkNThjNzFkLWM0ZmMtNDJhYS04MDVlLTIwNzE4ZDI1Mzg4YgAQALYLYZcJkl1PuA8tIM1d3dE=</t>
  </si>
  <si>
    <t>CASTRO AYBAR DARLING YAHAIRA -- SOLICITUD DE CONCURRENCIA - "MAPFRE EPS"</t>
  </si>
  <si>
    <t>CASTRO AYBAR DARLING YAHAIRA</t>
  </si>
  <si>
    <t>AAQkADdkNThjNzFkLWM0ZmMtNDJhYS04MDVlLTIwNzE4ZDI1Mzg4YgAQAFoNdQ-xgLpOvlXJZegIejM=</t>
  </si>
  <si>
    <t>RODRIGUEZ CARNICA JOSUE HERMINIO -- SOLICITUD DE CONCURRENCIA - "MAPFRE EPS"</t>
  </si>
  <si>
    <t>RODRIGUEZ CARNICA JOSUE HERMINIO</t>
  </si>
  <si>
    <t>AAQkADdkNThjNzFkLWM0ZmMtNDJhYS04MDVlLTIwNzE4ZDI1Mzg4YgAQAAK_MobfC4BJgLR39op_i68=</t>
  </si>
  <si>
    <t>GRABIEL TORRES RICARDO ANSELMO -- SOLICITUD DE CONCURRENCIA - "MAPFRE EPS"</t>
  </si>
  <si>
    <t>GRABIEL TORRES RICARDO ANSELMO</t>
  </si>
  <si>
    <t>AAQkADdkNThjNzFkLWM0ZmMtNDJhYS04MDVlLTIwNzE4ZDI1Mzg4YgAQALmkUr_bb0lOlGdIYaXoPNI=</t>
  </si>
  <si>
    <t>RUIZ AMASIFUEN JANY -- SOLICITUD DE CONCURRENCIA - "MAPFRE EPS"</t>
  </si>
  <si>
    <t>RUIZ AMASIFUEN JANY</t>
  </si>
  <si>
    <t>AAQkADdkNThjNzFkLWM0ZmMtNDJhYS04MDVlLTIwNzE4ZDI1Mzg4YgAQANuliQkX3kRPjxW9I9vEbYU=</t>
  </si>
  <si>
    <t>PROCURADOR SCTR Caso  89092649</t>
  </si>
  <si>
    <t>AAQkADdkNThjNzFkLWM0ZmMtNDJhYS04MDVlLTIwNzE4ZDI1Mzg4YgAQAABpH1gT3epDqOjmf2y9j5U=</t>
  </si>
  <si>
    <t>DE LA CRUZ VARGAS SANTOS  TEODORO -- SOLICITUD DE CONCURRENCIA - "MAPFRE EPS"</t>
  </si>
  <si>
    <t>DE LA CRUZ VARGAS SANTOS TEODORO</t>
  </si>
  <si>
    <t>AAQkADdkNThjNzFkLWM0ZmMtNDJhYS04MDVlLTIwNzE4ZDI1Mzg4YgAQAMUAJ_WThZRLjgJlLpehy80=</t>
  </si>
  <si>
    <t>PROCURADOR SCTR 89095291</t>
  </si>
  <si>
    <t>AAQkADdkNThjNzFkLWM0ZmMtNDJhYS04MDVlLTIwNzE4ZDI1Mzg4YgAQAD6UIZnBvFFIqWhpEjGLYx0=</t>
  </si>
  <si>
    <t>ALVAREZ PAREDES GIANFRANCO -- SOLICITUD DE CONCURRENCIA - "MAPFRE EPS"</t>
  </si>
  <si>
    <t>ALVAREZ PAREDES GIANFRANCO</t>
  </si>
  <si>
    <t>AAQkADdkNThjNzFkLWM0ZmMtNDJhYS04MDVlLTIwNzE4ZDI1Mzg4YgAQAAkbiS6KjJxHqqAQudKx3uU=</t>
  </si>
  <si>
    <t>PROCURADOR SCTR // CASO 89102177</t>
  </si>
  <si>
    <t>AAQkADdkNThjNzFkLWM0ZmMtNDJhYS04MDVlLTIwNzE4ZDI1Mzg4YgAQANcevgUb9DBEngxKfzymGNQ=</t>
  </si>
  <si>
    <t>Procurador SCTR - Caso 89102188</t>
  </si>
  <si>
    <t>AAQkADdkNThjNzFkLWM0ZmMtNDJhYS04MDVlLTIwNzE4ZDI1Mzg4YgAQAKcjP1ar69ZGvfGDsFH6vXY=</t>
  </si>
  <si>
    <t>MENDOZA BAUTISTA ALEXANDER JAVIER -- SOLICITUD DE CONCURRENCIA - "MAPFRE EPS"</t>
  </si>
  <si>
    <t>MENDOZA BAUTISTA ALEXANDER JAVIER</t>
  </si>
  <si>
    <t>AAQkADdkNThjNzFkLWM0ZmMtNDJhYS04MDVlLTIwNzE4ZDI1Mzg4YgAQAIsGSU6-SIBAoeYsPR3Atf4=</t>
  </si>
  <si>
    <t>ROMERO SARMIENTO ROBERT AURELIO -- SOLICITUD DE CONCURRENCIA - "MAPFRE EPS"</t>
  </si>
  <si>
    <t>ROMERO SARMIENTO ROBERT AURELIO</t>
  </si>
  <si>
    <t>AAQkADdkNThjNzFkLWM0ZmMtNDJhYS04MDVlLTIwNzE4ZDI1Mzg4YgAQAPgkdbqjuWlOuMmw-sJmo1o=</t>
  </si>
  <si>
    <t>UMAN CANCHAYA SAYURI -- SOLICITUD DE CONCURRENCIA - "MAPFRE EPS"</t>
  </si>
  <si>
    <t>UMAN CANCHAYA SAYURI</t>
  </si>
  <si>
    <t>AAQkADdkNThjNzFkLWM0ZmMtNDJhYS04MDVlLTIwNzE4ZDI1Mzg4YgAQAMlvF52A-hhKvh11vB5gI3k=</t>
  </si>
  <si>
    <t>LOPEZ GAONA KATHERIN -- SOLICITUD DE CONCURRENCIA - "MAPFRE EPS"</t>
  </si>
  <si>
    <t>LOPEZ GAONA KATHERIN</t>
  </si>
  <si>
    <t>AAQkADdkNThjNzFkLWM0ZmMtNDJhYS04MDVlLTIwNzE4ZDI1Mzg4YgAQADZN9Rgyr05Cm9M3t4g6AT0=</t>
  </si>
  <si>
    <t>LAZO VILDOSO VICTOR HUGO -- SOLICITUD DE CONCURRENCIA - "MAPFRE EPS"</t>
  </si>
  <si>
    <t>LAZO VILDOSO VICTOR HUGO</t>
  </si>
  <si>
    <t>AAQkADdkNThjNzFkLWM0ZmMtNDJhYS04MDVlLTIwNzE4ZDI1Mzg4YgAQAPYrxp3me9lBtXmHDZhh4nU=</t>
  </si>
  <si>
    <t>GUARNIZ MALIMBA LUIS ALBERTO -- SOLICITUD DE CONCURRENCIA - "MAPFRE EPS"</t>
  </si>
  <si>
    <t>GUARNIZ MALIMBA LUIS ALBERTO</t>
  </si>
  <si>
    <t>AAQkADdkNThjNzFkLWM0ZmMtNDJhYS04MDVlLTIwNzE4ZDI1Mzg4YgAQAMi97jxiYFdLtMmNH38Kpwo=</t>
  </si>
  <si>
    <t>RIOS VELASQUEZ ALEXA GERMARYORIE -- SOLICITUD DE CONCURRENCIA - "MAPFRE EPS"</t>
  </si>
  <si>
    <t>RIOS VELASQUEZ ALEXA GERMARYORIE</t>
  </si>
  <si>
    <t>AAQkADdkNThjNzFkLWM0ZmMtNDJhYS04MDVlLTIwNzE4ZDI1Mzg4YgAQAFfpSAcvxfRHrO9la6f3CHI=</t>
  </si>
  <si>
    <t>VENEGAS CASTILLO EDWARD PAUL -- SOLICITUD DE CONCURRENCIA - "MAPFRE EPS"</t>
  </si>
  <si>
    <t>VENEGAS CASTILLO EDWARD PAUL</t>
  </si>
  <si>
    <t>AAQkADdkNThjNzFkLWM0ZmMtNDJhYS04MDVlLTIwNzE4ZDI1Mzg4YgAQAB47PymmlUtAgbdEWcuOTHc=</t>
  </si>
  <si>
    <t>SANCHEZ CRUZ SEGUNDO RAUL -- SOLICITUD DE CONCURRENCIA - "MAPFRE EPS"</t>
  </si>
  <si>
    <t>SANCHEZ CRUZ SEGUNDO RAUL</t>
  </si>
  <si>
    <t>AAQkADdkNThjNzFkLWM0ZmMtNDJhYS04MDVlLTIwNzE4ZDI1Mzg4YgAQABczoVvnsd5IghvJVtg6Lq0=</t>
  </si>
  <si>
    <t>Procurador SCTR - Caso 89110537</t>
  </si>
  <si>
    <t>AAQkADdkNThjNzFkLWM0ZmMtNDJhYS04MDVlLTIwNzE4ZDI1Mzg4YgAQAG7No1zFYO9NmgUOzU8B5FM=</t>
  </si>
  <si>
    <t>SANTA CRUZ CASTRO CESAR DENNIS -- SOLICITUD DE CONCURRENCIA - "MAPFRE EPS"</t>
  </si>
  <si>
    <t>SANTA CRUZ CASTRO CESAR DENNIS</t>
  </si>
  <si>
    <t>AAQkADdkNThjNzFkLWM0ZmMtNDJhYS04MDVlLTIwNzE4ZDI1Mzg4YgAQAASTA147ANdHqrWnrOpvd28=</t>
  </si>
  <si>
    <t>AZABACHE AZABACHE JUAN CARLOS -- SOLICITUD DE CONCURRENCIA - "MAPFRE EPS"</t>
  </si>
  <si>
    <t>AZABACHE AZABACHE JUAN CARLOS</t>
  </si>
  <si>
    <t>AAQkADdkNThjNzFkLWM0ZmMtNDJhYS04MDVlLTIwNzE4ZDI1Mzg4YgAQAFiyy4Yg86pMqHnNMDZWT1Y=</t>
  </si>
  <si>
    <t>AAQkADdkNThjNzFkLWM0ZmMtNDJhYS04MDVlLTIwNzE4ZDI1Mzg4YgAQAF_Bn8c-u-pIk0As87zkWXg=</t>
  </si>
  <si>
    <t>AAQkADdkNThjNzFkLWM0ZmMtNDJhYS04MDVlLTIwNzE4ZDI1Mzg4YgAQAGY49BPrTqlHgPoMAFMSdaI=</t>
  </si>
  <si>
    <t>DEYHLE LUCAS PAUL -- SOLICITUD DE CONCURRENCIA - "MAPFRE EPS"</t>
  </si>
  <si>
    <t>DEYHLE LUCAS PAUL</t>
  </si>
  <si>
    <t>AAQkADdkNThjNzFkLWM0ZmMtNDJhYS04MDVlLTIwNzE4ZDI1Mzg4YgAQAG2qYbxhRdRLuHcpK9D9B-E=</t>
  </si>
  <si>
    <t>NORIEGA CHUQUIHUANGA EULER -- SOLICITUD DE CONCURRENCIA - "MAPFRE EPS"</t>
  </si>
  <si>
    <t>NORIEGA CHUQUIHUANGA EULER</t>
  </si>
  <si>
    <t>AAQkADdkNThjNzFkLWM0ZmMtNDJhYS04MDVlLTIwNzE4ZDI1Mzg4YgAQAJ1UWXDocdtEn1ecUqRLw7c=</t>
  </si>
  <si>
    <t>ALEJO ARTOLA RAFAEL MARIO -- SOLICITUD DE CONCURRENCIA - "MAPFRE EPS"</t>
  </si>
  <si>
    <t>ALEJO ARTOLA RAFAEL MARIO</t>
  </si>
  <si>
    <t>AAQkADdkNThjNzFkLWM0ZmMtNDJhYS04MDVlLTIwNzE4ZDI1Mzg4YgAQAKyc_mygwEFDtZdtriqgnZg=</t>
  </si>
  <si>
    <t>CORDOVA AGUIRRE CRISTOPHER DAVID -- SOLICITUD DE CONCURRENCIA - "MAPFRE EPS"</t>
  </si>
  <si>
    <t>CORDOVA AGUIRRE CRISTOPHER DAVID</t>
  </si>
  <si>
    <t>AAQkADdkNThjNzFkLWM0ZmMtNDJhYS04MDVlLTIwNzE4ZDI1Mzg4YgAQAO0TVIFrkzZPlrIwIyIKuQc=</t>
  </si>
  <si>
    <t>DIEGO BELLIDO RONY ERICK -- SOLICITUD DE CONCURRENCIA - "MAPFRE EPS"</t>
  </si>
  <si>
    <t>DIEGO BELLIDO RONY ERICK</t>
  </si>
  <si>
    <t>AAQkADdkNThjNzFkLWM0ZmMtNDJhYS04MDVlLTIwNzE4ZDI1Mzg4YgAQAJ7usAMQEkxCtB6NKoOSdgo=</t>
  </si>
  <si>
    <t>BALOIS FLORES MOISES DANIEL -- SOLICITUD DE CONCURRENCIA - "MAPFRE EPS"</t>
  </si>
  <si>
    <t>BALOIS FLORES MOISES DANIEL</t>
  </si>
  <si>
    <t>AAQkADdkNThjNzFkLWM0ZmMtNDJhYS04MDVlLTIwNzE4ZDI1Mzg4YgAQAC-dRvev7VxJv70iD2Fla1g=</t>
  </si>
  <si>
    <t>SOLORZANO DOMINGUEZ CIRO GABRIEL -- SOLICITUD DE CONCURRENCIA - "MAPFRE EPS"</t>
  </si>
  <si>
    <t>SOLORZANO DOMINGUEZ CIRO GABRIEL</t>
  </si>
  <si>
    <t>AAQkADdkNThjNzFkLWM0ZmMtNDJhYS04MDVlLTIwNzE4ZDI1Mzg4YgAQAHq9aXoyS81LjMnqUNjXik0=</t>
  </si>
  <si>
    <t>RICARDO HECTOR VALVERDE ACUÑA -- SOLICITUD DE CONCURRENCIA - "MAPFRE EPS"</t>
  </si>
  <si>
    <t>RICARDO HECTOR VALVERDE ACUÑA</t>
  </si>
  <si>
    <t>AAQkADdkNThjNzFkLWM0ZmMtNDJhYS04MDVlLTIwNzE4ZDI1Mzg4YgAQALJjo5s0o4BLtfUXUN8izNQ=</t>
  </si>
  <si>
    <t>ALVARADO PEÑA JAIRO FELIPE -- SOLICITUD DE CONCURRENCIA - "MAPFRE EPS"</t>
  </si>
  <si>
    <t>ALVARADO PEÑA JAIRO FELIPE</t>
  </si>
  <si>
    <t>AAQkADdkNThjNzFkLWM0ZmMtNDJhYS04MDVlLTIwNzE4ZDI1Mzg4YgAQAPInCwBPJO1FmPC0lQSKN_o=</t>
  </si>
  <si>
    <t>MEDRANO PARIONA JOSE MARIA -- SOLICITUD DE CONCURRENCIA - "MAPFRE EPS"</t>
  </si>
  <si>
    <t>MEDRANO PARIONA JOSE MARIA</t>
  </si>
  <si>
    <t>AAQkADdkNThjNzFkLWM0ZmMtNDJhYS04MDVlLTIwNzE4ZDI1Mzg4YgAQAFCFgDQdK0xOucGgUY4UU6c=</t>
  </si>
  <si>
    <t>TAMABI CELIS JAIME -- SOLICITUD DE CONCURRENCIA - "MAPFRE EPS"</t>
  </si>
  <si>
    <t>TAMABI CELIS JAIME</t>
  </si>
  <si>
    <t>AAQkADdkNThjNzFkLWM0ZmMtNDJhYS04MDVlLTIwNzE4ZDI1Mzg4YgAQAIgMYEgoDXdBpbBrD7G52y8=</t>
  </si>
  <si>
    <t>PROCURADOR SCTR // CASO 89121050</t>
  </si>
  <si>
    <t>AAQkADdkNThjNzFkLWM0ZmMtNDJhYS04MDVlLTIwNzE4ZDI1Mzg4YgAQAMIPmQ9YXttDotvwp2lRJmM=</t>
  </si>
  <si>
    <t>PROCURADOR SCTR / CASO 89124197</t>
  </si>
  <si>
    <t>AAQkADdkNThjNzFkLWM0ZmMtNDJhYS04MDVlLTIwNzE4ZDI1Mzg4YgAQAP5j_D5Q9dhEvWZmHUJj_QI=</t>
  </si>
  <si>
    <t>MUÑOZ PAREDES JOSE JEREMY -- SOLICITUD DE CONCURRENCIA - "MAPFRE EPS"</t>
  </si>
  <si>
    <t>MUÑOZ PAREDES JOSE JEREMY</t>
  </si>
  <si>
    <t>AAQkADdkNThjNzFkLWM0ZmMtNDJhYS04MDVlLTIwNzE4ZDI1Mzg4YgAQAMp9o1CkDqBNgn9HZlGHsto=</t>
  </si>
  <si>
    <t>AAQkADdkNThjNzFkLWM0ZmMtNDJhYS04MDVlLTIwNzE4ZDI1Mzg4YgAQAAlbFzopEP9NpW5V9yGyibo=</t>
  </si>
  <si>
    <t>ESPINOZA CASTILLO PAOLO DEIVIS -- SOLICITUD DE CONCURRENCIA - "MAPFRE EPS"</t>
  </si>
  <si>
    <t>ESPINOZA CASTILLO PAOLO DEIVIS</t>
  </si>
  <si>
    <t>AAQkADdkNThjNzFkLWM0ZmMtNDJhYS04MDVlLTIwNzE4ZDI1Mzg4YgAQAKiQ0kFDaXZBnR0e1Epycjg=</t>
  </si>
  <si>
    <t>SINTI ICAHUATE ORIZON -- SOLICITUD DE CONCURRENCIA - "MAPFRE EPS"</t>
  </si>
  <si>
    <t>SINTI ICAHUATE ORIZON</t>
  </si>
  <si>
    <t>AAQkADdkNThjNzFkLWM0ZmMtNDJhYS04MDVlLTIwNzE4ZDI1Mzg4YgAQADinvulMRB1NveMyEyy4RAQ=</t>
  </si>
  <si>
    <t>PROCURADOR SCTR 89129631</t>
  </si>
  <si>
    <t>AAQkADdkNThjNzFkLWM0ZmMtNDJhYS04MDVlLTIwNzE4ZDI1Mzg4YgAQALpRB6CQrkFAol9yva__kKo=</t>
  </si>
  <si>
    <t>RE: PROCURADOR SCTR // CASO 89129800</t>
  </si>
  <si>
    <t>PROCURADOR SCTR // CASO 89129800</t>
  </si>
  <si>
    <t>AAQkADdkNThjNzFkLWM0ZmMtNDJhYS04MDVlLTIwNzE4ZDI1Mzg4YgAQANhLbTjzkrBHiOu_HKu7biE=</t>
  </si>
  <si>
    <t>AAQkADdkNThjNzFkLWM0ZmMtNDJhYS04MDVlLTIwNzE4ZDI1Mzg4YgAQAB3D-j2r6KlJkdjnvc7kKDM=</t>
  </si>
  <si>
    <t>SAURINO MELENDEZ YERMAN -- SOLICITUD DE CONCURRENCIA - "MAPFRE EPS"</t>
  </si>
  <si>
    <t>SAURINO MELENDEZ YERMAN</t>
  </si>
  <si>
    <t>AAQkADdkNThjNzFkLWM0ZmMtNDJhYS04MDVlLTIwNzE4ZDI1Mzg4YgAQABukGsdGH1BCuBJjEFNHLCw=</t>
  </si>
  <si>
    <t>MARTINEZ GARCIA DAVID -- SOLICITUD DE CONCURRENCIA - "MAPFRE EPS"</t>
  </si>
  <si>
    <t>MARTINEZ GARCIA DAVID</t>
  </si>
  <si>
    <t>AAQkADdkNThjNzFkLWM0ZmMtNDJhYS04MDVlLTIwNzE4ZDI1Mzg4YgAQAOn9rRL75WtJlTM0WUFOQlQ=</t>
  </si>
  <si>
    <t>CAINAMARI TULUMBA RANDOLFO -- SOLICITUD DE CONCURRENCIA - "MAPFRE EPS"</t>
  </si>
  <si>
    <t>CAINAMARI TULUMBA RANDOLFO</t>
  </si>
  <si>
    <t>AAQkADdkNThjNzFkLWM0ZmMtNDJhYS04MDVlLTIwNzE4ZDI1Mzg4YgAQAPlpVQSEu05FnlXCuvOAf3w=</t>
  </si>
  <si>
    <t>RIOS RAMIREZ FELIX -- SOLICITUD DE CONCURRENCIA - "MAPFRE EPS"</t>
  </si>
  <si>
    <t>RIOS RAMIREZ FELIX</t>
  </si>
  <si>
    <t>AAQkADdkNThjNzFkLWM0ZmMtNDJhYS04MDVlLTIwNzE4ZDI1Mzg4YgAQAOKc7nBQhHNEtOF9KiX31lU=</t>
  </si>
  <si>
    <t>ARELLANO MENDOZA CARLOS ENRIQUE -- SOLICITUD DE CONCURRENCIA - "MAPFRE EPS"</t>
  </si>
  <si>
    <t>ARELLANO MENDOZA CARLOS ENRIQUE</t>
  </si>
  <si>
    <t>AAQkADdkNThjNzFkLWM0ZmMtNDJhYS04MDVlLTIwNzE4ZDI1Mzg4YgAQAFZh6JgNxxxFkg41dmKN11g=</t>
  </si>
  <si>
    <t>Procurador SCTR - caso 89139110</t>
  </si>
  <si>
    <t>AAQkADdkNThjNzFkLWM0ZmMtNDJhYS04MDVlLTIwNzE4ZDI1Mzg4YgAQAMt4y9Nag6hJky4bDfkqnsU=</t>
  </si>
  <si>
    <t>GARCIA LEYTON LEONARDO FRANCO -- SOLICITUD DE CONCURRENCIA - "MAPFRE EPS"</t>
  </si>
  <si>
    <t>GARCIA LEYTON LEONARDO FRANCO</t>
  </si>
  <si>
    <t>AAQkADdkNThjNzFkLWM0ZmMtNDJhYS04MDVlLTIwNzE4ZDI1Mzg4YgAQAAZU4Y50xLlIiCbdR4ZI82w=</t>
  </si>
  <si>
    <t>SANCHEZ VELAZCO JOSE RAMON -- SOLICITUD DE CONCURRENCIA - "MAPFRE EPS"</t>
  </si>
  <si>
    <t>SANCHEZ VELAZCO JOSE RAMON</t>
  </si>
  <si>
    <t>AAQkADdkNThjNzFkLWM0ZmMtNDJhYS04MDVlLTIwNzE4ZDI1Mzg4YgAQACg3TTUKCZtJonfuSqTwefc=</t>
  </si>
  <si>
    <t>Procurador SCTR-Caso 89146069</t>
  </si>
  <si>
    <t>AAQkADdkNThjNzFkLWM0ZmMtNDJhYS04MDVlLTIwNzE4ZDI1Mzg4YgAQAIINWkrcRcNBmJVYicu_Jlg=</t>
  </si>
  <si>
    <t>VALDERRAMA SANDOVAL RICARDO SANTOS -- SOLICITUD DE CONCURRENCIA - "MAPFRE EPS"</t>
  </si>
  <si>
    <t>VALDERRAMA SANDOVAL RICARDO SANTOS</t>
  </si>
  <si>
    <t>AAQkADdkNThjNzFkLWM0ZmMtNDJhYS04MDVlLTIwNzE4ZDI1Mzg4YgAQAOhKNX-wodFBr49UC2-_qc8=</t>
  </si>
  <si>
    <t>PROCURADOR SCTR - CASO 89147122</t>
  </si>
  <si>
    <t>AAQkADdkNThjNzFkLWM0ZmMtNDJhYS04MDVlLTIwNzE4ZDI1Mzg4YgAQAAMRigzMkktEj9ORKuc2kkg=</t>
  </si>
  <si>
    <t>AGUILAR ABAL RAUL -- SOLICITUD DE CONCURRENCIA - "MAPFRE EPS"</t>
  </si>
  <si>
    <t>AGUILAR ABAL RAUL</t>
  </si>
  <si>
    <t>AAQkADdkNThjNzFkLWM0ZmMtNDJhYS04MDVlLTIwNzE4ZDI1Mzg4YgAQAOX5smu2udhGvHdu3xksLHk=</t>
  </si>
  <si>
    <t>PROCURADOR SCTR - Caso  89149318</t>
  </si>
  <si>
    <t>AAQkADdkNThjNzFkLWM0ZmMtNDJhYS04MDVlLTIwNzE4ZDI1Mzg4YgAQAHaNOzQcytJKhi8IlcxcKlc=</t>
  </si>
  <si>
    <t>PROCURADOR SCTR // CASO 89149414</t>
  </si>
  <si>
    <t>AAQkADdkNThjNzFkLWM0ZmMtNDJhYS04MDVlLTIwNzE4ZDI1Mzg4YgAQALndk39OyjJLhq6gTBpoRRQ=</t>
  </si>
  <si>
    <t>CHIPANA ROSALES ANIBAL JESUS -- SOLICITUD DE CONCURRENCIA - "MAPFRE EPS"</t>
  </si>
  <si>
    <t>CHIPANA ROSALES ANIBAL JESUS</t>
  </si>
  <si>
    <t>AAQkADdkNThjNzFkLWM0ZmMtNDJhYS04MDVlLTIwNzE4ZDI1Mzg4YgAQAIWkRlye8T1BsUsfwKn6YbQ=</t>
  </si>
  <si>
    <t>AAQkADdkNThjNzFkLWM0ZmMtNDJhYS04MDVlLTIwNzE4ZDI1Mzg4YgAQADKHlqYKOUNAjyAWIry-OT8=</t>
  </si>
  <si>
    <t>GUERRERO CHINGUEL SEGUNDO OCTAVIO -- SOLICITUD DE CONCURRENCIA - "MAPFRE EPS"</t>
  </si>
  <si>
    <t>GUERRERO CHINGUEL SEGUNDO OCTAVIO</t>
  </si>
  <si>
    <t>AAQkADdkNThjNzFkLWM0ZmMtNDJhYS04MDVlLTIwNzE4ZDI1Mzg4YgAQAK1vcvC404dOkFDW4YgnhYs=</t>
  </si>
  <si>
    <t>MOLINA PARDO CLEVER -- SOLICITUD DE CONCURRENCIA - "MAPFRE EPS"</t>
  </si>
  <si>
    <t>MOLINA PARDO CLEVER</t>
  </si>
  <si>
    <t>AAQkADdkNThjNzFkLWM0ZmMtNDJhYS04MDVlLTIwNzE4ZDI1Mzg4YgAQAFU-dOngvs9NgINLG9qZyjw=</t>
  </si>
  <si>
    <t>CARPIO CHURA VALERIO -- SOLICITUD DE CONCURRENCIA - "MAPFRE EPS"</t>
  </si>
  <si>
    <t>CARPIO CHURA VALERIO</t>
  </si>
  <si>
    <t>AAQkADdkNThjNzFkLWM0ZmMtNDJhYS04MDVlLTIwNzE4ZDI1Mzg4YgAQAA2k0Q4rbmlDmFXboen73jU=</t>
  </si>
  <si>
    <t>BUSTAMANTE SANTA CRUZ NOEMI -- SOLICITUD DE CONCURRENCIA - "MAPFRE EPS"</t>
  </si>
  <si>
    <t>BUSTAMANTE SANTA CRUZ NOEMI</t>
  </si>
  <si>
    <t>AAQkADdkNThjNzFkLWM0ZmMtNDJhYS04MDVlLTIwNzE4ZDI1Mzg4YgAQADYxKdqnuMVJg8RfFsZM9Ic=</t>
  </si>
  <si>
    <t>CABRERA ESPINOLA CHARITO ESMILDA -- SOLICITUD DE CONCURRENCIA - "MAPFRE EPS"</t>
  </si>
  <si>
    <t>CABRERA ESPINOLA CHARITO ESMILDA</t>
  </si>
  <si>
    <t>AAQkADdkNThjNzFkLWM0ZmMtNDJhYS04MDVlLTIwNzE4ZDI1Mzg4YgAQALmxbV7atlBMvLGZFkfYXDk=</t>
  </si>
  <si>
    <t>CUNO CHURATA YERSON MARIO -- SOLICITUD DE CONCURRENCIA - "MAPFRE EPS"</t>
  </si>
  <si>
    <t>CUNO CHURATA YERSON MARIO</t>
  </si>
  <si>
    <t>AAQkADdkNThjNzFkLWM0ZmMtNDJhYS04MDVlLTIwNzE4ZDI1Mzg4YgAQAPWHSdD7tndDkX6WBML5pPw=</t>
  </si>
  <si>
    <t>CHOQUE AQUINO EDSON FREDY -- SOLICITUD DE CONCURRENCIA - "MAPFRE EPS"</t>
  </si>
  <si>
    <t>CHOQUE AQUINO EDSON FREDY</t>
  </si>
  <si>
    <t>AAQkADdkNThjNzFkLWM0ZmMtNDJhYS04MDVlLTIwNzE4ZDI1Mzg4YgAQAIaiDIqBQ25BnjD8pJzlqW0=</t>
  </si>
  <si>
    <t>SARAVIA NUÑEZ ARIANA ARLYN FELICITA -- SOLICITUD DE CONCURRENCIA - "MAPFRE EPS"</t>
  </si>
  <si>
    <t>SARAVIA NUÑEZ ARIANA ARLYN FELICITA</t>
  </si>
  <si>
    <t>AAQkADdkNThjNzFkLWM0ZmMtNDJhYS04MDVlLTIwNzE4ZDI1Mzg4YgAQAEGHWGsdbChNpExxAK1XNRg=</t>
  </si>
  <si>
    <t>PROCURADOR SCTR 89168440</t>
  </si>
  <si>
    <t>AAQkADdkNThjNzFkLWM0ZmMtNDJhYS04MDVlLTIwNzE4ZDI1Mzg4YgAQAGcrAzBphJxJpRdCIm1G0z8=</t>
  </si>
  <si>
    <t>OBESO SALVADOR JUNIOR WILMER -- SOLICITUD DE CONCURRENCIA - "MAPFRE EPS"</t>
  </si>
  <si>
    <t>OBESO SALVADOR JUNIOR WILMER</t>
  </si>
  <si>
    <t>AAQkADdkNThjNzFkLWM0ZmMtNDJhYS04MDVlLTIwNzE4ZDI1Mzg4YgAQALLYAx1lfKZJoI0kqgCrCZI=</t>
  </si>
  <si>
    <t>TAPIA MACAVILCA JHONNIER JUNIOR -- SOLICITUD DE CONCURRENCIA - "MAPFRE EPS"</t>
  </si>
  <si>
    <t>TAPIA MACAVILCA JHONNIER JUNIOR</t>
  </si>
  <si>
    <t>AAQkADdkNThjNzFkLWM0ZmMtNDJhYS04MDVlLTIwNzE4ZDI1Mzg4YgAQAAy_WwyZ8ppHmaCM-I7QwOc=</t>
  </si>
  <si>
    <t>LUCANA HUAILLAPUMA RICHARD -- SOLICITUD DE CONCURRENCIA - "MAPFRE EPS"</t>
  </si>
  <si>
    <t>LUCANA HUAILLAPUMA RICHARD</t>
  </si>
  <si>
    <t>AAQkADdkNThjNzFkLWM0ZmMtNDJhYS04MDVlLTIwNzE4ZDI1Mzg4YgAQADm5oVXU8d9BjM7l2BMWyPA=</t>
  </si>
  <si>
    <t>Procurador SCTR - CASO 89175279</t>
  </si>
  <si>
    <t>AAQkADdkNThjNzFkLWM0ZmMtNDJhYS04MDVlLTIwNzE4ZDI1Mzg4YgAQAE0UqLHzLapLsVbUJM0OKwM=</t>
  </si>
  <si>
    <t>CASTILLO CORTEZ ANTONIO -- SOLICITUD DE CONCURRENCIA - "MAPFRE EPS"</t>
  </si>
  <si>
    <t>CASTILLO CORTEZ ANTONIO</t>
  </si>
  <si>
    <t>AAQkADdkNThjNzFkLWM0ZmMtNDJhYS04MDVlLTIwNzE4ZDI1Mzg4YgAQAHuH9Z7xOYdLiTxdkX4Eyyk=</t>
  </si>
  <si>
    <t>Procurador SCTR - CASO 89178471</t>
  </si>
  <si>
    <t>Re: Procurador SCTR - CASO 89178471</t>
  </si>
  <si>
    <t>AAQkADdkNThjNzFkLWM0ZmMtNDJhYS04MDVlLTIwNzE4ZDI1Mzg4YgAQALsHvuJZqMdCmwcfaqSW2Eo=</t>
  </si>
  <si>
    <t>CHICOMA YPANAQUE JOSE ARMANDO -- SOLICITUD DE CONCURRENCIA - "MAPFRE EPS"</t>
  </si>
  <si>
    <t>CHICOMA YPANAQUE JOSE ARMANDO</t>
  </si>
  <si>
    <t>AAQkADdkNThjNzFkLWM0ZmMtNDJhYS04MDVlLTIwNzE4ZDI1Mzg4YgAQAPd9wyy6uqRLjT7x0fsU_qk=</t>
  </si>
  <si>
    <t>RAMIREZ RODRIGUEZ ANDRES -- SOLICITUD DE CONCURRENCIA - "MAPFRE EPS"</t>
  </si>
  <si>
    <t>RAMIREZ RODRIGUEZ ANDRES</t>
  </si>
  <si>
    <t>AAQkADdkNThjNzFkLWM0ZmMtNDJhYS04MDVlLTIwNzE4ZDI1Mzg4YgAQAAY21Ymd59tCut3KbsMTpNU=</t>
  </si>
  <si>
    <t>CHILO CHOQUENAIRA JOSE ANTONIO -- SOLICITUD DE CONCURRENCIA - "MAPFRE EPS"</t>
  </si>
  <si>
    <t>CHILO CHOQUENAIRA JOSE ANTONIO</t>
  </si>
  <si>
    <t>AAQkADdkNThjNzFkLWM0ZmMtNDJhYS04MDVlLTIwNzE4ZDI1Mzg4YgAQAO7AzPdYU-JLuF-DUJHL02s=</t>
  </si>
  <si>
    <t>PROCURADOR SCTR - Caso  89181929</t>
  </si>
  <si>
    <t>AAQkADdkNThjNzFkLWM0ZmMtNDJhYS04MDVlLTIwNzE4ZDI1Mzg4YgAQAH6HEMzNwuxLuXeywZSQb9g=</t>
  </si>
  <si>
    <t>PROCURADOR SCTR // CASO 89181927</t>
  </si>
  <si>
    <t>AAQkADdkNThjNzFkLWM0ZmMtNDJhYS04MDVlLTIwNzE4ZDI1Mzg4YgAQAF_TIs2yOeRPla06BpWHNw4=</t>
  </si>
  <si>
    <t>RAMOS YARANGA JAVIER -- SOLICITUD DE CONCURRENCIA - "MAPFRE EPS"</t>
  </si>
  <si>
    <t>RAMOS YARANGA JAVIER</t>
  </si>
  <si>
    <t>AAQkADdkNThjNzFkLWM0ZmMtNDJhYS04MDVlLTIwNzE4ZDI1Mzg4YgAQAPzMRQYHdedMhXTRf3B-hYA=</t>
  </si>
  <si>
    <t>SALAZAR HUAMAN JHON ALEXANDER -- SOLICITUD DE CONCURRENCIA - "MAPFRE EPS"</t>
  </si>
  <si>
    <t>SALAZAR HUAMAN JHON ALEXANDER</t>
  </si>
  <si>
    <t>AAQkADdkNThjNzFkLWM0ZmMtNDJhYS04MDVlLTIwNzE4ZDI1Mzg4YgAQAJnaod8A_WlMu00mZnGP7BI=</t>
  </si>
  <si>
    <t>BULNES ARANA PEDRO -- SOLICITUD DE CONCURRENCIA - "MAPFRE EPS"</t>
  </si>
  <si>
    <t>BULNES ARANA PEDRO</t>
  </si>
  <si>
    <t>AAQkADdkNThjNzFkLWM0ZmMtNDJhYS04MDVlLTIwNzE4ZDI1Mzg4YgAQALT_Ye-YYnJOlX8PPMSpr94=</t>
  </si>
  <si>
    <t>CORDOVA VALVERDE ELIZABETH FABIOLA -- SOLICITUD DE CONCURRENCIA - "MAPFRE EPS"</t>
  </si>
  <si>
    <t>CORDOVA VALVERDE ELIZABETH FABIOLA</t>
  </si>
  <si>
    <t>AAQkADdkNThjNzFkLWM0ZmMtNDJhYS04MDVlLTIwNzE4ZDI1Mzg4YgAQANsELleO_jVAl5HVqKxu2A8=</t>
  </si>
  <si>
    <t>SALAS TRUJILLO ARMENJOL PEDRO -- SOLICITUD DE CONCURRENCIA - "MAPFRE EPS"</t>
  </si>
  <si>
    <t>SALAS TRUJILLO ARMENJOL PEDRO</t>
  </si>
  <si>
    <t>AAQkADdkNThjNzFkLWM0ZmMtNDJhYS04MDVlLTIwNzE4ZDI1Mzg4YgAQANptRsGnebdLu94dz0C8eVI=</t>
  </si>
  <si>
    <t>MELENDEZ ASTUÑAUPA JACK  BRANDOM -- SOLICITUD DE CONCURRENCIA - "MAPFRE EPS"</t>
  </si>
  <si>
    <t>MELENDEZ ASTUÑAUPA JACK BRANDOM</t>
  </si>
  <si>
    <t>AAQkADdkNThjNzFkLWM0ZmMtNDJhYS04MDVlLTIwNzE4ZDI1Mzg4YgAQADDU7vAiaFxEnPC0vkGMbcE=</t>
  </si>
  <si>
    <t>PROCURADOR SCTR Caso  89184531</t>
  </si>
  <si>
    <t>AAQkADdkNThjNzFkLWM0ZmMtNDJhYS04MDVlLTIwNzE4ZDI1Mzg4YgAQAHteZNb2MARHiWATt5ibZ3Y=</t>
  </si>
  <si>
    <t>DAVILA SAAVEDRA DILMER ALBERTO -- SOLICITUD DE CONCURRENCIA - "MAPFRE EPS"</t>
  </si>
  <si>
    <t>DAVILA SAAVEDRA DILMER ALBERTO</t>
  </si>
  <si>
    <t>AAQkADdkNThjNzFkLWM0ZmMtNDJhYS04MDVlLTIwNzE4ZDI1Mzg4YgAQAGGQDB6c29pKozfTUKjNuAs=</t>
  </si>
  <si>
    <t>SANDOVAL CASTRO MARIA GLADYS -- SOLICITUD DE CONCURRENCIA - "MAPFRE EPS"</t>
  </si>
  <si>
    <t>SANDOVAL CASTRO MARIA GLADYS</t>
  </si>
  <si>
    <t>AAQkADdkNThjNzFkLWM0ZmMtNDJhYS04MDVlLTIwNzE4ZDI1Mzg4YgAQAA_gCJq_AopMu1DAyNIezoc=</t>
  </si>
  <si>
    <t>MONTALVAN CORDOVA WILMER -- SOLICITUD DE CONCURRENCIA - "MAPFRE EPS"</t>
  </si>
  <si>
    <t>MONTALVAN CORDOVA WILMER</t>
  </si>
  <si>
    <t>AAQkADdkNThjNzFkLWM0ZmMtNDJhYS04MDVlLTIwNzE4ZDI1Mzg4YgAQAN2Lb3UJHy5PqPxvpoZNNCE=</t>
  </si>
  <si>
    <t>PROCURADOR SCTR // CASO 89195544</t>
  </si>
  <si>
    <t>AAQkADdkNThjNzFkLWM0ZmMtNDJhYS04MDVlLTIwNzE4ZDI1Mzg4YgAQAI5hvu0ikUZBtcJp8dLdBxQ=</t>
  </si>
  <si>
    <t>MONTALVAN RELAIZA ARNALDO IVAN -- SOLICITUD DE CONCURRENCIA - "MAPFRE EPS"</t>
  </si>
  <si>
    <t>MONTALVAN RELAIZA ARNALDO IVAN</t>
  </si>
  <si>
    <t>AAQkADdkNThjNzFkLWM0ZmMtNDJhYS04MDVlLTIwNzE4ZDI1Mzg4YgAQAJAoCdoK_7xFuFt63Wt29P8=</t>
  </si>
  <si>
    <t>RENGIFO TELLO ROBINSON -- SOLICITUD DE CONCURRENCIA - "MAPFRE EPS"</t>
  </si>
  <si>
    <t>RENGIFO TELLO ROBINSON</t>
  </si>
  <si>
    <t>AAQkADdkNThjNzFkLWM0ZmMtNDJhYS04MDVlLTIwNzE4ZDI1Mzg4YgAQAOK0-wapB-1JgNIMTmswkKs=</t>
  </si>
  <si>
    <t>CABANA ALFARO JONI -- SOLICITUD DE CONCURRENCIA - "MAPFRE EPS"</t>
  </si>
  <si>
    <t>CABANA ALFARO JONI</t>
  </si>
  <si>
    <t>AAQkADdkNThjNzFkLWM0ZmMtNDJhYS04MDVlLTIwNzE4ZDI1Mzg4YgAQAJzp7QFLskJLkQAXPIzpMto=</t>
  </si>
  <si>
    <t>ESPINOZA ATENCIA DIONICIO ALMIRO -- SOLICITUD DE CONCURRENCIA - "MAPFRE EPS"</t>
  </si>
  <si>
    <t>ESPINOZA ATENCIA DIONICIO ALMIRO</t>
  </si>
  <si>
    <t>AAQkADdkNThjNzFkLWM0ZmMtNDJhYS04MDVlLTIwNzE4ZDI1Mzg4YgAQABoXsr9TeIRFo6vQoRz5CUk=</t>
  </si>
  <si>
    <t>PIMENTEL NEYRA JULIO JUNIOR -- SOLICITUD DE CONCURRENCIA - "MAPFRE EPS"</t>
  </si>
  <si>
    <t>PIMENTEL NEYRA JULIO JUNIOR</t>
  </si>
  <si>
    <t>AAQkADdkNThjNzFkLWM0ZmMtNDJhYS04MDVlLTIwNzE4ZDI1Mzg4YgAQAMKJZ77HecxLlvBIkfYU_DY=</t>
  </si>
  <si>
    <t>PROCURADOR SCTR - Caso  89206051</t>
  </si>
  <si>
    <t>AAQkADdkNThjNzFkLWM0ZmMtNDJhYS04MDVlLTIwNzE4ZDI1Mzg4YgAQAMFzH4IOwE9CjUWCt5TjQiA=</t>
  </si>
  <si>
    <t>NUÑEZ JIMENEZ JOSE GREGORIO -- SOLICITUD DE CONCURRENCIA - "MAPFRE EPS"</t>
  </si>
  <si>
    <t>NUÑEZ JIMENEZ JOSE GREGORIO</t>
  </si>
  <si>
    <t>AAQkADdkNThjNzFkLWM0ZmMtNDJhYS04MDVlLTIwNzE4ZDI1Mzg4YgAQADlb4YOpzHlMuGDi1ntPloE=</t>
  </si>
  <si>
    <t>PROCIURADOR SCTR // CASO 89218365</t>
  </si>
  <si>
    <t> RODRIGUEZ GUILLERMO ANGEL LEONCIO</t>
  </si>
  <si>
    <t>INCUMPLE</t>
  </si>
  <si>
    <t>AAQkADdkNThjNzFkLWM0ZmMtNDJhYS04MDVlLTIwNzE4ZDI1Mzg4YgAQAI53nD0OhopFpMDJ74jovzk=</t>
  </si>
  <si>
    <t>ESPINOZA PUJAY JOSE DIONICIO -- SOLICITUD DE CONCURRENCIA - "MAPFRE EPS"</t>
  </si>
  <si>
    <t>ESPINOZA PUJAY JOSE DIONICIO</t>
  </si>
  <si>
    <t>APROBADO</t>
  </si>
  <si>
    <t>AAQkADdkNThjNzFkLWM0ZmMtNDJhYS04MDVlLTIwNzE4ZDI1Mzg4YgAQACxgUnp78CxHvesiJI_ZMXI=</t>
  </si>
  <si>
    <t>AVALOS HERNANDEZ JUAN CARLOS -- SOLICITUD DE CONCURRENCIA - "MAPFRE EPS"</t>
  </si>
  <si>
    <t>AVALOS HERNANDEZ JUAN CARLOS</t>
  </si>
  <si>
    <t>AAQkADdkNThjNzFkLWM0ZmMtNDJhYS04MDVlLTIwNzE4ZDI1Mzg4YgAQAObkie8X4AtDgPD2lt4ua_I=</t>
  </si>
  <si>
    <t>SOLIS OLORTEGUI BERTILA -- SOLICITUD DE CONCURRENCIA - "MAPFRE EPS"</t>
  </si>
  <si>
    <t>SOLIS OLORTEGUI BERTILA</t>
  </si>
  <si>
    <t>AAQkADdkNThjNzFkLWM0ZmMtNDJhYS04MDVlLTIwNzE4ZDI1Mzg4YgAQAJKvTdyH6LpCt0vM83kQtcU=</t>
  </si>
  <si>
    <t>TIRADO VELARDE WILMER ERIK -- SOLICITUD DE CONCURRENCIA - "MAPFRE EPS"</t>
  </si>
  <si>
    <t>TIRADO VELARDE WILMER ERIK</t>
  </si>
  <si>
    <t>AAQkADdkNThjNzFkLWM0ZmMtNDJhYS04MDVlLTIwNzE4ZDI1Mzg4YgAQAIYAqHhQj_pAqHgX2WnISeI=</t>
  </si>
  <si>
    <t>CASO 89221225 PROCURACION SCTR</t>
  </si>
  <si>
    <t>ARANGUREN CHAVEZ JOSE GREGORIO</t>
  </si>
  <si>
    <t>AAQkADdkNThjNzFkLWM0ZmMtNDJhYS04MDVlLTIwNzE4ZDI1Mzg4YgAQAMllTSVeOA9Dkcadc0TPcqo=</t>
  </si>
  <si>
    <t>PROCURADOR SCTR - Caso  89229170</t>
  </si>
  <si>
    <t>PAIVA CHUNGA JUAN</t>
  </si>
  <si>
    <t>AAQkADdkNThjNzFkLWM0ZmMtNDJhYS04MDVlLTIwNzE4ZDI1Mzg4YgAQABxCAJ_8k-tJiTpgNeIjxSo=</t>
  </si>
  <si>
    <t>RUMAY QUISPE JOSE CARLOS -- SOLICITUD DE CONCURRENCIA - "MAPFRE EPS"</t>
  </si>
  <si>
    <t>RUMAY QUISPE JOSE CARLOS</t>
  </si>
  <si>
    <t>AAQkADdkNThjNzFkLWM0ZmMtNDJhYS04MDVlLTIwNzE4ZDI1Mzg4YgAQAHa55tccxy5Du8oeN-uK5Gc=</t>
  </si>
  <si>
    <t>TAIPE APARCO ALEXANDER -- SOLICITUD DE CONCURRENCIA - "MAPFRE EPS"</t>
  </si>
  <si>
    <t>TAIPE APARCO ALEXANDER</t>
  </si>
  <si>
    <t>AAQkADdkNThjNzFkLWM0ZmMtNDJhYS04MDVlLTIwNzE4ZDI1Mzg4YgAQALuaNJzQdWBMj70I-d1Vruw=</t>
  </si>
  <si>
    <t>RAMIREZ SATALAYA SEGUNDO MAURO -- SOLICITUD DE CONCURRENCIA - "MAPFRE EPS"</t>
  </si>
  <si>
    <t>RAMIREZ SATALAYA SEGUNDO MAURO</t>
  </si>
  <si>
    <t>AAQkADdkNThjNzFkLWM0ZmMtNDJhYS04MDVlLTIwNzE4ZDI1Mzg4YgAQAJ-tTZv4TrRGrrOWU_1b_1I=</t>
  </si>
  <si>
    <t>Procurador SCTR - Caso 89237972</t>
  </si>
  <si>
    <t>HACHO SALAS TORIBIO</t>
  </si>
  <si>
    <t>AAQkADdkNThjNzFkLWM0ZmMtNDJhYS04MDVlLTIwNzE4ZDI1Mzg4YgAQAGqQ6bDyzgtKk3ZppJbXvlI=</t>
  </si>
  <si>
    <t>COARITE CABRERA ALEJANDRO RAFAEL -- SOLICITUD DE CONCURRENCIA - "MAPFRE EPS"</t>
  </si>
  <si>
    <t>COARITE CABRERA ALEJANDRO RAFAEL</t>
  </si>
  <si>
    <t>AAQkADdkNThjNzFkLWM0ZmMtNDJhYS04MDVlLTIwNzE4ZDI1Mzg4YgAQAO6wJDcgWRxIqZCARrffoyQ=</t>
  </si>
  <si>
    <t>MOREYRA CHAVEZ FRANCK NITTY -- SOLICITUD DE CONCURRENCIA - "MAPFRE EPS"</t>
  </si>
  <si>
    <t>MOREYRA CHAVEZ FRANCK NITTY</t>
  </si>
  <si>
    <t>AAQkADdkNThjNzFkLWM0ZmMtNDJhYS04MDVlLTIwNzE4ZDI1Mzg4YgAQABtiMIkDZ0lMgeQNkc1CHts=</t>
  </si>
  <si>
    <t>MARCELO RAYME ALBERTO JEAN PIERRE -- SOLICITUD DE CONCURRENCIA - "MAPFRE EPS"</t>
  </si>
  <si>
    <t>MARCELO RAYME ALBERTO JEAN PIERRE</t>
  </si>
  <si>
    <t>AAQkADdkNThjNzFkLWM0ZmMtNDJhYS04MDVlLTIwNzE4ZDI1Mzg4YgAQAIoxV3TtCrxHufc_ppqZn98=</t>
  </si>
  <si>
    <t>RAMOS QUISPE LUIS MARIO -- SOLICITUD DE CONCURRENCIA - "MAPFRE EPS"</t>
  </si>
  <si>
    <t>RAMOS QUISPE LUIS MARIO</t>
  </si>
  <si>
    <t>RECHAZADO</t>
  </si>
  <si>
    <t>AAQkADdkNThjNzFkLWM0ZmMtNDJhYS04MDVlLTIwNzE4ZDI1Mzg4YgAQAKB0p6e3GSxLnzqXTSF9YFM=</t>
  </si>
  <si>
    <t>PALACIOS NAVARRO WILSON IVAN -- SOLICITUD DE CONCURRENCIA - "MAPFRE EPS"</t>
  </si>
  <si>
    <t>PALACIOS NAVARRO WILSON IVAN</t>
  </si>
  <si>
    <t>AAQkADdkNThjNzFkLWM0ZmMtNDJhYS04MDVlLTIwNzE4ZDI1Mzg4YgAQAGwScv6NIU5HvGQTtpoRVig=</t>
  </si>
  <si>
    <t>PROCURADOR SCTR // CASO 89249208</t>
  </si>
  <si>
    <t>GIRALDO ACEVEDO JUAN GEORGE</t>
  </si>
  <si>
    <t>AAQkADdkNThjNzFkLWM0ZmMtNDJhYS04MDVlLTIwNzE4ZDI1Mzg4YgAQAIvVfTDqG89FqMM-gN7OfBo=</t>
  </si>
  <si>
    <t>PROCURADORES SCTR // CASO 89258163</t>
  </si>
  <si>
    <t>JOSE ANTONIO ROJAS NOVOA</t>
  </si>
  <si>
    <t>AAQkADdkNThjNzFkLWM0ZmMtNDJhYS04MDVlLTIwNzE4ZDI1Mzg4YgAQABSvaGx4hGVDtgRkfMmevuI=</t>
  </si>
  <si>
    <t>CACERES BENAVIDEZ JAREM YASSID -- SOLICITUD DE CONCURRENCIA - "MAPFRE EPS"</t>
  </si>
  <si>
    <t>CACERES BENAVIDEZ JAREM YASSID</t>
  </si>
  <si>
    <t>AAQkADdkNThjNzFkLWM0ZmMtNDJhYS04MDVlLTIwNzE4ZDI1Mzg4YgAQAM8WmqYBmLpIsUhhT1NwOpY=</t>
  </si>
  <si>
    <t>DEL AGUILA APAZA STALIN -- SOLICITUD DE CONCURRENCIA - "MAPFRE EPS"</t>
  </si>
  <si>
    <t>DEL AGUILA APAZA STALIN</t>
  </si>
  <si>
    <t>AAQkADdkNThjNzFkLWM0ZmMtNDJhYS04MDVlLTIwNzE4ZDI1Mzg4YgAQANvE-zlKW5xKn60b4nAC4m4=</t>
  </si>
  <si>
    <t>PROCURADOR SCTR - Caso 89261019</t>
  </si>
  <si>
    <t>YEISON MANUEL ROMERO SOSA</t>
  </si>
  <si>
    <t>AAQkADdkNThjNzFkLWM0ZmMtNDJhYS04MDVlLTIwNzE4ZDI1Mzg4YgAQADVH79IP1NxHknPMUcmdFdI=</t>
  </si>
  <si>
    <t>Procurador SCTR - Caso 89263853</t>
  </si>
  <si>
    <t>FLAVIO SERGIO VIGO SANCHEZ</t>
  </si>
  <si>
    <t>AAQkADdkNThjNzFkLWM0ZmMtNDJhYS04MDVlLTIwNzE4ZDI1Mzg4YgAQAOUqy9LGkgZHliqnBzpNGX8=</t>
  </si>
  <si>
    <t>BAUTISTA MAZA JESUS MIGUEL -- SOLICITUD DE CONCURRENCIA - "MAPFRE EPS"</t>
  </si>
  <si>
    <t>BAUTISTA MAZA JESUS MIGUEL</t>
  </si>
  <si>
    <t>AAQkADdkNThjNzFkLWM0ZmMtNDJhYS04MDVlLTIwNzE4ZDI1Mzg4YgAQACM_3SdxSP9BmbkJuryNjCM=</t>
  </si>
  <si>
    <t>BERRU SALAZAR SAUL FELIPE -- SOLICITUD DE CONCURRENCIA - "MAPFRE EPS"</t>
  </si>
  <si>
    <t>BERRU SALAZAR SAUL FELIPE</t>
  </si>
  <si>
    <t>AAQkADdkNThjNzFkLWM0ZmMtNDJhYS04MDVlLTIwNzE4ZDI1Mzg4YgAQAEH2NvI7lQtMn3tperWJTjA=</t>
  </si>
  <si>
    <t>HANCCO MACHACA JEAN PIERRE FRANCISCO -- SOLICITUD DE CONCURRENCIA - "MAPFRE EPS"</t>
  </si>
  <si>
    <t>HANCCO MACHACA JEAN PIERRE FRANCISCO</t>
  </si>
  <si>
    <t>CG5E5730</t>
  </si>
  <si>
    <t>AAQkADdkNThjNzFkLWM0ZmMtNDJhYS04MDVlLTIwNzE4ZDI1Mzg4YgAQAFhRLzRkMYRGnFsyhQ35KP4=</t>
  </si>
  <si>
    <t>IPANAQUE PEÑA JOSE NICOLAS JUNIOR -- SOLICITUD DE CONCURRENCIA - "MAPFRE EPS"</t>
  </si>
  <si>
    <t>IPANAQUE PEÑA JOSE NICOLAS JUNIOR</t>
  </si>
  <si>
    <t>CG1FE1F0</t>
  </si>
  <si>
    <t>AAQkADdkNThjNzFkLWM0ZmMtNDJhYS04MDVlLTIwNzE4ZDI1Mzg4YgAQAFh4d9aTNFdMgFLqu1exxhM=</t>
  </si>
  <si>
    <t>RUIZ CORDOVA FRANKLIN RENZO -- SOLICITUD DE CONCURRENCIA - "MAPFRE EPS"</t>
  </si>
  <si>
    <t>RUIZ CORDOVA FRANKLIN RENZO</t>
  </si>
  <si>
    <t>CG764E7D</t>
  </si>
  <si>
    <t>AAQkADdkNThjNzFkLWM0ZmMtNDJhYS04MDVlLTIwNzE4ZDI1Mzg4YgAQAGR2W6arD4NOtyDP9m5sC90=</t>
  </si>
  <si>
    <t>RODAS SANCHEZ BRAYAN MAXIMILIANO -- SOLICITUD DE CONCURRENCIA - "MAPFRE EPS"</t>
  </si>
  <si>
    <t>RODAS SANCHEZ BRAYAN MAXIMILIANO</t>
  </si>
  <si>
    <t>CGD101D5</t>
  </si>
  <si>
    <t>AAQkADdkNThjNzFkLWM0ZmMtNDJhYS04MDVlLTIwNzE4ZDI1Mzg4YgAQAJp8uXTCOy5LlB1heUMaH_Y=</t>
  </si>
  <si>
    <t>CESPEDES INGA IRVIN DANILO -- SOLICITUD DE CONCURRENCIA - "MAPFRE EPS"</t>
  </si>
  <si>
    <t>CESPEDES INGA IRVIN DANILO</t>
  </si>
  <si>
    <t>CB5AF05</t>
  </si>
  <si>
    <t>AAQkADdkNThjNzFkLWM0ZmMtNDJhYS04MDVlLTIwNzE4ZDI1Mzg4YgAQADwJWdGiNjRJmW1V9O7ohSc=</t>
  </si>
  <si>
    <t>PROCURADOR SCTR 89282936</t>
  </si>
  <si>
    <t>MANAYAY SANTILLAN JOHNY REYES</t>
  </si>
  <si>
    <t>CGD9DD51</t>
  </si>
  <si>
    <t>AAQkADdkNThjNzFkLWM0ZmMtNDJhYS04MDVlLTIwNzE4ZDI1Mzg4YgAQAB_CHZVoiD9KqalptUSkRQM=</t>
  </si>
  <si>
    <t>GUTIERREZ DE LA CRUZ SAMUEL ARMANDO -- SOLICITUD DE CONCURRENCIA - "MAPFRE EPS"</t>
  </si>
  <si>
    <t>GUTIERREZ DE LA CRUZ SAMUEL ARMANDO</t>
  </si>
  <si>
    <t>CG134F1E</t>
  </si>
  <si>
    <t>AAQkADdkNThjNzFkLWM0ZmMtNDJhYS04MDVlLTIwNzE4ZDI1Mzg4YgAQAP3ymsxqWVBElFwuk48mKLI=</t>
  </si>
  <si>
    <t>DIAZ FERNANDEZ JORGE LUIS -- SOLICITUD DE CONCURRENCIA - "MAPFRE EPS"</t>
  </si>
  <si>
    <t>DIAZ FERNANDEZ JORGE LUIS</t>
  </si>
  <si>
    <t>CG52952E</t>
  </si>
  <si>
    <t>AAQkADdkNThjNzFkLWM0ZmMtNDJhYS04MDVlLTIwNzE4ZDI1Mzg4YgAQAGVn-xVohLtNoz54aAKj3v4=</t>
  </si>
  <si>
    <t>GOMEZ BARROSO ADONIS DANIEL -- SOLICITUD DE CONCURRENCIA - "MAPFRE EPS"</t>
  </si>
  <si>
    <t>GOMEZ BARROSO ADONIS DANIEL</t>
  </si>
  <si>
    <t>AAQkADdkNThjNzFkLWM0ZmMtNDJhYS04MDVlLTIwNzE4ZDI1Mzg4YgAQABuiT4gcivpCoSYQIO0Ktho=</t>
  </si>
  <si>
    <t>PROCURADOR SCTR // CASO 89285355</t>
  </si>
  <si>
    <t>GUILLERMO TACZA ALEX</t>
  </si>
  <si>
    <t>AAQkADdkNThjNzFkLWM0ZmMtNDJhYS04MDVlLTIwNzE4ZDI1Mzg4YgAQAKMcV4jUozxJii_99LKFKiY=</t>
  </si>
  <si>
    <t>PROCURADOR SCTR - Caso  89286588</t>
  </si>
  <si>
    <t>MENDOZA FORNOZA ANTULIO ALEJANDRO</t>
  </si>
  <si>
    <t>CGA7EA57</t>
  </si>
  <si>
    <t>AAQkADdkNThjNzFkLWM0ZmMtNDJhYS04MDVlLTIwNzE4ZDI1Mzg4YgAQAM95PxpowO5Crdf4n0q-LGU=</t>
  </si>
  <si>
    <t>GUARDAMINO PINEDO JULIAN -- SOLICITUD DE CONCURRENCIA - "MAPFRE EPS"</t>
  </si>
  <si>
    <t>GUARDAMINO PINEDO JULIAN</t>
  </si>
  <si>
    <t>CGB70A47</t>
  </si>
  <si>
    <t>AAQkADdkNThjNzFkLWM0ZmMtNDJhYS04MDVlLTIwNzE4ZDI1Mzg4YgAQAICWKKr3YF9DrVEjIcHM5uQ=</t>
  </si>
  <si>
    <t>MEDINA MEJIA ADOLFO DAIVIS -- SOLICITUD DE CONCURRENCIA - "MAPFRE EPS"</t>
  </si>
  <si>
    <t>MEDINA MEJIA ADOLFO DAIVIS</t>
  </si>
  <si>
    <t>CG947B5C</t>
  </si>
  <si>
    <t>AAQkADdkNThjNzFkLWM0ZmMtNDJhYS04MDVlLTIwNzE4ZDI1Mzg4YgAQAA1K1EVwixZInJ_NeCmfd5w=</t>
  </si>
  <si>
    <t>MEDINA MUÑOZ DENIS ALMIDER -- SOLICITUD DE CONCURRENCIA - "MAPFRE EPS"</t>
  </si>
  <si>
    <t>MEDINA MUÑOZ DENIS ALMIDER</t>
  </si>
  <si>
    <t>CG9632F3</t>
  </si>
  <si>
    <t>AAQkADdkNThjNzFkLWM0ZmMtNDJhYS04MDVlLTIwNzE4ZDI1Mzg4YgAQAIhy4GNIEBNMlLNuAjT6s8Q=</t>
  </si>
  <si>
    <t>CASTILLO TOCTO, LUIS ANTONY GREGORI -- SOLICITUD DE CONCURRENCIA - "MAPFRE EPS"</t>
  </si>
  <si>
    <t>CASTILLO TOCTO LUIS ANTONY GREGORI</t>
  </si>
  <si>
    <t>CG2FBB00</t>
  </si>
  <si>
    <t>AAQkADdkNThjNzFkLWM0ZmMtNDJhYS04MDVlLTIwNzE4ZDI1Mzg4YgAQAF_IhgJXHNpKv3nR13HPzaM=</t>
  </si>
  <si>
    <t>CASTILLO CHIPARRA ALEX TEODORO -- SOLICITUD DE CONCURRENCIA - "MAPFRE EPS"</t>
  </si>
  <si>
    <t>CASTILLO CHIPARRA ALEX TEODORO</t>
  </si>
  <si>
    <t>CG6B5E8B</t>
  </si>
  <si>
    <t>AAQkADdkNThjNzFkLWM0ZmMtNDJhYS04MDVlLTIwNzE4ZDI1Mzg4YgAQAD9IunQjEbBHmOZasnnztfU=</t>
  </si>
  <si>
    <t>AQUIJE RAYMUNDO YEREMI HENRY -- SOLICITUD DE CONCURRENCIA - "MAPFRE EPS"</t>
  </si>
  <si>
    <t>AQUIJE RAYMUNDO YEREMI HENRY</t>
  </si>
  <si>
    <t>AAQkADdkNThjNzFkLWM0ZmMtNDJhYS04MDVlLTIwNzE4ZDI1Mzg4YgAQABJV5n-7g5tCvF7MIwh_Bfo=</t>
  </si>
  <si>
    <t>PROCURADOR SCTR Caso  89307037</t>
  </si>
  <si>
    <t>MASCO VILCAPOMA FRANK STIVEN</t>
  </si>
  <si>
    <t>AAQkADdkNThjNzFkLWM0ZmMtNDJhYS04MDVlLTIwNzE4ZDI1Mzg4YgAQALCrrynOUtxJtETjDQNiuEA=</t>
  </si>
  <si>
    <t>PROCURADOR SCTR Caso  89308779</t>
  </si>
  <si>
    <t>CORNEJO PERLECHE FRANK JOSEPH</t>
  </si>
  <si>
    <t>AAQkADdkNThjNzFkLWM0ZmMtNDJhYS04MDVlLTIwNzE4ZDI1Mzg4YgAQAPchRY9UYs9Flyv9xdW4T6s=</t>
  </si>
  <si>
    <t>PROCURADOR SCTR // CASO 89309780</t>
  </si>
  <si>
    <t>CALDAS ASENCIO MANUEL JESUS</t>
  </si>
  <si>
    <t>CGCEF533</t>
  </si>
  <si>
    <t>AAQkADdkNThjNzFkLWM0ZmMtNDJhYS04MDVlLTIwNzE4ZDI1Mzg4YgAQAKkLX5hX-rxNgsiyrhh8kjE=</t>
  </si>
  <si>
    <t>SARMIENTO MACALUPU RONY ALEXIS -- SOLICITUD DE CONCURRENCIA - "MAPFRE EPS"</t>
  </si>
  <si>
    <t>SARMIENTO MACALUPU RONY ALEXIS</t>
  </si>
  <si>
    <t>CG24A0BA</t>
  </si>
  <si>
    <t>AAQkADdkNThjNzFkLWM0ZmMtNDJhYS04MDVlLTIwNzE4ZDI1Mzg4YgAQAKWfOX8gVAhJk84wQOs8EkA=</t>
  </si>
  <si>
    <t>YUPANQUI SULCA LUIS ALBERTO -- SOLICITUD DE CONCURRENCIA - "MAPFRE EPS"</t>
  </si>
  <si>
    <t>YUPANQUI SULCA LUIS ALBERTO</t>
  </si>
  <si>
    <t>AAQkADdkNThjNzFkLWM0ZmMtNDJhYS04MDVlLTIwNzE4ZDI1Mzg4YgAQALC1knd8pcFCvG2j7I-oOQo=</t>
  </si>
  <si>
    <t>PROCURADOR SCTR 89315093</t>
  </si>
  <si>
    <t>RUIZ ABAL JONATHAN MICHAEL</t>
  </si>
  <si>
    <t>CGD52F5B</t>
  </si>
  <si>
    <t>AAQkADdkNThjNzFkLWM0ZmMtNDJhYS04MDVlLTIwNzE4ZDI1Mzg4YgAQAB6ADyi0rOxBuiOlQ3SscO8=</t>
  </si>
  <si>
    <t>CRISTIAN ALFREDO ARROYO RICALDI -- SOLICITUD DE CONCURRENCIA - "MAPFRE EPS"</t>
  </si>
  <si>
    <t>CRISTIAN ALFREDO ARROYO RICALDI</t>
  </si>
  <si>
    <t>AAQkADdkNThjNzFkLWM0ZmMtNDJhYS04MDVlLTIwNzE4ZDI1Mzg4YgAQAKmZq_ByVuBPr4GhF1WNWVU=</t>
  </si>
  <si>
    <t>PROCURADOR SCTR 89317195</t>
  </si>
  <si>
    <t>FIERRO MALLQUI EDGAR RAMON</t>
  </si>
  <si>
    <t>CG43092C</t>
  </si>
  <si>
    <t>AAQkADdkNThjNzFkLWM0ZmMtNDJhYS04MDVlLTIwNzE4ZDI1Mzg4YgAQAMcdQjTTBiJHkyA3301hwUg=</t>
  </si>
  <si>
    <t>HUAMAN QUISPE ALEJANDRO -- SOLICITUD DE CONCURRENCIA - "MAPFRE EPS"</t>
  </si>
  <si>
    <t>HUAMAN QUISPE ALEJANDRO</t>
  </si>
  <si>
    <t>CGAEF501</t>
  </si>
  <si>
    <t>AAQkADdkNThjNzFkLWM0ZmMtNDJhYS04MDVlLTIwNzE4ZDI1Mzg4YgAQACupTm6PabVDioopxboDz3c=</t>
  </si>
  <si>
    <t>RUIZ ABAL JONATHAN MIKHAIL -- SOLICITUD DE CONCURRENCIA - "MAPFRE EPS"</t>
  </si>
  <si>
    <t>RUIZ ABAL JONATHAN MIKHAIL</t>
  </si>
  <si>
    <t>CG45D3FD</t>
  </si>
  <si>
    <t>AAQkADdkNThjNzFkLWM0ZmMtNDJhYS04MDVlLTIwNzE4ZDI1Mzg4YgAQAJi31d4liVNMprYEkfmEXxI=</t>
  </si>
  <si>
    <t>IMAN SERNAQUE JUAN -- SOLICITUD DE CONCURRENCIA - "MAPFRE EPS"</t>
  </si>
  <si>
    <t>IMAN SERNAQUE JUAN</t>
  </si>
  <si>
    <t>CG21E4A9</t>
  </si>
  <si>
    <t>AAQkADdkNThjNzFkLWM0ZmMtNDJhYS04MDVlLTIwNzE4ZDI1Mzg4YgAQAN8XP6xHruxKh1or0uzJVug=</t>
  </si>
  <si>
    <t>MOSCOSO CASTRO JETLEE IHO -- SOLICITUD DE CONCURRENCIA - "MAPFRE EPS"</t>
  </si>
  <si>
    <t>MOSCOSO CASTRO JETLEE IHO</t>
  </si>
  <si>
    <t>AAQkADdkNThjNzFkLWM0ZmMtNDJhYS04MDVlLTIwNzE4ZDI1Mzg4YgAQADoILAUZv1BDpXg9hv7JFgY=</t>
  </si>
  <si>
    <t>PROCURADOR SCTR // CASO 89332625</t>
  </si>
  <si>
    <t>GUTIERREZ QUISPE JAISON EDUARDO</t>
  </si>
  <si>
    <t>CG821C3C</t>
  </si>
  <si>
    <t>AAQkADdkNThjNzFkLWM0ZmMtNDJhYS04MDVlLTIwNzE4ZDI1Mzg4YgAQAAbUaOjJ6sFDoe8dbgpoTLc=</t>
  </si>
  <si>
    <t>BARRETO OTINIANO LISBER HORACIO -- SOLICITUD DE CONCURRENCIA - "MAPFRE EPS"</t>
  </si>
  <si>
    <t>BARRETO OTINIANO LISBER HORACIO</t>
  </si>
  <si>
    <t>AAQkADdkNThjNzFkLWM0ZmMtNDJhYS04MDVlLTIwNzE4ZDI1Mzg4YgAQAMfqhkaUEtFEpIVwXgXBlkg=</t>
  </si>
  <si>
    <t>PROCURADOR SCTR - CASO 89336923</t>
  </si>
  <si>
    <t>ALCANTARA CARDENAS GABRIELA</t>
  </si>
  <si>
    <t>C23C5FF</t>
  </si>
  <si>
    <t>AAQkADdkNThjNzFkLWM0ZmMtNDJhYS04MDVlLTIwNzE4ZDI1Mzg4YgAQALvNYuptgVhAr3j3mwsdlQ8=</t>
  </si>
  <si>
    <t>PROCURADOR SCTR 89339722</t>
  </si>
  <si>
    <t>CHIMOY MARCHAN LUIS ANGEL</t>
  </si>
  <si>
    <t>CG02638A</t>
  </si>
  <si>
    <t>AAQkADdkNThjNzFkLWM0ZmMtNDJhYS04MDVlLTIwNzE4ZDI1Mzg4YgAQAOtRqABsTU1JssnnTFcXOms=</t>
  </si>
  <si>
    <t>CUMPA SAAVEDRA JOSUE DOMINGO -- SOLICITUD DE CONCURRENCIA - "MAPFRE EPS"</t>
  </si>
  <si>
    <t>CUMPA SAAVEDRA JOSUE DOMINGO</t>
  </si>
  <si>
    <t>CG799013</t>
  </si>
  <si>
    <t>AAQkADdkNThjNzFkLWM0ZmMtNDJhYS04MDVlLTIwNzE4ZDI1Mzg4YgAQALSWepsexZROg1hM6eFEvhk=</t>
  </si>
  <si>
    <t>AGUILAR CHUMPITAZ SANDRA LIZET -- SOLICITUD DE CONCURRENCIA - "MAPFRE EPS"</t>
  </si>
  <si>
    <t>AGUILAR CHUMPITAZ SANDRA LIZET</t>
  </si>
  <si>
    <t>CG2A43C6</t>
  </si>
  <si>
    <t>AAQkADdkNThjNzFkLWM0ZmMtNDJhYS04MDVlLTIwNzE4ZDI1Mzg4YgAQAO64e-glPW1DrigAzOuM4XA=</t>
  </si>
  <si>
    <t>RAMIREZ ALIAGA CORALI -- SOLICITUD DE CONCURRENCIA - "MAPFRE EPS"</t>
  </si>
  <si>
    <t>RAMIREZ ALIAGA CORALI</t>
  </si>
  <si>
    <t>C7705F6</t>
  </si>
  <si>
    <t>AAQkADdkNThjNzFkLWM0ZmMtNDJhYS04MDVlLTIwNzE4ZDI1Mzg4YgAQAAc-O3WBq4NDqDoDgj1rRug=</t>
  </si>
  <si>
    <t>PROCURADOR SCTR Caso  89343908</t>
  </si>
  <si>
    <t>CASTRO RIVERA JORGE JULIEN</t>
  </si>
  <si>
    <t>CG281D9C</t>
  </si>
  <si>
    <t>AAQkADdkNThjNzFkLWM0ZmMtNDJhYS04MDVlLTIwNzE4ZDI1Mzg4YgAQALt4OmWkWnJPrDk6cc0P93I=</t>
  </si>
  <si>
    <t>SOSA PAZ SEGUNDO SANTOS -- SOLICITUD DE CONCURRENCIA - "MAPFRE EPS"</t>
  </si>
  <si>
    <t>SOSA PAZ SEGUNDO SANTOS</t>
  </si>
  <si>
    <t>CG7F24B7</t>
  </si>
  <si>
    <t>AAQkADdkNThjNzFkLWM0ZmMtNDJhYS04MDVlLTIwNzE4ZDI1Mzg4YgAQAMU-tfafSetFt5tgwq3Qgpk=</t>
  </si>
  <si>
    <t>CARRILLO SALDAÑA ANDREW DEL PIERO -- SOLICITUD DE CONCURRENCIA - "MAPFRE EPS"</t>
  </si>
  <si>
    <t>CARRILLO SALDAÑA ANDREW DEL PIERO</t>
  </si>
  <si>
    <t>C79BC3B</t>
  </si>
  <si>
    <t>AAQkADdkNThjNzFkLWM0ZmMtNDJhYS04MDVlLTIwNzE4ZDI1Mzg4YgAQADL1kbk906VPqwXArW8bjNE=</t>
  </si>
  <si>
    <t>PROCURADOR SCTR / CASO 89348016</t>
  </si>
  <si>
    <t>SILVA PANTA CARMEN ROSA</t>
  </si>
  <si>
    <t>C12D16C</t>
  </si>
  <si>
    <t>AAQkADdkNThjNzFkLWM0ZmMtNDJhYS04MDVlLTIwNzE4ZDI1Mzg4YgAQAGwd8hw2u_9FkxJSqasbexQ=</t>
  </si>
  <si>
    <t>PROCURADOR SCTR Caso  89348645</t>
  </si>
  <si>
    <t>QUISPE MEJIA SAMUEL SILVESTRE</t>
  </si>
  <si>
    <t>CG373DE6</t>
  </si>
  <si>
    <t>AAQkADdkNThjNzFkLWM0ZmMtNDJhYS04MDVlLTIwNzE4ZDI1Mzg4YgAQANhh9nUsVVFAg1eEish85BQ=</t>
  </si>
  <si>
    <t>CHAVEZ HUAMAN ANGEL GABRIEL -- SOLICITUD DE CONCURRENCIA - "MAPFRE EPS"</t>
  </si>
  <si>
    <t>CHAVEZ HUAMAN ANGEL GABRIEL</t>
  </si>
  <si>
    <t>CGF9B27F</t>
  </si>
  <si>
    <t>AAQkADdkNThjNzFkLWM0ZmMtNDJhYS04MDVlLTIwNzE4ZDI1Mzg4YgAQACebviuFTz1FvUn9NEkFSaA=</t>
  </si>
  <si>
    <t>CALIXTO LLAULLIPOMA ALAN WALTER -- SOLICITUD DE CONCURRENCIA - "MAPFRE EPS"</t>
  </si>
  <si>
    <t>CALIXTO LLAULLIPOMA ALAN WALTER</t>
  </si>
  <si>
    <t>CGA348D3</t>
  </si>
  <si>
    <t>AAQkADdkNThjNzFkLWM0ZmMtNDJhYS04MDVlLTIwNzE4ZDI1Mzg4YgAQAPbQ3Nhitb5Mg0eJb3jqcco=</t>
  </si>
  <si>
    <t>AGUILAR AVALOS LUIS ANGEL -- SOLICITUD DE CONCURRENCIA - "MAPFRE EPS"</t>
  </si>
  <si>
    <t>AGUILAR AVALOS LUIS ANGEL</t>
  </si>
  <si>
    <t>CG82FC5C</t>
  </si>
  <si>
    <t>AAQkADdkNThjNzFkLWM0ZmMtNDJhYS04MDVlLTIwNzE4ZDI1Mzg4YgAQACED05PNIFNJsHWZIykkQzo=</t>
  </si>
  <si>
    <t>REYES HUALLPARIMACHI NICANOR -- SOLICITUD DE CONCURRENCIA - "MAPFRE EPS"</t>
  </si>
  <si>
    <t>REYES HUALLPARIMACHI NICANOR</t>
  </si>
  <si>
    <t>CGAFB56F</t>
  </si>
  <si>
    <t>AAQkADdkNThjNzFkLWM0ZmMtNDJhYS04MDVlLTIwNzE4ZDI1Mzg4YgAQABeTuCsoz75BhX805Rmpe7o=</t>
  </si>
  <si>
    <t>CURAY IPANAQUE ERWIN JOSE -- SOLICITUD DE CONCURRENCIA - "MAPFRE EPS"</t>
  </si>
  <si>
    <t>CURAY IPANAQUE ERWIN JOSE</t>
  </si>
  <si>
    <t>C6010FE</t>
  </si>
  <si>
    <t>AAQkADdkNThjNzFkLWM0ZmMtNDJhYS04MDVlLTIwNzE4ZDI1Mzg4YgAQAEyXiNgJwCRDk2DG80KtACw=</t>
  </si>
  <si>
    <t>PROCURADOR SCTR - CASO:89436909</t>
  </si>
  <si>
    <t>SILVANO MACUYAMA HAITOFUEL ADONIAS</t>
  </si>
  <si>
    <t>CG58DB47</t>
  </si>
  <si>
    <t>AAQkADdkNThjNzFkLWM0ZmMtNDJhYS04MDVlLTIwNzE4ZDI1Mzg4YgAQALavzUzrC8FProV8s-7_OeQ=</t>
  </si>
  <si>
    <t>OCHAVANO MURAYARI DENNIS DAVID -- SOLICITUD DE CONCURRENCIA - "MAPFRE EPS"</t>
  </si>
  <si>
    <t>OCHAVANO MURAYARI DENNIS DAVID</t>
  </si>
  <si>
    <t>C1AE540</t>
  </si>
  <si>
    <t>AAQkADdkNThjNzFkLWM0ZmMtNDJhYS04MDVlLTIwNzE4ZDI1Mzg4YgAQAOM-BdUlyLlKlqL1siX4o9o=</t>
  </si>
  <si>
    <t>PROCURADOR SCTR // CASO 89439549</t>
  </si>
  <si>
    <t>BARBARAN MUÑOZ JAIME LUIGGI</t>
  </si>
  <si>
    <t>CG9CFE5F</t>
  </si>
  <si>
    <t>AAQkADdkNThjNzFkLWM0ZmMtNDJhYS04MDVlLTIwNzE4ZDI1Mzg4YgAQAIPhCILOqYREkP3yGzLrc00=</t>
  </si>
  <si>
    <t>CHACMANA HUAYHUA WILBERT -- SOLICITUD DE CONCURRENCIA - "MAPFRE EPS"</t>
  </si>
  <si>
    <t>CHACMANA HUAYHUA WILBERT</t>
  </si>
  <si>
    <t>CAA7FFB</t>
  </si>
  <si>
    <t>AAQkADdkNThjNzFkLWM0ZmMtNDJhYS04MDVlLTIwNzE4ZDI1Mzg4YgAQANF3W2nxJ1tBjMGwcyzXNpU=</t>
  </si>
  <si>
    <t>RV: PROCURADOR SCTR - CASO 89446016</t>
  </si>
  <si>
    <t>ANDRADE HUANI JEAN MARCO</t>
  </si>
  <si>
    <t>CGFA9EE3</t>
  </si>
  <si>
    <t>AAQkADdkNThjNzFkLWM0ZmMtNDJhYS04MDVlLTIwNzE4ZDI1Mzg4YgAQAHN7lEqEwMhGgHjtCDhirAY=</t>
  </si>
  <si>
    <t>VASQUEZ HONORIO JOSE ALONSO -- SOLICITUD DE CONCURRENCIA - "MAPFRE EPS"</t>
  </si>
  <si>
    <t>VASQUEZ HONORIO JOSE ALONSO</t>
  </si>
  <si>
    <t>C8EC779</t>
  </si>
  <si>
    <t>AAQkADdkNThjNzFkLWM0ZmMtNDJhYS04MDVlLTIwNzE4ZDI1Mzg4YgAQAOweAddG94JOndVN-5S0PS0=</t>
  </si>
  <si>
    <t>PROC SCTR // CASO 89488056</t>
  </si>
  <si>
    <t>AMORIN HEREDIA LUIS ALFONSO</t>
  </si>
  <si>
    <t>CGC8EB33</t>
  </si>
  <si>
    <t>AAQkADdkNThjNzFkLWM0ZmMtNDJhYS04MDVlLTIwNzE4ZDI1Mzg4YgAQACSqv7IzYWBPvV1hV8iovT0=</t>
  </si>
  <si>
    <t>HUAMAN CASMA JORGE ALBERTO -- SOLICITUD DE CONCURRENCIA - "MAPFRE EPS"</t>
  </si>
  <si>
    <t>HUAMAN CASMA JORGE ALBERTO</t>
  </si>
  <si>
    <t>CG93FF95</t>
  </si>
  <si>
    <t>AAQkADdkNThjNzFkLWM0ZmMtNDJhYS04MDVlLTIwNzE4ZDI1Mzg4YgAQAAuZ858C0LRNlrVJYgxGE30=</t>
  </si>
  <si>
    <t>VILA PAUCAR JULIO JESUS -- SOLICITUD DE CONCURRENCIA - "MAPFRE EPS"</t>
  </si>
  <si>
    <t>VILA PAUCAR JULIO JESUS</t>
  </si>
  <si>
    <t>CGCC635F</t>
  </si>
  <si>
    <t>AAQkADdkNThjNzFkLWM0ZmMtNDJhYS04MDVlLTIwNzE4ZDI1Mzg4YgAQALFkhBW4pyJAlNJxNwcm53w=</t>
  </si>
  <si>
    <t>HERRERA CUSCANO JUAN DANIEL -- SOLICITUD DE CONCURRENCIA - "MAPFRE EPS"</t>
  </si>
  <si>
    <t>HERRERA CUSCANO JUAN DANIEL</t>
  </si>
  <si>
    <t>CG4D15B9</t>
  </si>
  <si>
    <t>AAQkADdkNThjNzFkLWM0ZmMtNDJhYS04MDVlLTIwNzE4ZDI1Mzg4YgAQAFHpXIsr0NNCtFHNvrYW7p0=</t>
  </si>
  <si>
    <t>BARROSO JARA SANTA BERNARDA -- SOLICITUD DE CONCURRENCIA - "MAPFRE EPS"</t>
  </si>
  <si>
    <t>BARROSO JARA SANTA BERNARDA</t>
  </si>
  <si>
    <t>C0D5A30</t>
  </si>
  <si>
    <t>AAQkADdkNThjNzFkLWM0ZmMtNDJhYS04MDVlLTIwNzE4ZDI1Mzg4YgAQALniBl7f_jJFkYVmx_38Mec=</t>
  </si>
  <si>
    <t>PROCURADOR SCTR // CASO 89528820</t>
  </si>
  <si>
    <t>SEGUNDO RAMON SEMINARIO APONTE</t>
  </si>
  <si>
    <t>CG437064</t>
  </si>
  <si>
    <t>AAQkADdkNThjNzFkLWM0ZmMtNDJhYS04MDVlLTIwNzE4ZDI1Mzg4YgAQAB_7pVF501tBlXXOGKnYlYI=</t>
  </si>
  <si>
    <t>MOGOLLON MURILLO JAVIER -- SOLICITUD DE CONCURRENCIA - "MAPFRE EPS"</t>
  </si>
  <si>
    <t>MOGOLLON MURILLO JAVIER</t>
  </si>
  <si>
    <t>CGC5D3CB</t>
  </si>
  <si>
    <t>AAQkADdkNThjNzFkLWM0ZmMtNDJhYS04MDVlLTIwNzE4ZDI1Mzg4YgAQADerX-a_qlVNvI5x5I9X1KU=</t>
  </si>
  <si>
    <t>VASQUEZ AMARO JOSE ALBERTO -- SOLICITUD DE CONCURRENCIA - "MAPFRE EPS"</t>
  </si>
  <si>
    <t>VASQUEZ AMARO JOSE ALBERTO</t>
  </si>
  <si>
    <t>CGFAA299</t>
  </si>
  <si>
    <t>AAQkADdkNThjNzFkLWM0ZmMtNDJhYS04MDVlLTIwNzE4ZDI1Mzg4YgAQAJGuxufSsZtCuowQKbc5B-Y=</t>
  </si>
  <si>
    <t>CALDERON ORMEÑO DRAGO LEONARDO -- SOLICITUD DE CONCURRENCIA - "MAPFRE EPS"</t>
  </si>
  <si>
    <t>CALDERON ORMEÑO DRAGO LEONARDO</t>
  </si>
  <si>
    <t>CGCA0B5A</t>
  </si>
  <si>
    <t>AAQkADdkNThjNzFkLWM0ZmMtNDJhYS04MDVlLTIwNzE4ZDI1Mzg4YgAQAFT_sH9CHFtNhLafp_2rgAM=</t>
  </si>
  <si>
    <t>PINEDO GARCIA JORGE LUIS -- SOLICITUD DE CONCURRENCIA - "MAPFRE EPS"</t>
  </si>
  <si>
    <t>PINEDO GARCIA JORGE LUIS</t>
  </si>
  <si>
    <t>CG70BAA4</t>
  </si>
  <si>
    <t>AAQkADdkNThjNzFkLWM0ZmMtNDJhYS04MDVlLTIwNzE4ZDI1Mzg4YgAQAI5IhQUIBDxInHDnimkyJTU=</t>
  </si>
  <si>
    <t>LANCHA PIZANGO JULIAN -- SOLICITUD DE CONCURRENCIA - "MAPFRE EPS"</t>
  </si>
  <si>
    <t>LANCHA PIZANGO JULIAN</t>
  </si>
  <si>
    <t>CGFAC104</t>
  </si>
  <si>
    <t>AAQkADdkNThjNzFkLWM0ZmMtNDJhYS04MDVlLTIwNzE4ZDI1Mzg4YgAQAJF6ZOAhI-RGqM3lKsMThc0=</t>
  </si>
  <si>
    <t>BARBOZA GONZALES GERALD -- SOLICITUD DE CONCURRENCIA - "MAPFRE EPS"</t>
  </si>
  <si>
    <t>BARBOZA GONZALES GERALD</t>
  </si>
  <si>
    <t>CG2DBD90</t>
  </si>
  <si>
    <t>AAQkADdkNThjNzFkLWM0ZmMtNDJhYS04MDVlLTIwNzE4ZDI1Mzg4YgAQAHmngMLEmjpJv3l_30aQy2Q=</t>
  </si>
  <si>
    <t>JUAREZ YNGA KAREN GUISELLE -- SOLICITUD DE CONCURRENCIA - "MAPFRE EPS"</t>
  </si>
  <si>
    <t>JUAREZ YNGA KAREN GUISELLE</t>
  </si>
  <si>
    <t>F68BE25</t>
  </si>
  <si>
    <t>FORMS-8</t>
  </si>
  <si>
    <t>OJEDA NEIRA MAYCO SMITH - INVESTIGACIÓN PARA LÍNEA 24</t>
  </si>
  <si>
    <t>OJEDA NEIRA MAYCO SMITH</t>
  </si>
  <si>
    <t>F4DA9A6</t>
  </si>
  <si>
    <t>FORMS-9</t>
  </si>
  <si>
    <t>CADILLO DIAZ JORGE ALBERTO - INVESTIGACIÓN PARA LÍNEA 24</t>
  </si>
  <si>
    <t>CADILLO DIAZ JORGE ALBERTO</t>
  </si>
  <si>
    <t>CGCFD85D</t>
  </si>
  <si>
    <t>AAQkADdkNThjNzFkLWM0ZmMtNDJhYS04MDVlLTIwNzE4ZDI1Mzg4YgAQANUQqBEbO4FEmZY9vOLCuyg=</t>
  </si>
  <si>
    <t>ANAYA CORDOVA ALBERTO GERARDO -- SOLICITUD DE CONCURRENCIA - "MAPFRE EPS"</t>
  </si>
  <si>
    <t>ANAYA CORDOVA ALBERTO GERARDO</t>
  </si>
  <si>
    <t>F1960E2</t>
  </si>
  <si>
    <t>FORMS-10</t>
  </si>
  <si>
    <t>ARIAS CRISTOBAL ARTURO SATURNINO - INVESTIGACIÓN PARA LÍNEA 24</t>
  </si>
  <si>
    <t>ARIAS CRISTOBAL ARTURO SATURNINO</t>
  </si>
  <si>
    <t>CG355004</t>
  </si>
  <si>
    <t>AAQkADdkNThjNzFkLWM0ZmMtNDJhYS04MDVlLTIwNzE4ZDI1Mzg4YgAQAIHO_MRNN4JLsN1eL6Sg-oQ=</t>
  </si>
  <si>
    <t>FUENTES CABRERA JAREN ALBERTO -- SOLICITUD DE CONCURRENCIA - "MAPFRE EPS"</t>
  </si>
  <si>
    <t>FUENTES CABRERA JAREN ALBERTO</t>
  </si>
  <si>
    <t>CGDC175D</t>
  </si>
  <si>
    <t>AAQkADdkNThjNzFkLWM0ZmMtNDJhYS04MDVlLTIwNzE4ZDI1Mzg4YgAQABFvYE4YMYdBo3-vK0rjnpA=</t>
  </si>
  <si>
    <t>LOPEZ INFANTES AXEL ANDRE -- SOLICITUD DE CONCURRENCIA - "MAPFRE EPS"</t>
  </si>
  <si>
    <t>LOPEZ INFANTES AXEL ANDRE</t>
  </si>
  <si>
    <t>CG224D18</t>
  </si>
  <si>
    <t>AAQkADdkNThjNzFkLWM0ZmMtNDJhYS04MDVlLTIwNzE4ZDI1Mzg4YgAQAK4IOmEyzCdAlDyNr8lMp4k=</t>
  </si>
  <si>
    <t>GARCIA ABREU VICTOR MANUEL -- SOLICITUD DE CONCURRENCIA - "MAPFRE EPS"</t>
  </si>
  <si>
    <t>GARCIA ABREU VICTOR MANUEL</t>
  </si>
  <si>
    <t>FE8D602</t>
  </si>
  <si>
    <t>FORMS-11</t>
  </si>
  <si>
    <t>CANAZA ARANDA JHORDIN LENIN - INVESTIGACIÓN PARA LÍNEA 24</t>
  </si>
  <si>
    <t>CANAZA ARANDA JHORDIN LENIN</t>
  </si>
  <si>
    <t>F33C783</t>
  </si>
  <si>
    <t>FORMS-12</t>
  </si>
  <si>
    <t>EDDY ARTURO TENORIO CUADROS - INVESTIGACIÓN PARA LÍNEA 24</t>
  </si>
  <si>
    <t>EDDY ARTURO TENORIO CUADROS</t>
  </si>
  <si>
    <t>F646CC9</t>
  </si>
  <si>
    <t>FORMS-13</t>
  </si>
  <si>
    <t>CESAR AUGUSTO LEON CARDENAS - INVESTIGACIÓN PARA LÍNEA 24</t>
  </si>
  <si>
    <t>CESAR AUGUSTO LEON CARDENAS</t>
  </si>
  <si>
    <t>CG6D92F4</t>
  </si>
  <si>
    <t>AAQkADdkNThjNzFkLWM0ZmMtNDJhYS04MDVlLTIwNzE4ZDI1Mzg4YgAQAPV36J6AR2lLju3xtRuT-lI=</t>
  </si>
  <si>
    <t>MEDRANO VILLANO CLAUDIO CARLOS -- SOLICITUD DE CONCURRENCIA - "MAPFRE EPS"</t>
  </si>
  <si>
    <t>MEDRANO VILLANO CLAUDIO CARLOS</t>
  </si>
  <si>
    <t>F6FAA70</t>
  </si>
  <si>
    <t>FORMS-14</t>
  </si>
  <si>
    <t>JOEL VELASQUEZ GAONA - INVESTIGACIÓN PARA LÍNEA 24</t>
  </si>
  <si>
    <t>JOEL VELASQUEZ GAONA</t>
  </si>
  <si>
    <t>F0B3652</t>
  </si>
  <si>
    <t>FORMS-15</t>
  </si>
  <si>
    <t>RUTH NOEMI  TAPIA FIGUEROA - INVESTIGACIÓN PARA LÍNEA 24</t>
  </si>
  <si>
    <t>RUTH NOEMI TAPIA FIGUEROA</t>
  </si>
  <si>
    <t>FB3ADC0</t>
  </si>
  <si>
    <t>FORMS-16</t>
  </si>
  <si>
    <t>MONTESINOS MENDOZA ELMER - INVESTIGACIÓN PARA LÍNEA 24</t>
  </si>
  <si>
    <t>MONTESINOS MENDOZA ELMER</t>
  </si>
  <si>
    <t>CG47BC6D</t>
  </si>
  <si>
    <t>AAQkADdkNThjNzFkLWM0ZmMtNDJhYS04MDVlLTIwNzE4ZDI1Mzg4YgAQAD6ZLOnURTlJqvRS2Q0h85M=</t>
  </si>
  <si>
    <t>DIAS ROMERO HARRY JUNIOR JAIR -- SOLICITUD DE CONCURRENCIA - "MAPFRE EPS"</t>
  </si>
  <si>
    <t>DIAS ROMERO HARRY JUNIOR JAIR</t>
  </si>
  <si>
    <t>F5DB29B</t>
  </si>
  <si>
    <t>FORMS-17</t>
  </si>
  <si>
    <t>HARRY JUNIOR JAIR DIAS ROMERO - INVESTIGACIÓN PARA LÍNEA 24</t>
  </si>
  <si>
    <t>HARRY JUNIOR JAIR DIAS ROMERO</t>
  </si>
  <si>
    <t>F52FBA1</t>
  </si>
  <si>
    <t>FORMS-18</t>
  </si>
  <si>
    <t>WILMER AUGUSTO ALIAGA NAJERA - INVESTIGACIÓN PARA LÍNEA 24</t>
  </si>
  <si>
    <t>WILMER AUGUSTO ALIAGA NAJERA</t>
  </si>
  <si>
    <t>CGA01F22</t>
  </si>
  <si>
    <t>AAQkADdkNThjNzFkLWM0ZmMtNDJhYS04MDVlLTIwNzE4ZDI1Mzg4YgAQAKxzTjr-gCRNhD2r8kEyvnA=</t>
  </si>
  <si>
    <t>ALIAGA NAJERA WILMER AUGUSTO -- SOLICITUD DE CONCURRENCIA - "MAPFRE EPS"</t>
  </si>
  <si>
    <t>ALIAGA NAJERA WILMER AUGUSTO</t>
  </si>
  <si>
    <t>F1A3FAE</t>
  </si>
  <si>
    <t>FORMS-19</t>
  </si>
  <si>
    <t>LUIS FERNANDO QUISPE BERNAL - INVESTIGACIÓN PARA LÍNEA 24</t>
  </si>
  <si>
    <t>LUIS FERNANDO QUISPE BERNAL</t>
  </si>
  <si>
    <t>F9559F2</t>
  </si>
  <si>
    <t>FORMS-20</t>
  </si>
  <si>
    <t>VALLADARES ANHUAMAN  FERNANDO ALEXANDER - INVESTIGACIÓN PARA LÍNEA 24</t>
  </si>
  <si>
    <t>VALLADARES ANHUAMAN FERNANDO ALEXANDER</t>
  </si>
  <si>
    <t>CGD93D6E</t>
  </si>
  <si>
    <t>AAQkADdkNThjNzFkLWM0ZmMtNDJhYS04MDVlLTIwNzE4ZDI1Mzg4YgAQAIx53q41DJZCmc98SYcafZU=</t>
  </si>
  <si>
    <t>QUISPE BERNAL LUIS FERNANDO -- SOLICITUD DE CONCURRENCIA - "MAPFRE EPS"</t>
  </si>
  <si>
    <t>QUISPE BERNAL LUIS FERNANDO</t>
  </si>
  <si>
    <t>CGBA30D3</t>
  </si>
  <si>
    <t>AAQkADdkNThjNzFkLWM0ZmMtNDJhYS04MDVlLTIwNzE4ZDI1Mzg4YgAQAJk1VyQmCa9Jv9Xu_8o7Z9U=</t>
  </si>
  <si>
    <t>MONJE MACALUPU ELGER FRANCISCO -- SOLICITUD DE CONCURRENCIA - "MAPFRE EPS"</t>
  </si>
  <si>
    <t>MONJE MACALUPU ELGER FRANCISCO</t>
  </si>
  <si>
    <t>FA7190A</t>
  </si>
  <si>
    <t>FORMS-2</t>
  </si>
  <si>
    <t>FABRICIO JOEL  MORALES SOCOLA - INVESTIGACIÓN PARA LÍNEA 24</t>
  </si>
  <si>
    <t>FABRICIO JOEL MORALES SOCOLA</t>
  </si>
  <si>
    <t>Afiliación próxima</t>
  </si>
  <si>
    <t>F445D88</t>
  </si>
  <si>
    <t>FORMS-3</t>
  </si>
  <si>
    <t>MARILU  DE LA CRUZ ZAMORA - INVESTIGACIÓN PARA LÍNEA 24</t>
  </si>
  <si>
    <t>MARILU DE LA CRUZ ZAMORA</t>
  </si>
  <si>
    <t>Quemaduras, Incumplimiento de orden escrita</t>
  </si>
  <si>
    <t>FF39AF1</t>
  </si>
  <si>
    <t>FORMS-4</t>
  </si>
  <si>
    <t>CARLOS DANILO NAVARRO BALBIN - INVESTIGACIÓN PARA LÍNEA 24</t>
  </si>
  <si>
    <t>CARLOS DANILO NAVARRO BALBIN</t>
  </si>
  <si>
    <t>F3C52FA</t>
  </si>
  <si>
    <t>FORMS-5</t>
  </si>
  <si>
    <t>SAENZ FARFAN GINO ALDAIR - INVESTIGACIÓN PARA LÍNEA 24</t>
  </si>
  <si>
    <t>SAENZ FARFAN GINO ALDAIR</t>
  </si>
  <si>
    <t>F570787</t>
  </si>
  <si>
    <t>FORMS-6</t>
  </si>
  <si>
    <t>LEON VELA MANUEL ANGEL - INVESTIGACIÓN PARA LÍNEA 24</t>
  </si>
  <si>
    <t>LEON VELA MANUEL ANGEL</t>
  </si>
  <si>
    <t>FB2CB0F</t>
  </si>
  <si>
    <t>FORMS-7</t>
  </si>
  <si>
    <t>FRED  VASQUEZ BENITES - INVESTIGACIÓN PARA LÍNEA 24</t>
  </si>
  <si>
    <t>FRED VASQUEZ BENITES</t>
  </si>
  <si>
    <t>Incumplimiento de orden escrita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</si>
</sst>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PEN]_-;\-* #,##0.00\ [$PEN]_-;_-* &quot;-&quot;??\ [$PEN]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0" xfId="0" applyFont="1"/>
    <xf numFmtId="22" fontId="0" fillId="0" borderId="0" xfId="0" applyNumberFormat="1"/>
    <xf numFmtId="14" fontId="0" fillId="0" borderId="0" xfId="0" applyNumberFormat="1"/>
    <xf numFmtId="1" fontId="0" fillId="0" borderId="0" xfId="0" applyNumberFormat="1"/>
    <xf numFmtId="0" fontId="2" fillId="0" borderId="3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4" borderId="0" xfId="0" applyFill="1"/>
    <xf numFmtId="14" fontId="0" fillId="4" borderId="0" xfId="0" applyNumberFormat="1" applyFill="1"/>
    <xf numFmtId="22" fontId="0" fillId="4" borderId="0" xfId="0" applyNumberFormat="1" applyFill="1"/>
    <xf numFmtId="1" fontId="0" fillId="4" borderId="0" xfId="0" applyNumberFormat="1" applyFill="1" applyAlignment="1">
      <alignment horizontal="center"/>
    </xf>
    <xf numFmtId="1" fontId="0" fillId="4" borderId="0" xfId="0" applyNumberFormat="1" applyFill="1"/>
    <xf numFmtId="164" fontId="0" fillId="0" borderId="0" xfId="0" applyNumberFormat="1"/>
    <xf numFmtId="0" fontId="4" fillId="0" borderId="0" xfId="0" applyFont="1"/>
    <xf numFmtId="14" fontId="2" fillId="0" borderId="3" xfId="0" applyNumberFormat="1" applyFont="1" applyBorder="1" applyAlignment="1">
      <alignment horizontal="center" vertical="top"/>
    </xf>
    <xf numFmtId="0" fontId="0" fillId="5" borderId="0" xfId="0" applyFill="1"/>
    <xf numFmtId="14" fontId="0" fillId="5" borderId="0" xfId="0" applyNumberFormat="1" applyFill="1"/>
    <xf numFmtId="22" fontId="0" fillId="5" borderId="0" xfId="0" applyNumberFormat="1" applyFill="1"/>
    <xf numFmtId="1" fontId="0" fillId="5" borderId="0" xfId="0" applyNumberFormat="1" applyFill="1" applyAlignment="1">
      <alignment horizontal="center"/>
    </xf>
    <xf numFmtId="1" fontId="0" fillId="5" borderId="0" xfId="0" applyNumberFormat="1" applyFill="1"/>
    <xf numFmtId="0" fontId="1" fillId="3" borderId="0" xfId="0" applyFont="1" applyFill="1"/>
    <xf numFmtId="0" fontId="1" fillId="3" borderId="2" xfId="0" applyFont="1" applyFill="1" applyBorder="1"/>
    <xf numFmtId="0" fontId="1" fillId="3" borderId="4" xfId="0" applyFont="1" applyFill="1" applyBorder="1"/>
    <xf numFmtId="0" fontId="1" fillId="4" borderId="0" xfId="0" applyFont="1" applyFill="1"/>
    <xf numFmtId="0" fontId="1" fillId="4" borderId="2" xfId="0" applyFont="1" applyFill="1" applyBorder="1"/>
    <xf numFmtId="0" fontId="1" fillId="0" borderId="0" xfId="0" applyFont="1"/>
    <xf numFmtId="0" fontId="1" fillId="0" borderId="2" xfId="0" applyFont="1" applyBorder="1"/>
    <xf numFmtId="0" fontId="1" fillId="5" borderId="0" xfId="0" applyFont="1" applyFill="1"/>
    <xf numFmtId="0" fontId="1" fillId="5" borderId="2" xfId="0" applyFont="1" applyFill="1" applyBorder="1"/>
  </cellXfs>
  <cellStyles count="1">
    <cellStyle name="Normal" xfId="0" builtinId="0"/>
  </cellStyles>
  <dxfs count="18">
    <dxf>
      <numFmt numFmtId="19" formatCode="dd/mm/yyyy"/>
    </dxf>
    <dxf>
      <numFmt numFmtId="19" formatCode="dd/mm/yyyy"/>
    </dxf>
    <dxf>
      <numFmt numFmtId="0" formatCode="General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  <alignment horizontal="center"/>
    </dxf>
    <dxf>
      <numFmt numFmtId="27" formatCode="dd/mm/yyyy\ h:mm"/>
    </dxf>
    <dxf>
      <numFmt numFmtId="19" formatCode="dd/mm/yyyy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NEA24" displayName="LINEA24" ref="A1:P493" totalsRowShown="0" headerRowDxfId="16" headerRowBorderDxfId="14" tableBorderDxfId="15">
  <autoFilter ref="A1:P493" xr:uid="{00000000-000C-0000-FFFF-FFFF00000000}">
    <filterColumn colId="1" hiddenButton="1"/>
  </autoFilter>
  <tableColumns count="16">
    <tableColumn id="9" xr3:uid="{6D862B21-1CD7-4B4D-8822-D22300059C28}" name="Identificador" dataDxfId="13"/>
    <tableColumn id="8" xr3:uid="{00000000-0010-0000-0000-000008000000}" name="ConversationId" dataDxfId="12"/>
    <tableColumn id="1" xr3:uid="{00000000-0010-0000-0000-000001000000}" name="Asunto"/>
    <tableColumn id="4" xr3:uid="{A520D34F-B35A-4DC6-8243-1462767613AB}" name="Nombre" dataDxfId="11">
      <calculatedColumnFormula>LEFT(LINEA24[[#This Row],[Asunto]],SEARCH("--",LINEA24[[#This Row],[Asunto]])-2)</calculatedColumnFormula>
    </tableColumn>
    <tableColumn id="2" xr3:uid="{00000000-0010-0000-0000-000002000000}" name="FechaRecepcion" dataDxfId="10"/>
    <tableColumn id="17" xr3:uid="{D4BD054A-196D-4372-B47B-FE824BF1BE7D}" name="Motivo_Investigacion" dataDxfId="9"/>
    <tableColumn id="7" xr3:uid="{A8D07882-B481-4806-964C-67960974B56C}" name="SOLICITA" dataDxfId="8"/>
    <tableColumn id="5" xr3:uid="{9C078C6F-9D83-43AE-BBF1-D80610A87F9E}" name="Estado"/>
    <tableColumn id="10" xr3:uid="{AE3745C7-7D58-4D42-9A50-3E5D03E01D94}" name="Días_Transcurridos" dataDxfId="7">
      <calculatedColumnFormula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calculatedColumnFormula>
    </tableColumn>
    <tableColumn id="11" xr3:uid="{67B629AB-AA3E-4BB8-8488-DD7EC0DCDEEC}" name="Fecha_Activacion" dataDxfId="6"/>
    <tableColumn id="3" xr3:uid="{AB3ABF0D-723A-4BD5-A9FA-B50B2055A79E}" name="Fecha_Preliminar" dataDxfId="5"/>
    <tableColumn id="13" xr3:uid="{5D4640C8-E47B-49BA-A67C-4425731DAF87}" name="Fecha_Informe" dataDxfId="4">
      <calculatedColumnFormula>IF(LINEA24[[#This Row],[Estado]]="INFORME FINAL",TODAY(),"")</calculatedColumnFormula>
    </tableColumn>
    <tableColumn id="15" xr3:uid="{7E1A1DEF-1F1E-4D8B-B45B-5E874ECE03C3}" name="Días_Cal" dataDxfId="3">
      <calculatedColumnFormula>IF(LINEA24[[#This Row],[Fecha_Informe]]="","",-_xlfn.DAYS(INT(LINEA24[[#This Row],[FechaRecepcion]]),INT(LINEA24[[#This Row],[Fecha_Informe]])))</calculatedColumnFormula>
    </tableColumn>
    <tableColumn id="12" xr3:uid="{246F0E16-8D39-411A-B470-E5DB73291855}" name="Decisión_Final" dataDxfId="2"/>
    <tableColumn id="6" xr3:uid="{1BFF0B29-AEBB-4EF3-950C-D50ED9075DA6}" name="Monto ahorrado" dataDxfId="1"/>
    <tableColumn id="14" xr3:uid="{28884410-EC5C-4F28-963C-341D26B93230}" name="Pago a Linea 2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E471-B0C5-41AE-BF71-8F8DA153BBC9}">
  <dimension ref="B2:H12"/>
  <sheetViews>
    <sheetView workbookViewId="0">
      <selection activeCell="E2" sqref="E2:E4"/>
    </sheetView>
  </sheetViews>
  <sheetFormatPr defaultRowHeight="15"/>
  <cols>
    <col min="2" max="2" width="18.42578125" bestFit="1" customWidth="1"/>
    <col min="3" max="3" width="10" bestFit="1" customWidth="1"/>
    <col min="4" max="4" width="19.42578125" bestFit="1" customWidth="1"/>
    <col min="5" max="5" width="18.42578125" bestFit="1" customWidth="1"/>
  </cols>
  <sheetData>
    <row r="2" spans="2:8">
      <c r="B2" s="4" t="s">
        <v>0</v>
      </c>
      <c r="C2" s="4" t="s">
        <v>1</v>
      </c>
      <c r="D2" s="4"/>
      <c r="E2" s="4"/>
      <c r="H2" t="s">
        <v>2</v>
      </c>
    </row>
    <row r="3" spans="2:8">
      <c r="B3" t="s">
        <v>3</v>
      </c>
      <c r="C3">
        <v>1</v>
      </c>
    </row>
    <row r="4" spans="2:8">
      <c r="B4" t="s">
        <v>4</v>
      </c>
    </row>
    <row r="5" spans="2:8">
      <c r="B5" t="s">
        <v>5</v>
      </c>
      <c r="C5">
        <v>2</v>
      </c>
    </row>
    <row r="6" spans="2:8">
      <c r="C6">
        <v>7</v>
      </c>
    </row>
    <row r="10" spans="2:8">
      <c r="B10" s="4" t="s">
        <v>6</v>
      </c>
      <c r="D10" s="4"/>
      <c r="E10" s="4"/>
    </row>
    <row r="11" spans="2:8">
      <c r="B11" t="s">
        <v>7</v>
      </c>
    </row>
    <row r="12" spans="2:8">
      <c r="B1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3"/>
  <sheetViews>
    <sheetView tabSelected="1" workbookViewId="0">
      <selection activeCell="D1" sqref="D1"/>
    </sheetView>
  </sheetViews>
  <sheetFormatPr defaultColWidth="9.140625" defaultRowHeight="15"/>
  <cols>
    <col min="1" max="2" width="6.42578125" customWidth="1"/>
    <col min="3" max="4" width="41.5703125" customWidth="1"/>
    <col min="5" max="5" width="17.85546875" style="6" bestFit="1" customWidth="1"/>
    <col min="6" max="6" width="17.85546875" style="6" customWidth="1"/>
    <col min="7" max="7" width="17.85546875" customWidth="1"/>
    <col min="8" max="8" width="18.28515625" customWidth="1"/>
    <col min="9" max="9" width="6.85546875" customWidth="1"/>
    <col min="10" max="10" width="15.5703125" style="6" customWidth="1"/>
    <col min="11" max="11" width="17.5703125" style="6" customWidth="1"/>
    <col min="12" max="12" width="17" style="6" bestFit="1" customWidth="1"/>
    <col min="13" max="13" width="10.42578125" bestFit="1" customWidth="1"/>
    <col min="14" max="14" width="17" customWidth="1"/>
    <col min="15" max="15" width="18.42578125" bestFit="1" customWidth="1"/>
    <col min="16" max="16" width="17.28515625" bestFit="1" customWidth="1"/>
  </cols>
  <sheetData>
    <row r="1" spans="1:16">
      <c r="A1" s="2" t="s">
        <v>9</v>
      </c>
      <c r="B1" s="2" t="s">
        <v>10</v>
      </c>
      <c r="C1" s="1" t="s">
        <v>11</v>
      </c>
      <c r="D1" s="1" t="s">
        <v>12</v>
      </c>
      <c r="E1" s="9" t="s">
        <v>13</v>
      </c>
      <c r="F1" s="19" t="s">
        <v>14</v>
      </c>
      <c r="G1" s="8" t="s">
        <v>15</v>
      </c>
      <c r="H1" s="3" t="s">
        <v>0</v>
      </c>
      <c r="I1" s="3" t="s">
        <v>16</v>
      </c>
      <c r="J1" s="10" t="s">
        <v>17</v>
      </c>
      <c r="K1" s="10" t="s">
        <v>18</v>
      </c>
      <c r="L1" s="10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 spans="1:16">
      <c r="A2" s="25"/>
      <c r="B2" s="26" t="s">
        <v>24</v>
      </c>
      <c r="C2" t="s">
        <v>25</v>
      </c>
      <c r="D2" t="s">
        <v>26</v>
      </c>
      <c r="E2" s="6">
        <v>45937.716516203698</v>
      </c>
      <c r="G2" s="5" t="s">
        <v>27</v>
      </c>
      <c r="H2" t="s">
        <v>28</v>
      </c>
      <c r="I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</v>
      </c>
      <c r="L2" s="6">
        <v>45939</v>
      </c>
      <c r="M2" s="7">
        <f>IFERROR(IF(OR(LINEA24[[#This Row],[Fecha_Informe]]="",LINEA24[[#This Row],[FechaRecepcion]]=""),"",INT(LINEA24[[#This Row],[Fecha_Informe]])-INT(LINEA24[[#This Row],[FechaRecepcion]])),"")</f>
        <v>2</v>
      </c>
      <c r="O2" s="6"/>
      <c r="P2" s="6"/>
    </row>
    <row r="3" spans="1:16">
      <c r="A3" s="25"/>
      <c r="B3" s="26" t="s">
        <v>29</v>
      </c>
      <c r="C3" t="s">
        <v>30</v>
      </c>
      <c r="D3" t="s">
        <v>31</v>
      </c>
      <c r="E3" s="6">
        <v>45939.3563194444</v>
      </c>
      <c r="G3" s="5" t="s">
        <v>27</v>
      </c>
      <c r="H3" t="s">
        <v>28</v>
      </c>
      <c r="I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</v>
      </c>
      <c r="K3" s="6">
        <v>45944</v>
      </c>
      <c r="L3" s="6">
        <v>45953</v>
      </c>
      <c r="M3" s="7">
        <f>IFERROR(IF(OR(LINEA24[[#This Row],[Fecha_Informe]]="",LINEA24[[#This Row],[FechaRecepcion]]=""),"",INT(LINEA24[[#This Row],[Fecha_Informe]])-INT(LINEA24[[#This Row],[FechaRecepcion]])),"")</f>
        <v>14</v>
      </c>
      <c r="O3" s="6"/>
      <c r="P3" s="6"/>
    </row>
    <row r="4" spans="1:16">
      <c r="A4" s="25"/>
      <c r="B4" s="27" t="s">
        <v>32</v>
      </c>
      <c r="C4" t="s">
        <v>33</v>
      </c>
      <c r="D4" t="s">
        <v>34</v>
      </c>
      <c r="E4" s="6">
        <v>45939.380729166704</v>
      </c>
      <c r="G4" s="5" t="s">
        <v>27</v>
      </c>
      <c r="H4" t="s">
        <v>28</v>
      </c>
      <c r="I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42</v>
      </c>
      <c r="L4" s="6">
        <v>45981</v>
      </c>
      <c r="M4" s="7">
        <f>IFERROR(IF(OR(LINEA24[[#This Row],[Fecha_Informe]]="",LINEA24[[#This Row],[FechaRecepcion]]=""),"",INT(LINEA24[[#This Row],[Fecha_Informe]])-INT(LINEA24[[#This Row],[FechaRecepcion]])),"")</f>
        <v>42</v>
      </c>
      <c r="O4" s="6"/>
      <c r="P4" s="6"/>
    </row>
    <row r="5" spans="1:16">
      <c r="A5" s="25"/>
      <c r="B5" s="26" t="s">
        <v>35</v>
      </c>
      <c r="C5" t="s">
        <v>36</v>
      </c>
      <c r="D5" t="s">
        <v>37</v>
      </c>
      <c r="E5" s="6">
        <v>45939.408622685201</v>
      </c>
      <c r="G5" s="5" t="s">
        <v>27</v>
      </c>
      <c r="H5" t="s">
        <v>28</v>
      </c>
      <c r="I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41</v>
      </c>
      <c r="L5" s="6">
        <v>45980</v>
      </c>
      <c r="M5" s="7">
        <f>IFERROR(IF(OR(LINEA24[[#This Row],[Fecha_Informe]]="",LINEA24[[#This Row],[FechaRecepcion]]=""),"",INT(LINEA24[[#This Row],[Fecha_Informe]])-INT(LINEA24[[#This Row],[FechaRecepcion]])),"")</f>
        <v>41</v>
      </c>
      <c r="O5" s="6"/>
      <c r="P5" s="6"/>
    </row>
    <row r="6" spans="1:16">
      <c r="A6" s="25"/>
      <c r="B6" s="27" t="s">
        <v>38</v>
      </c>
      <c r="C6" t="s">
        <v>39</v>
      </c>
      <c r="D6" t="s">
        <v>40</v>
      </c>
      <c r="E6" s="6">
        <v>45939.533125000002</v>
      </c>
      <c r="G6" s="5" t="s">
        <v>27</v>
      </c>
      <c r="H6" t="s">
        <v>41</v>
      </c>
      <c r="I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372</v>
      </c>
      <c r="M6" s="7" t="str">
        <f>IFERROR(IF(OR(LINEA24[[#This Row],[Fecha_Informe]]="",LINEA24[[#This Row],[FechaRecepcion]]=""),"",INT(LINEA24[[#This Row],[Fecha_Informe]])-INT(LINEA24[[#This Row],[FechaRecepcion]])),"")</f>
        <v/>
      </c>
      <c r="O6" s="6"/>
      <c r="P6" s="6"/>
    </row>
    <row r="7" spans="1:16">
      <c r="A7" s="25"/>
      <c r="B7" s="26" t="s">
        <v>42</v>
      </c>
      <c r="C7" t="s">
        <v>43</v>
      </c>
      <c r="D7" t="s">
        <v>44</v>
      </c>
      <c r="E7" s="6">
        <v>45939.561273148101</v>
      </c>
      <c r="G7" s="5" t="s">
        <v>27</v>
      </c>
      <c r="H7" t="s">
        <v>41</v>
      </c>
      <c r="I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372</v>
      </c>
      <c r="M7" s="7" t="str">
        <f>IFERROR(IF(OR(LINEA24[[#This Row],[Fecha_Informe]]="",LINEA24[[#This Row],[FechaRecepcion]]=""),"",INT(LINEA24[[#This Row],[Fecha_Informe]])-INT(LINEA24[[#This Row],[FechaRecepcion]])),"")</f>
        <v/>
      </c>
      <c r="O7" s="6"/>
      <c r="P7" s="6"/>
    </row>
    <row r="8" spans="1:16">
      <c r="A8" s="25"/>
      <c r="B8" s="26" t="s">
        <v>45</v>
      </c>
      <c r="C8" t="s">
        <v>46</v>
      </c>
      <c r="D8" t="s">
        <v>47</v>
      </c>
      <c r="E8" s="6">
        <v>45939.675960648201</v>
      </c>
      <c r="G8" s="5" t="s">
        <v>27</v>
      </c>
      <c r="H8" t="s">
        <v>28</v>
      </c>
      <c r="I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35</v>
      </c>
      <c r="L8" s="6">
        <v>45974</v>
      </c>
      <c r="M8" s="7">
        <f>IFERROR(IF(OR(LINEA24[[#This Row],[Fecha_Informe]]="",LINEA24[[#This Row],[FechaRecepcion]]=""),"",INT(LINEA24[[#This Row],[Fecha_Informe]])-INT(LINEA24[[#This Row],[FechaRecepcion]])),"")</f>
        <v>35</v>
      </c>
      <c r="O8" s="6"/>
      <c r="P8" s="6"/>
    </row>
    <row r="9" spans="1:16">
      <c r="A9" s="25"/>
      <c r="B9" s="27" t="s">
        <v>48</v>
      </c>
      <c r="C9" t="s">
        <v>49</v>
      </c>
      <c r="D9" t="s">
        <v>50</v>
      </c>
      <c r="E9" s="6">
        <v>45940.385879629597</v>
      </c>
      <c r="G9" s="5" t="s">
        <v>27</v>
      </c>
      <c r="H9" t="s">
        <v>28</v>
      </c>
      <c r="I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</v>
      </c>
      <c r="L9" s="6">
        <v>45966</v>
      </c>
      <c r="M9" s="7">
        <f>IFERROR(IF(OR(LINEA24[[#This Row],[Fecha_Informe]]="",LINEA24[[#This Row],[FechaRecepcion]]=""),"",INT(LINEA24[[#This Row],[Fecha_Informe]])-INT(LINEA24[[#This Row],[FechaRecepcion]])),"")</f>
        <v>26</v>
      </c>
      <c r="O9" s="6"/>
      <c r="P9" s="6"/>
    </row>
    <row r="10" spans="1:16">
      <c r="A10" s="25"/>
      <c r="B10" s="27" t="s">
        <v>51</v>
      </c>
      <c r="C10" t="s">
        <v>52</v>
      </c>
      <c r="D10" t="s">
        <v>53</v>
      </c>
      <c r="E10" s="6">
        <v>45940.388587963003</v>
      </c>
      <c r="G10" s="5" t="s">
        <v>27</v>
      </c>
      <c r="H10" t="s">
        <v>28</v>
      </c>
      <c r="I1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L10" s="6">
        <v>45940</v>
      </c>
      <c r="M10" s="7">
        <f>IFERROR(IF(OR(LINEA24[[#This Row],[Fecha_Informe]]="",LINEA24[[#This Row],[FechaRecepcion]]=""),"",INT(LINEA24[[#This Row],[Fecha_Informe]])-INT(LINEA24[[#This Row],[FechaRecepcion]])),"")</f>
        <v>0</v>
      </c>
      <c r="O10" s="6"/>
      <c r="P10" s="6"/>
    </row>
    <row r="11" spans="1:16">
      <c r="A11" s="25"/>
      <c r="B11" s="26" t="s">
        <v>54</v>
      </c>
      <c r="C11" t="s">
        <v>55</v>
      </c>
      <c r="D11" t="s">
        <v>56</v>
      </c>
      <c r="E11" s="6">
        <v>45940.3977199074</v>
      </c>
      <c r="G11" s="5" t="s">
        <v>27</v>
      </c>
      <c r="H11" t="s">
        <v>28</v>
      </c>
      <c r="I1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L11" s="6">
        <v>45940</v>
      </c>
      <c r="M11" s="7">
        <f>IFERROR(IF(OR(LINEA24[[#This Row],[Fecha_Informe]]="",LINEA24[[#This Row],[FechaRecepcion]]=""),"",INT(LINEA24[[#This Row],[Fecha_Informe]])-INT(LINEA24[[#This Row],[FechaRecepcion]])),"")</f>
        <v>0</v>
      </c>
      <c r="O11" s="6"/>
      <c r="P11" s="6"/>
    </row>
    <row r="12" spans="1:16">
      <c r="A12" s="25"/>
      <c r="B12" s="27" t="s">
        <v>57</v>
      </c>
      <c r="C12" t="s">
        <v>58</v>
      </c>
      <c r="D12" t="s">
        <v>59</v>
      </c>
      <c r="E12" s="6">
        <v>45940.490960648101</v>
      </c>
      <c r="G12" s="5" t="s">
        <v>27</v>
      </c>
      <c r="H12" t="s">
        <v>28</v>
      </c>
      <c r="I1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L12" s="6">
        <v>45940</v>
      </c>
      <c r="M12" s="7">
        <f>IFERROR(IF(OR(LINEA24[[#This Row],[Fecha_Informe]]="",LINEA24[[#This Row],[FechaRecepcion]]=""),"",INT(LINEA24[[#This Row],[Fecha_Informe]])-INT(LINEA24[[#This Row],[FechaRecepcion]])),"")</f>
        <v>0</v>
      </c>
      <c r="O12" s="6"/>
      <c r="P12" s="6"/>
    </row>
    <row r="13" spans="1:16">
      <c r="A13" s="25"/>
      <c r="B13" s="26" t="s">
        <v>60</v>
      </c>
      <c r="C13" t="s">
        <v>61</v>
      </c>
      <c r="D13" t="s">
        <v>62</v>
      </c>
      <c r="E13" s="6">
        <v>45940.541875000003</v>
      </c>
      <c r="G13" s="5" t="s">
        <v>27</v>
      </c>
      <c r="H13" t="s">
        <v>28</v>
      </c>
      <c r="I1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</v>
      </c>
      <c r="L13" s="6">
        <v>45973</v>
      </c>
      <c r="M13" s="7">
        <f>IFERROR(IF(OR(LINEA24[[#This Row],[Fecha_Informe]]="",LINEA24[[#This Row],[FechaRecepcion]]=""),"",INT(LINEA24[[#This Row],[Fecha_Informe]])-INT(LINEA24[[#This Row],[FechaRecepcion]])),"")</f>
        <v>33</v>
      </c>
      <c r="O13" s="6"/>
      <c r="P13" s="6"/>
    </row>
    <row r="14" spans="1:16">
      <c r="A14" s="25"/>
      <c r="B14" s="26" t="s">
        <v>63</v>
      </c>
      <c r="C14" t="s">
        <v>64</v>
      </c>
      <c r="D14" t="s">
        <v>65</v>
      </c>
      <c r="E14" s="6">
        <v>45940.565405092602</v>
      </c>
      <c r="G14" s="5" t="s">
        <v>27</v>
      </c>
      <c r="H14" t="s">
        <v>28</v>
      </c>
      <c r="I1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11</v>
      </c>
      <c r="L14" s="6">
        <v>45951</v>
      </c>
      <c r="M14" s="7">
        <f>IFERROR(IF(OR(LINEA24[[#This Row],[Fecha_Informe]]="",LINEA24[[#This Row],[FechaRecepcion]]=""),"",INT(LINEA24[[#This Row],[Fecha_Informe]])-INT(LINEA24[[#This Row],[FechaRecepcion]])),"")</f>
        <v>11</v>
      </c>
      <c r="O14" s="6"/>
      <c r="P14" s="6"/>
    </row>
    <row r="15" spans="1:16">
      <c r="A15" s="25"/>
      <c r="B15" s="26" t="s">
        <v>66</v>
      </c>
      <c r="C15" t="s">
        <v>67</v>
      </c>
      <c r="D15" t="s">
        <v>68</v>
      </c>
      <c r="E15" s="6">
        <v>45943.416944444398</v>
      </c>
      <c r="G15" s="5" t="s">
        <v>27</v>
      </c>
      <c r="H15" t="s">
        <v>41</v>
      </c>
      <c r="I1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368</v>
      </c>
      <c r="M15" s="7" t="str">
        <f>IFERROR(IF(OR(LINEA24[[#This Row],[Fecha_Informe]]="",LINEA24[[#This Row],[FechaRecepcion]]=""),"",INT(LINEA24[[#This Row],[Fecha_Informe]])-INT(LINEA24[[#This Row],[FechaRecepcion]])),"")</f>
        <v/>
      </c>
      <c r="O15" s="6"/>
      <c r="P15" s="6"/>
    </row>
    <row r="16" spans="1:16">
      <c r="A16" s="25"/>
      <c r="B16" s="27" t="s">
        <v>69</v>
      </c>
      <c r="C16" t="s">
        <v>70</v>
      </c>
      <c r="D16" t="s">
        <v>71</v>
      </c>
      <c r="E16" s="6">
        <v>45943.432731481502</v>
      </c>
      <c r="G16" s="5" t="s">
        <v>27</v>
      </c>
      <c r="H16" t="s">
        <v>28</v>
      </c>
      <c r="I1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</v>
      </c>
      <c r="L16" s="6">
        <v>45973</v>
      </c>
      <c r="M16" s="7">
        <f>IFERROR(IF(OR(LINEA24[[#This Row],[Fecha_Informe]]="",LINEA24[[#This Row],[FechaRecepcion]]=""),"",INT(LINEA24[[#This Row],[Fecha_Informe]])-INT(LINEA24[[#This Row],[FechaRecepcion]])),"")</f>
        <v>30</v>
      </c>
      <c r="O16" s="6"/>
      <c r="P16" s="6"/>
    </row>
    <row r="17" spans="1:16">
      <c r="A17" s="25"/>
      <c r="B17" s="26" t="s">
        <v>72</v>
      </c>
      <c r="C17" t="s">
        <v>73</v>
      </c>
      <c r="D17" t="s">
        <v>74</v>
      </c>
      <c r="E17" s="6">
        <v>45943.445462962998</v>
      </c>
      <c r="G17" s="5" t="s">
        <v>27</v>
      </c>
      <c r="H17" t="s">
        <v>28</v>
      </c>
      <c r="I1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</v>
      </c>
      <c r="K17" s="6">
        <v>45947</v>
      </c>
      <c r="L17" s="6">
        <v>45966</v>
      </c>
      <c r="M17" s="7">
        <f>IFERROR(IF(OR(LINEA24[[#This Row],[Fecha_Informe]]="",LINEA24[[#This Row],[FechaRecepcion]]=""),"",INT(LINEA24[[#This Row],[Fecha_Informe]])-INT(LINEA24[[#This Row],[FechaRecepcion]])),"")</f>
        <v>23</v>
      </c>
      <c r="O17" s="6"/>
      <c r="P17" s="6"/>
    </row>
    <row r="18" spans="1:16">
      <c r="A18" s="25"/>
      <c r="B18" s="26" t="s">
        <v>75</v>
      </c>
      <c r="C18" t="s">
        <v>76</v>
      </c>
      <c r="D18" t="s">
        <v>77</v>
      </c>
      <c r="E18" s="6">
        <v>45943.516400462999</v>
      </c>
      <c r="G18" s="5" t="s">
        <v>27</v>
      </c>
      <c r="H18" t="s">
        <v>28</v>
      </c>
      <c r="I1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L18" s="6">
        <v>45943</v>
      </c>
      <c r="M18" s="7">
        <f>IFERROR(IF(OR(LINEA24[[#This Row],[Fecha_Informe]]="",LINEA24[[#This Row],[FechaRecepcion]]=""),"",INT(LINEA24[[#This Row],[Fecha_Informe]])-INT(LINEA24[[#This Row],[FechaRecepcion]])),"")</f>
        <v>0</v>
      </c>
      <c r="O18" s="6"/>
      <c r="P18" s="6"/>
    </row>
    <row r="19" spans="1:16">
      <c r="A19" s="25"/>
      <c r="B19" s="26" t="s">
        <v>78</v>
      </c>
      <c r="C19" t="s">
        <v>79</v>
      </c>
      <c r="D19" t="s">
        <v>80</v>
      </c>
      <c r="E19" s="6">
        <v>45943.522002314799</v>
      </c>
      <c r="G19" s="5" t="s">
        <v>27</v>
      </c>
      <c r="H19" t="s">
        <v>28</v>
      </c>
      <c r="I1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</v>
      </c>
      <c r="L19" s="6">
        <v>45973</v>
      </c>
      <c r="M19" s="7">
        <f>IFERROR(IF(OR(LINEA24[[#This Row],[Fecha_Informe]]="",LINEA24[[#This Row],[FechaRecepcion]]=""),"",INT(LINEA24[[#This Row],[Fecha_Informe]])-INT(LINEA24[[#This Row],[FechaRecepcion]])),"")</f>
        <v>30</v>
      </c>
      <c r="O19" s="6"/>
      <c r="P19" s="6"/>
    </row>
    <row r="20" spans="1:16">
      <c r="A20" s="25"/>
      <c r="B20" s="27" t="s">
        <v>81</v>
      </c>
      <c r="C20" t="s">
        <v>82</v>
      </c>
      <c r="D20" t="s">
        <v>83</v>
      </c>
      <c r="E20" s="6">
        <v>45943.577835648102</v>
      </c>
      <c r="G20" s="5" t="s">
        <v>27</v>
      </c>
      <c r="H20" t="s">
        <v>28</v>
      </c>
      <c r="I2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15</v>
      </c>
      <c r="L20" s="6">
        <v>45958</v>
      </c>
      <c r="M20" s="7">
        <f>IFERROR(IF(OR(LINEA24[[#This Row],[Fecha_Informe]]="",LINEA24[[#This Row],[FechaRecepcion]]=""),"",INT(LINEA24[[#This Row],[Fecha_Informe]])-INT(LINEA24[[#This Row],[FechaRecepcion]])),"")</f>
        <v>15</v>
      </c>
      <c r="O20" s="6"/>
      <c r="P20" s="6"/>
    </row>
    <row r="21" spans="1:16">
      <c r="A21" s="25"/>
      <c r="B21" s="26" t="s">
        <v>84</v>
      </c>
      <c r="C21" t="s">
        <v>85</v>
      </c>
      <c r="D21" t="s">
        <v>86</v>
      </c>
      <c r="E21" s="6">
        <v>45943.686527777798</v>
      </c>
      <c r="G21" s="5" t="s">
        <v>27</v>
      </c>
      <c r="H21" t="s">
        <v>28</v>
      </c>
      <c r="I2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17</v>
      </c>
      <c r="L21" s="6">
        <v>45960</v>
      </c>
      <c r="M21" s="7">
        <f>IFERROR(IF(OR(LINEA24[[#This Row],[Fecha_Informe]]="",LINEA24[[#This Row],[FechaRecepcion]]=""),"",INT(LINEA24[[#This Row],[Fecha_Informe]])-INT(LINEA24[[#This Row],[FechaRecepcion]])),"")</f>
        <v>17</v>
      </c>
      <c r="O21" s="6"/>
      <c r="P21" s="6"/>
    </row>
    <row r="22" spans="1:16">
      <c r="A22" s="25"/>
      <c r="B22" s="26" t="s">
        <v>87</v>
      </c>
      <c r="C22" t="s">
        <v>88</v>
      </c>
      <c r="D22" t="s">
        <v>89</v>
      </c>
      <c r="E22" s="6">
        <v>45943.707314814797</v>
      </c>
      <c r="G22" s="5" t="s">
        <v>27</v>
      </c>
      <c r="H22" t="s">
        <v>28</v>
      </c>
      <c r="I2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</v>
      </c>
      <c r="L22" s="6">
        <v>45944</v>
      </c>
      <c r="M22" s="7">
        <f>IFERROR(IF(OR(LINEA24[[#This Row],[Fecha_Informe]]="",LINEA24[[#This Row],[FechaRecepcion]]=""),"",INT(LINEA24[[#This Row],[Fecha_Informe]])-INT(LINEA24[[#This Row],[FechaRecepcion]])),"")</f>
        <v>1</v>
      </c>
      <c r="O22" s="6"/>
      <c r="P22" s="6"/>
    </row>
    <row r="23" spans="1:16">
      <c r="A23" s="25"/>
      <c r="B23" s="26" t="s">
        <v>90</v>
      </c>
      <c r="C23" t="s">
        <v>91</v>
      </c>
      <c r="D23" t="s">
        <v>92</v>
      </c>
      <c r="E23" s="6">
        <v>45944.475717592599</v>
      </c>
      <c r="G23" s="5" t="s">
        <v>27</v>
      </c>
      <c r="H23" t="s">
        <v>28</v>
      </c>
      <c r="I2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L23" s="6">
        <v>45952</v>
      </c>
      <c r="M23" s="7">
        <f>IFERROR(IF(OR(LINEA24[[#This Row],[Fecha_Informe]]="",LINEA24[[#This Row],[FechaRecepcion]]=""),"",INT(LINEA24[[#This Row],[Fecha_Informe]])-INT(LINEA24[[#This Row],[FechaRecepcion]])),"")</f>
        <v>8</v>
      </c>
      <c r="O23" s="6"/>
      <c r="P23" s="6"/>
    </row>
    <row r="24" spans="1:16">
      <c r="A24" s="25"/>
      <c r="B24" s="26" t="s">
        <v>93</v>
      </c>
      <c r="C24" t="s">
        <v>94</v>
      </c>
      <c r="D24" t="s">
        <v>95</v>
      </c>
      <c r="E24" s="6">
        <v>45944.564421296302</v>
      </c>
      <c r="G24" s="5" t="s">
        <v>27</v>
      </c>
      <c r="H24" t="s">
        <v>28</v>
      </c>
      <c r="I2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</v>
      </c>
      <c r="L24" s="6">
        <v>45945</v>
      </c>
      <c r="M24" s="7">
        <f>IFERROR(IF(OR(LINEA24[[#This Row],[Fecha_Informe]]="",LINEA24[[#This Row],[FechaRecepcion]]=""),"",INT(LINEA24[[#This Row],[Fecha_Informe]])-INT(LINEA24[[#This Row],[FechaRecepcion]])),"")</f>
        <v>1</v>
      </c>
      <c r="O24" s="6"/>
      <c r="P24" s="6"/>
    </row>
    <row r="25" spans="1:16">
      <c r="A25" s="25"/>
      <c r="B25" s="26" t="s">
        <v>96</v>
      </c>
      <c r="C25" t="s">
        <v>97</v>
      </c>
      <c r="D25" t="s">
        <v>98</v>
      </c>
      <c r="E25" s="6">
        <v>45944.6729513889</v>
      </c>
      <c r="G25" s="5" t="s">
        <v>27</v>
      </c>
      <c r="H25" t="s">
        <v>28</v>
      </c>
      <c r="I2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37</v>
      </c>
      <c r="L25" s="6">
        <v>45981</v>
      </c>
      <c r="M25" s="7">
        <f>IFERROR(IF(OR(LINEA24[[#This Row],[Fecha_Informe]]="",LINEA24[[#This Row],[FechaRecepcion]]=""),"",INT(LINEA24[[#This Row],[Fecha_Informe]])-INT(LINEA24[[#This Row],[FechaRecepcion]])),"")</f>
        <v>37</v>
      </c>
      <c r="O25" s="6"/>
      <c r="P25" s="6"/>
    </row>
    <row r="26" spans="1:16">
      <c r="A26" s="25"/>
      <c r="B26" s="26" t="s">
        <v>99</v>
      </c>
      <c r="C26" t="s">
        <v>100</v>
      </c>
      <c r="D26" t="s">
        <v>101</v>
      </c>
      <c r="E26" s="6">
        <v>45944.699016203696</v>
      </c>
      <c r="G26" s="5" t="s">
        <v>27</v>
      </c>
      <c r="H26" t="s">
        <v>28</v>
      </c>
      <c r="I2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</v>
      </c>
      <c r="L26" s="6">
        <v>45958</v>
      </c>
      <c r="M26" s="7">
        <f>IFERROR(IF(OR(LINEA24[[#This Row],[Fecha_Informe]]="",LINEA24[[#This Row],[FechaRecepcion]]=""),"",INT(LINEA24[[#This Row],[Fecha_Informe]])-INT(LINEA24[[#This Row],[FechaRecepcion]])),"")</f>
        <v>14</v>
      </c>
      <c r="O26" s="6"/>
      <c r="P26" s="6"/>
    </row>
    <row r="27" spans="1:16">
      <c r="A27" s="25"/>
      <c r="B27" s="26" t="s">
        <v>102</v>
      </c>
      <c r="C27" t="s">
        <v>103</v>
      </c>
      <c r="D27" t="s">
        <v>104</v>
      </c>
      <c r="E27" s="6">
        <v>45944.713206018503</v>
      </c>
      <c r="G27" s="5" t="s">
        <v>27</v>
      </c>
      <c r="H27" t="s">
        <v>28</v>
      </c>
      <c r="I2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</v>
      </c>
      <c r="L27" s="6">
        <v>45946</v>
      </c>
      <c r="M27" s="7">
        <f>IFERROR(IF(OR(LINEA24[[#This Row],[Fecha_Informe]]="",LINEA24[[#This Row],[FechaRecepcion]]=""),"",INT(LINEA24[[#This Row],[Fecha_Informe]])-INT(LINEA24[[#This Row],[FechaRecepcion]])),"")</f>
        <v>2</v>
      </c>
      <c r="O27" s="6"/>
      <c r="P27" s="6"/>
    </row>
    <row r="28" spans="1:16">
      <c r="A28" s="25"/>
      <c r="B28" s="27" t="s">
        <v>105</v>
      </c>
      <c r="C28" t="s">
        <v>106</v>
      </c>
      <c r="D28" t="s">
        <v>107</v>
      </c>
      <c r="E28" s="6">
        <v>45945.434525463003</v>
      </c>
      <c r="G28" s="5" t="s">
        <v>27</v>
      </c>
      <c r="H28" t="s">
        <v>28</v>
      </c>
      <c r="I2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</v>
      </c>
      <c r="L28" s="6">
        <v>45946</v>
      </c>
      <c r="M28" s="7">
        <f>IFERROR(IF(OR(LINEA24[[#This Row],[Fecha_Informe]]="",LINEA24[[#This Row],[FechaRecepcion]]=""),"",INT(LINEA24[[#This Row],[Fecha_Informe]])-INT(LINEA24[[#This Row],[FechaRecepcion]])),"")</f>
        <v>1</v>
      </c>
      <c r="O28" s="6"/>
      <c r="P28" s="6"/>
    </row>
    <row r="29" spans="1:16">
      <c r="A29" s="25"/>
      <c r="B29" s="26" t="s">
        <v>108</v>
      </c>
      <c r="C29" t="s">
        <v>109</v>
      </c>
      <c r="D29" t="s">
        <v>110</v>
      </c>
      <c r="E29" s="6">
        <v>45945.5091203704</v>
      </c>
      <c r="G29" s="5" t="s">
        <v>27</v>
      </c>
      <c r="H29" t="s">
        <v>28</v>
      </c>
      <c r="I2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9</v>
      </c>
      <c r="L29" s="6">
        <v>45954</v>
      </c>
      <c r="M29" s="7">
        <f>IFERROR(IF(OR(LINEA24[[#This Row],[Fecha_Informe]]="",LINEA24[[#This Row],[FechaRecepcion]]=""),"",INT(LINEA24[[#This Row],[Fecha_Informe]])-INT(LINEA24[[#This Row],[FechaRecepcion]])),"")</f>
        <v>9</v>
      </c>
      <c r="O29" s="6"/>
      <c r="P29" s="6"/>
    </row>
    <row r="30" spans="1:16">
      <c r="A30" s="25"/>
      <c r="B30" s="26" t="s">
        <v>111</v>
      </c>
      <c r="C30" t="s">
        <v>112</v>
      </c>
      <c r="D30" t="s">
        <v>113</v>
      </c>
      <c r="E30" s="6">
        <v>45945.677881944401</v>
      </c>
      <c r="G30" s="5" t="s">
        <v>27</v>
      </c>
      <c r="H30" t="s">
        <v>28</v>
      </c>
      <c r="I3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L30" s="6">
        <v>45958</v>
      </c>
      <c r="M30" s="7">
        <f>IFERROR(IF(OR(LINEA24[[#This Row],[Fecha_Informe]]="",LINEA24[[#This Row],[FechaRecepcion]]=""),"",INT(LINEA24[[#This Row],[Fecha_Informe]])-INT(LINEA24[[#This Row],[FechaRecepcion]])),"")</f>
        <v>13</v>
      </c>
      <c r="O30" s="6"/>
      <c r="P30" s="6"/>
    </row>
    <row r="31" spans="1:16">
      <c r="A31" s="25"/>
      <c r="B31" s="27" t="s">
        <v>114</v>
      </c>
      <c r="C31" t="s">
        <v>115</v>
      </c>
      <c r="D31" t="s">
        <v>116</v>
      </c>
      <c r="E31" s="6">
        <v>45945.727199074099</v>
      </c>
      <c r="G31" s="5" t="s">
        <v>27</v>
      </c>
      <c r="H31" t="s">
        <v>28</v>
      </c>
      <c r="I3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L31" s="6">
        <v>45958</v>
      </c>
      <c r="M31" s="7">
        <f>IFERROR(IF(OR(LINEA24[[#This Row],[Fecha_Informe]]="",LINEA24[[#This Row],[FechaRecepcion]]=""),"",INT(LINEA24[[#This Row],[Fecha_Informe]])-INT(LINEA24[[#This Row],[FechaRecepcion]])),"")</f>
        <v>13</v>
      </c>
      <c r="O31" s="6"/>
      <c r="P31" s="6"/>
    </row>
    <row r="32" spans="1:16">
      <c r="A32" s="25"/>
      <c r="B32" s="26" t="s">
        <v>117</v>
      </c>
      <c r="C32" t="s">
        <v>118</v>
      </c>
      <c r="D32" t="s">
        <v>119</v>
      </c>
      <c r="E32" s="6">
        <v>45945.788449074098</v>
      </c>
      <c r="G32" s="5" t="s">
        <v>27</v>
      </c>
      <c r="H32" t="s">
        <v>28</v>
      </c>
      <c r="I3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</v>
      </c>
      <c r="L32" s="6">
        <v>45951</v>
      </c>
      <c r="M32" s="7">
        <f>IFERROR(IF(OR(LINEA24[[#This Row],[Fecha_Informe]]="",LINEA24[[#This Row],[FechaRecepcion]]=""),"",INT(LINEA24[[#This Row],[Fecha_Informe]])-INT(LINEA24[[#This Row],[FechaRecepcion]])),"")</f>
        <v>6</v>
      </c>
      <c r="O32" s="6"/>
      <c r="P32" s="6"/>
    </row>
    <row r="33" spans="1:16">
      <c r="A33" s="25"/>
      <c r="B33" s="26" t="s">
        <v>120</v>
      </c>
      <c r="C33" t="s">
        <v>121</v>
      </c>
      <c r="D33" t="s">
        <v>122</v>
      </c>
      <c r="E33" s="6">
        <v>45946.476273148102</v>
      </c>
      <c r="G33" s="5" t="s">
        <v>27</v>
      </c>
      <c r="H33" t="s">
        <v>28</v>
      </c>
      <c r="I3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</v>
      </c>
      <c r="L33" s="6">
        <v>45952</v>
      </c>
      <c r="M33" s="7">
        <f>IFERROR(IF(OR(LINEA24[[#This Row],[Fecha_Informe]]="",LINEA24[[#This Row],[FechaRecepcion]]=""),"",INT(LINEA24[[#This Row],[Fecha_Informe]])-INT(LINEA24[[#This Row],[FechaRecepcion]])),"")</f>
        <v>6</v>
      </c>
      <c r="O33" s="6"/>
      <c r="P33" s="6"/>
    </row>
    <row r="34" spans="1:16">
      <c r="A34" s="25"/>
      <c r="B34" s="27" t="s">
        <v>123</v>
      </c>
      <c r="C34" t="s">
        <v>124</v>
      </c>
      <c r="D34" t="s">
        <v>125</v>
      </c>
      <c r="E34" s="6">
        <v>45946.484409722201</v>
      </c>
      <c r="G34" s="5" t="s">
        <v>27</v>
      </c>
      <c r="H34" t="s">
        <v>28</v>
      </c>
      <c r="I3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12</v>
      </c>
      <c r="L34" s="6">
        <v>45958</v>
      </c>
      <c r="M34" s="7">
        <f>IFERROR(IF(OR(LINEA24[[#This Row],[Fecha_Informe]]="",LINEA24[[#This Row],[FechaRecepcion]]=""),"",INT(LINEA24[[#This Row],[Fecha_Informe]])-INT(LINEA24[[#This Row],[FechaRecepcion]])),"")</f>
        <v>12</v>
      </c>
      <c r="O34" s="6"/>
      <c r="P34" s="6"/>
    </row>
    <row r="35" spans="1:16">
      <c r="A35" s="25"/>
      <c r="B35" s="26" t="s">
        <v>126</v>
      </c>
      <c r="C35" t="s">
        <v>127</v>
      </c>
      <c r="D35" t="s">
        <v>128</v>
      </c>
      <c r="E35" s="6">
        <v>45946.510879629597</v>
      </c>
      <c r="G35" s="5" t="s">
        <v>27</v>
      </c>
      <c r="H35" t="s">
        <v>41</v>
      </c>
      <c r="I3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365</v>
      </c>
      <c r="M35" s="7" t="str">
        <f>IFERROR(IF(OR(LINEA24[[#This Row],[Fecha_Informe]]="",LINEA24[[#This Row],[FechaRecepcion]]=""),"",INT(LINEA24[[#This Row],[Fecha_Informe]])-INT(LINEA24[[#This Row],[FechaRecepcion]])),"")</f>
        <v/>
      </c>
      <c r="O35" s="6"/>
      <c r="P35" s="6"/>
    </row>
    <row r="36" spans="1:16">
      <c r="A36" s="25"/>
      <c r="B36" s="27" t="s">
        <v>129</v>
      </c>
      <c r="C36" t="s">
        <v>130</v>
      </c>
      <c r="D36" t="s">
        <v>131</v>
      </c>
      <c r="E36" s="6">
        <v>45946.514837962997</v>
      </c>
      <c r="G36" s="5" t="s">
        <v>27</v>
      </c>
      <c r="H36" t="s">
        <v>28</v>
      </c>
      <c r="I3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12</v>
      </c>
      <c r="L36" s="6">
        <v>45958</v>
      </c>
      <c r="M36" s="7">
        <f>IFERROR(IF(OR(LINEA24[[#This Row],[Fecha_Informe]]="",LINEA24[[#This Row],[FechaRecepcion]]=""),"",INT(LINEA24[[#This Row],[Fecha_Informe]])-INT(LINEA24[[#This Row],[FechaRecepcion]])),"")</f>
        <v>12</v>
      </c>
      <c r="O36" s="6"/>
      <c r="P36" s="6"/>
    </row>
    <row r="37" spans="1:16">
      <c r="A37" s="25"/>
      <c r="B37" s="26" t="s">
        <v>132</v>
      </c>
      <c r="C37" t="s">
        <v>133</v>
      </c>
      <c r="D37" t="s">
        <v>134</v>
      </c>
      <c r="E37" s="6">
        <v>45946.521238425899</v>
      </c>
      <c r="G37" s="5" t="s">
        <v>27</v>
      </c>
      <c r="H37" t="s">
        <v>28</v>
      </c>
      <c r="I3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</v>
      </c>
      <c r="L37" s="6">
        <v>45951</v>
      </c>
      <c r="M37" s="7">
        <f>IFERROR(IF(OR(LINEA24[[#This Row],[Fecha_Informe]]="",LINEA24[[#This Row],[FechaRecepcion]]=""),"",INT(LINEA24[[#This Row],[Fecha_Informe]])-INT(LINEA24[[#This Row],[FechaRecepcion]])),"")</f>
        <v>5</v>
      </c>
      <c r="O37" s="6"/>
      <c r="P37" s="6"/>
    </row>
    <row r="38" spans="1:16">
      <c r="A38" s="25"/>
      <c r="B38" s="26" t="s">
        <v>135</v>
      </c>
      <c r="C38" t="s">
        <v>136</v>
      </c>
      <c r="D38" t="s">
        <v>137</v>
      </c>
      <c r="E38" s="6">
        <v>45946.677187499998</v>
      </c>
      <c r="G38" s="5" t="s">
        <v>27</v>
      </c>
      <c r="H38" t="s">
        <v>41</v>
      </c>
      <c r="I3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365</v>
      </c>
      <c r="M38" s="7" t="str">
        <f>IFERROR(IF(OR(LINEA24[[#This Row],[Fecha_Informe]]="",LINEA24[[#This Row],[FechaRecepcion]]=""),"",INT(LINEA24[[#This Row],[Fecha_Informe]])-INT(LINEA24[[#This Row],[FechaRecepcion]])),"")</f>
        <v/>
      </c>
      <c r="O38" s="6"/>
      <c r="P38" s="6"/>
    </row>
    <row r="39" spans="1:16">
      <c r="A39" s="25"/>
      <c r="B39" s="27" t="s">
        <v>138</v>
      </c>
      <c r="C39" t="s">
        <v>139</v>
      </c>
      <c r="D39" t="s">
        <v>140</v>
      </c>
      <c r="E39" s="6">
        <v>45947.503981481503</v>
      </c>
      <c r="G39" s="5" t="s">
        <v>27</v>
      </c>
      <c r="H39" t="s">
        <v>28</v>
      </c>
      <c r="I3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7</v>
      </c>
      <c r="L39" s="6">
        <v>45954</v>
      </c>
      <c r="M39" s="7">
        <f>IFERROR(IF(OR(LINEA24[[#This Row],[Fecha_Informe]]="",LINEA24[[#This Row],[FechaRecepcion]]=""),"",INT(LINEA24[[#This Row],[Fecha_Informe]])-INT(LINEA24[[#This Row],[FechaRecepcion]])),"")</f>
        <v>7</v>
      </c>
      <c r="O39" s="6"/>
      <c r="P39" s="6"/>
    </row>
    <row r="40" spans="1:16">
      <c r="A40" s="25"/>
      <c r="B40" s="26" t="s">
        <v>141</v>
      </c>
      <c r="C40" t="s">
        <v>142</v>
      </c>
      <c r="D40" t="s">
        <v>143</v>
      </c>
      <c r="E40" s="6">
        <v>45947.539282407401</v>
      </c>
      <c r="G40" s="5" t="s">
        <v>27</v>
      </c>
      <c r="H40" t="s">
        <v>28</v>
      </c>
      <c r="I4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11</v>
      </c>
      <c r="K40" s="6">
        <v>45950</v>
      </c>
      <c r="L40" s="6">
        <v>45958</v>
      </c>
      <c r="M40" s="7">
        <f>IFERROR(IF(OR(LINEA24[[#This Row],[Fecha_Informe]]="",LINEA24[[#This Row],[FechaRecepcion]]=""),"",INT(LINEA24[[#This Row],[Fecha_Informe]])-INT(LINEA24[[#This Row],[FechaRecepcion]])),"")</f>
        <v>11</v>
      </c>
      <c r="O40" s="6"/>
      <c r="P40" s="6"/>
    </row>
    <row r="41" spans="1:16">
      <c r="A41" s="25"/>
      <c r="B41" s="26" t="s">
        <v>144</v>
      </c>
      <c r="C41" t="s">
        <v>145</v>
      </c>
      <c r="D41" t="s">
        <v>146</v>
      </c>
      <c r="E41" s="6">
        <v>45947.556412037004</v>
      </c>
      <c r="G41" s="5" t="s">
        <v>27</v>
      </c>
      <c r="H41" t="s">
        <v>28</v>
      </c>
      <c r="I4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</v>
      </c>
      <c r="L41" s="6">
        <v>45974</v>
      </c>
      <c r="M41" s="7">
        <f>IFERROR(IF(OR(LINEA24[[#This Row],[Fecha_Informe]]="",LINEA24[[#This Row],[FechaRecepcion]]=""),"",INT(LINEA24[[#This Row],[Fecha_Informe]])-INT(LINEA24[[#This Row],[FechaRecepcion]])),"")</f>
        <v>27</v>
      </c>
      <c r="O41" s="6"/>
      <c r="P41" s="6"/>
    </row>
    <row r="42" spans="1:16">
      <c r="A42" s="25"/>
      <c r="B42" s="26" t="s">
        <v>147</v>
      </c>
      <c r="C42" t="s">
        <v>148</v>
      </c>
      <c r="D42" t="s">
        <v>149</v>
      </c>
      <c r="E42" s="6">
        <v>45947.578819444403</v>
      </c>
      <c r="G42" s="5" t="s">
        <v>27</v>
      </c>
      <c r="H42" t="s">
        <v>28</v>
      </c>
      <c r="I4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</v>
      </c>
      <c r="L42" s="6">
        <v>45953</v>
      </c>
      <c r="M42" s="7">
        <f>IFERROR(IF(OR(LINEA24[[#This Row],[Fecha_Informe]]="",LINEA24[[#This Row],[FechaRecepcion]]=""),"",INT(LINEA24[[#This Row],[Fecha_Informe]])-INT(LINEA24[[#This Row],[FechaRecepcion]])),"")</f>
        <v>6</v>
      </c>
      <c r="O42" s="6"/>
      <c r="P42" s="6"/>
    </row>
    <row r="43" spans="1:16">
      <c r="A43" s="25"/>
      <c r="B43" s="27" t="s">
        <v>150</v>
      </c>
      <c r="C43" t="s">
        <v>151</v>
      </c>
      <c r="D43" t="s">
        <v>152</v>
      </c>
      <c r="E43" s="6">
        <v>45950.307592592602</v>
      </c>
      <c r="G43" s="5" t="s">
        <v>27</v>
      </c>
      <c r="H43" t="s">
        <v>28</v>
      </c>
      <c r="I4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L43" s="6">
        <v>45958</v>
      </c>
      <c r="M43" s="7">
        <f>IFERROR(IF(OR(LINEA24[[#This Row],[Fecha_Informe]]="",LINEA24[[#This Row],[FechaRecepcion]]=""),"",INT(LINEA24[[#This Row],[Fecha_Informe]])-INT(LINEA24[[#This Row],[FechaRecepcion]])),"")</f>
        <v>8</v>
      </c>
      <c r="O43" s="6"/>
      <c r="P43" s="6"/>
    </row>
    <row r="44" spans="1:16">
      <c r="A44" s="25"/>
      <c r="B44" s="26" t="s">
        <v>153</v>
      </c>
      <c r="C44" t="s">
        <v>154</v>
      </c>
      <c r="D44" t="s">
        <v>155</v>
      </c>
      <c r="E44" s="6">
        <v>45950.432129629597</v>
      </c>
      <c r="G44" s="5" t="s">
        <v>27</v>
      </c>
      <c r="H44" t="s">
        <v>41</v>
      </c>
      <c r="I4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361</v>
      </c>
      <c r="M44" s="7" t="str">
        <f>IFERROR(IF(OR(LINEA24[[#This Row],[Fecha_Informe]]="",LINEA24[[#This Row],[FechaRecepcion]]=""),"",INT(LINEA24[[#This Row],[Fecha_Informe]])-INT(LINEA24[[#This Row],[FechaRecepcion]])),"")</f>
        <v/>
      </c>
      <c r="O44" s="6"/>
      <c r="P44" s="6"/>
    </row>
    <row r="45" spans="1:16">
      <c r="A45" s="25"/>
      <c r="B45" s="27" t="s">
        <v>156</v>
      </c>
      <c r="C45" t="s">
        <v>157</v>
      </c>
      <c r="D45" t="s">
        <v>158</v>
      </c>
      <c r="E45" s="6">
        <v>45951.453090277799</v>
      </c>
      <c r="G45" s="5" t="s">
        <v>27</v>
      </c>
      <c r="H45" t="s">
        <v>28</v>
      </c>
      <c r="I4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10</v>
      </c>
      <c r="L45" s="6">
        <v>45961</v>
      </c>
      <c r="M45" s="7">
        <f>IFERROR(IF(OR(LINEA24[[#This Row],[Fecha_Informe]]="",LINEA24[[#This Row],[FechaRecepcion]]=""),"",INT(LINEA24[[#This Row],[Fecha_Informe]])-INT(LINEA24[[#This Row],[FechaRecepcion]])),"")</f>
        <v>10</v>
      </c>
      <c r="O45" s="6"/>
      <c r="P45" s="6"/>
    </row>
    <row r="46" spans="1:16">
      <c r="A46" s="25"/>
      <c r="B46" s="26" t="s">
        <v>159</v>
      </c>
      <c r="C46" t="s">
        <v>160</v>
      </c>
      <c r="D46" t="s">
        <v>161</v>
      </c>
      <c r="E46" s="6">
        <v>45952.523310185199</v>
      </c>
      <c r="G46" s="5" t="s">
        <v>27</v>
      </c>
      <c r="H46" t="s">
        <v>28</v>
      </c>
      <c r="I4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L46" s="6">
        <v>45960</v>
      </c>
      <c r="M46" s="7">
        <f>IFERROR(IF(OR(LINEA24[[#This Row],[Fecha_Informe]]="",LINEA24[[#This Row],[FechaRecepcion]]=""),"",INT(LINEA24[[#This Row],[Fecha_Informe]])-INT(LINEA24[[#This Row],[FechaRecepcion]])),"")</f>
        <v>8</v>
      </c>
      <c r="O46" s="6"/>
      <c r="P46" s="6"/>
    </row>
    <row r="47" spans="1:16">
      <c r="A47" s="25"/>
      <c r="B47" s="26" t="s">
        <v>162</v>
      </c>
      <c r="C47" t="s">
        <v>163</v>
      </c>
      <c r="D47" t="s">
        <v>164</v>
      </c>
      <c r="E47" s="6">
        <v>45952.537280092598</v>
      </c>
      <c r="G47" s="5" t="s">
        <v>27</v>
      </c>
      <c r="H47" t="s">
        <v>28</v>
      </c>
      <c r="I4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K47" s="6">
        <v>45953</v>
      </c>
      <c r="L47" s="6">
        <v>45965</v>
      </c>
      <c r="M47" s="7">
        <f>IFERROR(IF(OR(LINEA24[[#This Row],[Fecha_Informe]]="",LINEA24[[#This Row],[FechaRecepcion]]=""),"",INT(LINEA24[[#This Row],[Fecha_Informe]])-INT(LINEA24[[#This Row],[FechaRecepcion]])),"")</f>
        <v>13</v>
      </c>
      <c r="O47" s="6"/>
      <c r="P47" s="6"/>
    </row>
    <row r="48" spans="1:16">
      <c r="A48" s="25"/>
      <c r="B48" s="26" t="s">
        <v>165</v>
      </c>
      <c r="C48" t="s">
        <v>166</v>
      </c>
      <c r="D48" t="s">
        <v>167</v>
      </c>
      <c r="E48" s="6">
        <v>45952.577499999999</v>
      </c>
      <c r="G48" s="5" t="s">
        <v>27</v>
      </c>
      <c r="H48" t="s">
        <v>28</v>
      </c>
      <c r="I4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16</v>
      </c>
      <c r="L48" s="6">
        <v>45968</v>
      </c>
      <c r="M48" s="7">
        <f>IFERROR(IF(OR(LINEA24[[#This Row],[Fecha_Informe]]="",LINEA24[[#This Row],[FechaRecepcion]]=""),"",INT(LINEA24[[#This Row],[Fecha_Informe]])-INT(LINEA24[[#This Row],[FechaRecepcion]])),"")</f>
        <v>16</v>
      </c>
      <c r="O48" s="6"/>
      <c r="P48" s="6"/>
    </row>
    <row r="49" spans="1:16">
      <c r="A49" s="25"/>
      <c r="B49" s="27" t="s">
        <v>168</v>
      </c>
      <c r="C49" t="s">
        <v>169</v>
      </c>
      <c r="D49" t="s">
        <v>170</v>
      </c>
      <c r="E49" s="6">
        <v>45952.712962963</v>
      </c>
      <c r="G49" s="5" t="s">
        <v>27</v>
      </c>
      <c r="H49" t="s">
        <v>28</v>
      </c>
      <c r="I4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L49" s="6">
        <v>45965</v>
      </c>
      <c r="M49" s="7">
        <f>IFERROR(IF(OR(LINEA24[[#This Row],[Fecha_Informe]]="",LINEA24[[#This Row],[FechaRecepcion]]=""),"",INT(LINEA24[[#This Row],[Fecha_Informe]])-INT(LINEA24[[#This Row],[FechaRecepcion]])),"")</f>
        <v>13</v>
      </c>
      <c r="O49" s="6"/>
      <c r="P49" s="6"/>
    </row>
    <row r="50" spans="1:16">
      <c r="A50" s="25"/>
      <c r="B50" s="27" t="s">
        <v>171</v>
      </c>
      <c r="C50" t="s">
        <v>172</v>
      </c>
      <c r="D50" t="s">
        <v>173</v>
      </c>
      <c r="E50" s="6">
        <v>45953.4444560185</v>
      </c>
      <c r="G50" s="5" t="s">
        <v>27</v>
      </c>
      <c r="H50" t="s">
        <v>28</v>
      </c>
      <c r="I5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11</v>
      </c>
      <c r="K50" s="6">
        <v>45954</v>
      </c>
      <c r="L50" s="6">
        <v>45964</v>
      </c>
      <c r="M50" s="7">
        <f>IFERROR(IF(OR(LINEA24[[#This Row],[Fecha_Informe]]="",LINEA24[[#This Row],[FechaRecepcion]]=""),"",INT(LINEA24[[#This Row],[Fecha_Informe]])-INT(LINEA24[[#This Row],[FechaRecepcion]])),"")</f>
        <v>11</v>
      </c>
      <c r="O50" s="6"/>
      <c r="P50" s="6"/>
    </row>
    <row r="51" spans="1:16">
      <c r="A51" s="25"/>
      <c r="B51" s="26" t="s">
        <v>174</v>
      </c>
      <c r="C51" t="s">
        <v>175</v>
      </c>
      <c r="D51" t="s">
        <v>176</v>
      </c>
      <c r="E51" s="6">
        <v>45953.498124999998</v>
      </c>
      <c r="G51" s="5" t="s">
        <v>27</v>
      </c>
      <c r="H51" t="s">
        <v>28</v>
      </c>
      <c r="I5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</v>
      </c>
      <c r="L51" s="6">
        <v>45954</v>
      </c>
      <c r="M51" s="7">
        <f>IFERROR(IF(OR(LINEA24[[#This Row],[Fecha_Informe]]="",LINEA24[[#This Row],[FechaRecepcion]]=""),"",INT(LINEA24[[#This Row],[Fecha_Informe]])-INT(LINEA24[[#This Row],[FechaRecepcion]])),"")</f>
        <v>1</v>
      </c>
      <c r="O51" s="6"/>
      <c r="P51" s="6"/>
    </row>
    <row r="52" spans="1:16">
      <c r="A52" s="25"/>
      <c r="B52" s="26" t="s">
        <v>177</v>
      </c>
      <c r="C52" t="s">
        <v>178</v>
      </c>
      <c r="D52" t="s">
        <v>179</v>
      </c>
      <c r="E52" s="6">
        <v>45957.402546296304</v>
      </c>
      <c r="G52" s="5" t="s">
        <v>27</v>
      </c>
      <c r="H52" t="s">
        <v>41</v>
      </c>
      <c r="I5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354</v>
      </c>
      <c r="M52" s="7" t="str">
        <f>IFERROR(IF(OR(LINEA24[[#This Row],[Fecha_Informe]]="",LINEA24[[#This Row],[FechaRecepcion]]=""),"",INT(LINEA24[[#This Row],[Fecha_Informe]])-INT(LINEA24[[#This Row],[FechaRecepcion]])),"")</f>
        <v/>
      </c>
      <c r="O52" s="6"/>
      <c r="P52" s="6"/>
    </row>
    <row r="53" spans="1:16">
      <c r="A53" s="25"/>
      <c r="B53" s="26" t="s">
        <v>180</v>
      </c>
      <c r="C53" t="s">
        <v>181</v>
      </c>
      <c r="D53" t="s">
        <v>182</v>
      </c>
      <c r="E53" s="6">
        <v>45957.412511574097</v>
      </c>
      <c r="G53" s="5" t="s">
        <v>27</v>
      </c>
      <c r="H53" t="s">
        <v>28</v>
      </c>
      <c r="I53" s="11" t="str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/>
      </c>
      <c r="M53" s="7" t="str">
        <f>IFERROR(IF(OR(LINEA24[[#This Row],[Fecha_Informe]]="",LINEA24[[#This Row],[FechaRecepcion]]=""),"",INT(LINEA24[[#This Row],[Fecha_Informe]])-INT(LINEA24[[#This Row],[FechaRecepcion]])),"")</f>
        <v/>
      </c>
      <c r="O53" s="6"/>
      <c r="P53" s="6"/>
    </row>
    <row r="54" spans="1:16">
      <c r="A54" s="25"/>
      <c r="B54" s="26" t="s">
        <v>183</v>
      </c>
      <c r="C54" t="s">
        <v>184</v>
      </c>
      <c r="D54" t="s">
        <v>185</v>
      </c>
      <c r="E54" s="6">
        <v>45957.504629629599</v>
      </c>
      <c r="G54" s="5" t="s">
        <v>27</v>
      </c>
      <c r="H54" t="s">
        <v>28</v>
      </c>
      <c r="I5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L54" s="6">
        <v>45957</v>
      </c>
      <c r="M54" s="7">
        <f>IFERROR(IF(OR(LINEA24[[#This Row],[Fecha_Informe]]="",LINEA24[[#This Row],[FechaRecepcion]]=""),"",INT(LINEA24[[#This Row],[Fecha_Informe]])-INT(LINEA24[[#This Row],[FechaRecepcion]])),"")</f>
        <v>0</v>
      </c>
      <c r="O54" s="6"/>
      <c r="P54" s="6"/>
    </row>
    <row r="55" spans="1:16">
      <c r="A55" s="25"/>
      <c r="B55" s="26" t="s">
        <v>186</v>
      </c>
      <c r="C55" t="s">
        <v>187</v>
      </c>
      <c r="D55" t="s">
        <v>188</v>
      </c>
      <c r="E55" s="6">
        <v>45957.589652777802</v>
      </c>
      <c r="G55" s="5" t="s">
        <v>27</v>
      </c>
      <c r="H55" t="s">
        <v>28</v>
      </c>
      <c r="I5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17</v>
      </c>
      <c r="L55" s="6">
        <v>45974</v>
      </c>
      <c r="M55" s="7">
        <f>IFERROR(IF(OR(LINEA24[[#This Row],[Fecha_Informe]]="",LINEA24[[#This Row],[FechaRecepcion]]=""),"",INT(LINEA24[[#This Row],[Fecha_Informe]])-INT(LINEA24[[#This Row],[FechaRecepcion]])),"")</f>
        <v>17</v>
      </c>
      <c r="O55" s="6"/>
      <c r="P55" s="6"/>
    </row>
    <row r="56" spans="1:16">
      <c r="A56" s="25"/>
      <c r="B56" s="26" t="s">
        <v>189</v>
      </c>
      <c r="C56" t="s">
        <v>190</v>
      </c>
      <c r="D56" t="s">
        <v>191</v>
      </c>
      <c r="E56" s="6">
        <v>45957.658553240697</v>
      </c>
      <c r="G56" s="5" t="s">
        <v>27</v>
      </c>
      <c r="H56" t="s">
        <v>28</v>
      </c>
      <c r="I5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17</v>
      </c>
      <c r="L56" s="6">
        <v>45974</v>
      </c>
      <c r="M56" s="7">
        <f>IFERROR(IF(OR(LINEA24[[#This Row],[Fecha_Informe]]="",LINEA24[[#This Row],[FechaRecepcion]]=""),"",INT(LINEA24[[#This Row],[Fecha_Informe]])-INT(LINEA24[[#This Row],[FechaRecepcion]])),"")</f>
        <v>17</v>
      </c>
      <c r="O56" s="6"/>
      <c r="P56" s="6"/>
    </row>
    <row r="57" spans="1:16">
      <c r="A57" s="25"/>
      <c r="B57" s="27" t="s">
        <v>192</v>
      </c>
      <c r="C57" t="s">
        <v>193</v>
      </c>
      <c r="D57" t="s">
        <v>194</v>
      </c>
      <c r="E57" s="6">
        <v>45958.718067129601</v>
      </c>
      <c r="G57" s="5" t="s">
        <v>27</v>
      </c>
      <c r="H57" t="s">
        <v>28</v>
      </c>
      <c r="I5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L57" s="6">
        <v>45958</v>
      </c>
      <c r="M57" s="7">
        <f>IFERROR(IF(OR(LINEA24[[#This Row],[Fecha_Informe]]="",LINEA24[[#This Row],[FechaRecepcion]]=""),"",INT(LINEA24[[#This Row],[Fecha_Informe]])-INT(LINEA24[[#This Row],[FechaRecepcion]])),"")</f>
        <v>0</v>
      </c>
      <c r="O57" s="6"/>
      <c r="P57" s="6"/>
    </row>
    <row r="58" spans="1:16">
      <c r="A58" s="25"/>
      <c r="B58" s="26" t="s">
        <v>195</v>
      </c>
      <c r="C58" t="s">
        <v>196</v>
      </c>
      <c r="D58" t="s">
        <v>197</v>
      </c>
      <c r="E58" s="6">
        <v>45959.4698263889</v>
      </c>
      <c r="G58" s="5" t="s">
        <v>27</v>
      </c>
      <c r="H58" t="s">
        <v>28</v>
      </c>
      <c r="I5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</v>
      </c>
      <c r="L58" s="6">
        <v>45964</v>
      </c>
      <c r="M58" s="7">
        <f>IFERROR(IF(OR(LINEA24[[#This Row],[Fecha_Informe]]="",LINEA24[[#This Row],[FechaRecepcion]]=""),"",INT(LINEA24[[#This Row],[Fecha_Informe]])-INT(LINEA24[[#This Row],[FechaRecepcion]])),"")</f>
        <v>5</v>
      </c>
      <c r="O58" s="6"/>
      <c r="P58" s="6"/>
    </row>
    <row r="59" spans="1:16">
      <c r="A59" s="25"/>
      <c r="B59" s="27" t="s">
        <v>198</v>
      </c>
      <c r="C59" t="s">
        <v>199</v>
      </c>
      <c r="D59" t="s">
        <v>200</v>
      </c>
      <c r="E59" s="6">
        <v>45959.482048611098</v>
      </c>
      <c r="G59" s="5" t="s">
        <v>27</v>
      </c>
      <c r="H59" t="s">
        <v>28</v>
      </c>
      <c r="I5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</v>
      </c>
      <c r="L59" s="6">
        <v>45979</v>
      </c>
      <c r="M59" s="7">
        <f>IFERROR(IF(OR(LINEA24[[#This Row],[Fecha_Informe]]="",LINEA24[[#This Row],[FechaRecepcion]]=""),"",INT(LINEA24[[#This Row],[Fecha_Informe]])-INT(LINEA24[[#This Row],[FechaRecepcion]])),"")</f>
        <v>20</v>
      </c>
      <c r="O59" s="6"/>
      <c r="P59" s="6"/>
    </row>
    <row r="60" spans="1:16">
      <c r="A60" s="25"/>
      <c r="B60" s="26" t="s">
        <v>201</v>
      </c>
      <c r="C60" t="s">
        <v>202</v>
      </c>
      <c r="D60" t="s">
        <v>203</v>
      </c>
      <c r="E60" s="6">
        <v>45959.543217592603</v>
      </c>
      <c r="G60" s="5" t="s">
        <v>27</v>
      </c>
      <c r="H60" t="s">
        <v>41</v>
      </c>
      <c r="I6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352</v>
      </c>
      <c r="M60" s="7" t="str">
        <f>IFERROR(IF(OR(LINEA24[[#This Row],[Fecha_Informe]]="",LINEA24[[#This Row],[FechaRecepcion]]=""),"",INT(LINEA24[[#This Row],[Fecha_Informe]])-INT(LINEA24[[#This Row],[FechaRecepcion]])),"")</f>
        <v/>
      </c>
      <c r="O60" s="6"/>
      <c r="P60" s="6"/>
    </row>
    <row r="61" spans="1:16">
      <c r="A61" s="25"/>
      <c r="B61" s="27" t="s">
        <v>204</v>
      </c>
      <c r="C61" t="s">
        <v>205</v>
      </c>
      <c r="D61" t="s">
        <v>206</v>
      </c>
      <c r="E61" s="6">
        <v>45959.571342592601</v>
      </c>
      <c r="G61" s="5" t="s">
        <v>27</v>
      </c>
      <c r="H61" t="s">
        <v>28</v>
      </c>
      <c r="I6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</v>
      </c>
      <c r="L61" s="6">
        <v>45961</v>
      </c>
      <c r="M61" s="7">
        <f>IFERROR(IF(OR(LINEA24[[#This Row],[Fecha_Informe]]="",LINEA24[[#This Row],[FechaRecepcion]]=""),"",INT(LINEA24[[#This Row],[Fecha_Informe]])-INT(LINEA24[[#This Row],[FechaRecepcion]])),"")</f>
        <v>2</v>
      </c>
      <c r="O61" s="6"/>
      <c r="P61" s="6"/>
    </row>
    <row r="62" spans="1:16">
      <c r="A62" s="25"/>
      <c r="B62" s="26" t="s">
        <v>207</v>
      </c>
      <c r="C62" t="s">
        <v>208</v>
      </c>
      <c r="D62" t="s">
        <v>209</v>
      </c>
      <c r="E62" s="6">
        <v>45959.688344907401</v>
      </c>
      <c r="G62" s="5" t="s">
        <v>27</v>
      </c>
      <c r="H62" t="s">
        <v>41</v>
      </c>
      <c r="I6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352</v>
      </c>
      <c r="M62" s="7" t="str">
        <f>IFERROR(IF(OR(LINEA24[[#This Row],[Fecha_Informe]]="",LINEA24[[#This Row],[FechaRecepcion]]=""),"",INT(LINEA24[[#This Row],[Fecha_Informe]])-INT(LINEA24[[#This Row],[FechaRecepcion]])),"")</f>
        <v/>
      </c>
      <c r="O62" s="6"/>
      <c r="P62" s="6"/>
    </row>
    <row r="63" spans="1:16">
      <c r="A63" s="25"/>
      <c r="B63" s="26" t="s">
        <v>210</v>
      </c>
      <c r="C63" t="s">
        <v>211</v>
      </c>
      <c r="D63" t="s">
        <v>212</v>
      </c>
      <c r="E63" s="6">
        <v>45960.422939814802</v>
      </c>
      <c r="G63" s="5" t="s">
        <v>27</v>
      </c>
      <c r="H63" t="s">
        <v>28</v>
      </c>
      <c r="I6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</v>
      </c>
      <c r="L63" s="6">
        <v>45982</v>
      </c>
      <c r="M63" s="7">
        <f>IFERROR(IF(OR(LINEA24[[#This Row],[Fecha_Informe]]="",LINEA24[[#This Row],[FechaRecepcion]]=""),"",INT(LINEA24[[#This Row],[Fecha_Informe]])-INT(LINEA24[[#This Row],[FechaRecepcion]])),"")</f>
        <v>22</v>
      </c>
      <c r="O63" s="6"/>
      <c r="P63" s="6"/>
    </row>
    <row r="64" spans="1:16">
      <c r="A64" s="25"/>
      <c r="B64" s="26" t="s">
        <v>213</v>
      </c>
      <c r="C64" t="s">
        <v>214</v>
      </c>
      <c r="D64" t="s">
        <v>215</v>
      </c>
      <c r="E64" s="6">
        <v>45960.459143518499</v>
      </c>
      <c r="G64" s="5" t="s">
        <v>27</v>
      </c>
      <c r="H64" t="s">
        <v>28</v>
      </c>
      <c r="I6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L64" s="6">
        <v>45960</v>
      </c>
      <c r="M64" s="7">
        <f>IFERROR(IF(OR(LINEA24[[#This Row],[Fecha_Informe]]="",LINEA24[[#This Row],[FechaRecepcion]]=""),"",INT(LINEA24[[#This Row],[Fecha_Informe]])-INT(LINEA24[[#This Row],[FechaRecepcion]])),"")</f>
        <v>0</v>
      </c>
      <c r="O64" s="6"/>
      <c r="P64" s="6"/>
    </row>
    <row r="65" spans="1:16">
      <c r="A65" s="25"/>
      <c r="B65" s="26" t="s">
        <v>216</v>
      </c>
      <c r="C65" t="s">
        <v>217</v>
      </c>
      <c r="D65" t="s">
        <v>218</v>
      </c>
      <c r="E65" s="6">
        <v>45960.5708564815</v>
      </c>
      <c r="G65" s="5" t="s">
        <v>27</v>
      </c>
      <c r="H65" t="s">
        <v>41</v>
      </c>
      <c r="I6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351</v>
      </c>
      <c r="M65" s="7" t="str">
        <f>IFERROR(IF(OR(LINEA24[[#This Row],[Fecha_Informe]]="",LINEA24[[#This Row],[FechaRecepcion]]=""),"",INT(LINEA24[[#This Row],[Fecha_Informe]])-INT(LINEA24[[#This Row],[FechaRecepcion]])),"")</f>
        <v/>
      </c>
      <c r="O65" s="6"/>
      <c r="P65" s="6"/>
    </row>
    <row r="66" spans="1:16">
      <c r="A66" s="25"/>
      <c r="B66" s="27" t="s">
        <v>219</v>
      </c>
      <c r="C66" t="s">
        <v>220</v>
      </c>
      <c r="D66" t="s">
        <v>221</v>
      </c>
      <c r="E66" s="6">
        <v>45960.572013888901</v>
      </c>
      <c r="G66" s="5" t="s">
        <v>27</v>
      </c>
      <c r="H66" t="s">
        <v>28</v>
      </c>
      <c r="I6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</v>
      </c>
      <c r="L66" s="6">
        <v>45974</v>
      </c>
      <c r="M66" s="7">
        <f>IFERROR(IF(OR(LINEA24[[#This Row],[Fecha_Informe]]="",LINEA24[[#This Row],[FechaRecepcion]]=""),"",INT(LINEA24[[#This Row],[Fecha_Informe]])-INT(LINEA24[[#This Row],[FechaRecepcion]])),"")</f>
        <v>14</v>
      </c>
      <c r="O66" s="6"/>
      <c r="P66" s="6"/>
    </row>
    <row r="67" spans="1:16">
      <c r="A67" s="25"/>
      <c r="B67" s="26" t="s">
        <v>222</v>
      </c>
      <c r="C67" t="s">
        <v>223</v>
      </c>
      <c r="D67" t="s">
        <v>224</v>
      </c>
      <c r="E67" s="6">
        <v>45960.7332060185</v>
      </c>
      <c r="G67" s="5" t="s">
        <v>27</v>
      </c>
      <c r="H67" t="s">
        <v>28</v>
      </c>
      <c r="I6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19</v>
      </c>
      <c r="L67" s="6">
        <v>45979</v>
      </c>
      <c r="M67" s="7">
        <f>IFERROR(IF(OR(LINEA24[[#This Row],[Fecha_Informe]]="",LINEA24[[#This Row],[FechaRecepcion]]=""),"",INT(LINEA24[[#This Row],[Fecha_Informe]])-INT(LINEA24[[#This Row],[FechaRecepcion]])),"")</f>
        <v>19</v>
      </c>
      <c r="O67" s="6"/>
      <c r="P67" s="6"/>
    </row>
    <row r="68" spans="1:16">
      <c r="A68" s="25"/>
      <c r="B68" s="26" t="s">
        <v>225</v>
      </c>
      <c r="C68" t="s">
        <v>226</v>
      </c>
      <c r="D68" t="s">
        <v>227</v>
      </c>
      <c r="E68" s="6">
        <v>45961.477314814802</v>
      </c>
      <c r="G68" s="5" t="s">
        <v>27</v>
      </c>
      <c r="H68" t="s">
        <v>28</v>
      </c>
      <c r="I6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</v>
      </c>
      <c r="L68" s="6">
        <v>45964</v>
      </c>
      <c r="M68" s="7">
        <f>IFERROR(IF(OR(LINEA24[[#This Row],[Fecha_Informe]]="",LINEA24[[#This Row],[FechaRecepcion]]=""),"",INT(LINEA24[[#This Row],[Fecha_Informe]])-INT(LINEA24[[#This Row],[FechaRecepcion]])),"")</f>
        <v>3</v>
      </c>
      <c r="O68" s="6"/>
      <c r="P68" s="6"/>
    </row>
    <row r="69" spans="1:16">
      <c r="A69" s="25"/>
      <c r="B69" s="27" t="s">
        <v>228</v>
      </c>
      <c r="C69" t="s">
        <v>229</v>
      </c>
      <c r="D69" t="s">
        <v>230</v>
      </c>
      <c r="E69" s="6">
        <v>45964.410381944399</v>
      </c>
      <c r="G69" s="5" t="s">
        <v>27</v>
      </c>
      <c r="H69" t="s">
        <v>41</v>
      </c>
      <c r="I6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347</v>
      </c>
      <c r="M69" s="7" t="str">
        <f>IFERROR(IF(OR(LINEA24[[#This Row],[Fecha_Informe]]="",LINEA24[[#This Row],[FechaRecepcion]]=""),"",INT(LINEA24[[#This Row],[Fecha_Informe]])-INT(LINEA24[[#This Row],[FechaRecepcion]])),"")</f>
        <v/>
      </c>
      <c r="O69" s="6"/>
      <c r="P69" s="6"/>
    </row>
    <row r="70" spans="1:16">
      <c r="A70" s="25"/>
      <c r="B70" s="26" t="s">
        <v>231</v>
      </c>
      <c r="C70" t="s">
        <v>232</v>
      </c>
      <c r="D70" t="s">
        <v>233</v>
      </c>
      <c r="E70" s="6">
        <v>45964.419212963003</v>
      </c>
      <c r="G70" s="5" t="s">
        <v>27</v>
      </c>
      <c r="H70" t="s">
        <v>28</v>
      </c>
      <c r="I7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9</v>
      </c>
      <c r="L70" s="6">
        <v>45973</v>
      </c>
      <c r="M70" s="7">
        <f>IFERROR(IF(OR(LINEA24[[#This Row],[Fecha_Informe]]="",LINEA24[[#This Row],[FechaRecepcion]]=""),"",INT(LINEA24[[#This Row],[Fecha_Informe]])-INT(LINEA24[[#This Row],[FechaRecepcion]])),"")</f>
        <v>9</v>
      </c>
      <c r="O70" s="6"/>
      <c r="P70" s="6"/>
    </row>
    <row r="71" spans="1:16">
      <c r="A71" s="25"/>
      <c r="B71" s="27" t="s">
        <v>234</v>
      </c>
      <c r="C71" t="s">
        <v>235</v>
      </c>
      <c r="D71" t="s">
        <v>236</v>
      </c>
      <c r="E71" s="6">
        <v>45964.445231481499</v>
      </c>
      <c r="G71" s="5" t="s">
        <v>27</v>
      </c>
      <c r="H71" t="s">
        <v>41</v>
      </c>
      <c r="I7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347</v>
      </c>
      <c r="M71" s="7" t="str">
        <f>IFERROR(IF(OR(LINEA24[[#This Row],[Fecha_Informe]]="",LINEA24[[#This Row],[FechaRecepcion]]=""),"",INT(LINEA24[[#This Row],[Fecha_Informe]])-INT(LINEA24[[#This Row],[FechaRecepcion]])),"")</f>
        <v/>
      </c>
      <c r="O71" s="6"/>
      <c r="P71" s="6"/>
    </row>
    <row r="72" spans="1:16">
      <c r="A72" s="25"/>
      <c r="B72" s="26" t="s">
        <v>237</v>
      </c>
      <c r="C72" t="s">
        <v>238</v>
      </c>
      <c r="D72" t="s">
        <v>239</v>
      </c>
      <c r="E72" s="6">
        <v>45964.458391203698</v>
      </c>
      <c r="G72" s="5" t="s">
        <v>27</v>
      </c>
      <c r="H72" t="s">
        <v>41</v>
      </c>
      <c r="I7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347</v>
      </c>
      <c r="M72" s="7" t="str">
        <f>IFERROR(IF(OR(LINEA24[[#This Row],[Fecha_Informe]]="",LINEA24[[#This Row],[FechaRecepcion]]=""),"",INT(LINEA24[[#This Row],[Fecha_Informe]])-INT(LINEA24[[#This Row],[FechaRecepcion]])),"")</f>
        <v/>
      </c>
      <c r="O72" s="6"/>
      <c r="P72" s="6"/>
    </row>
    <row r="73" spans="1:16">
      <c r="A73" s="25"/>
      <c r="B73" s="26" t="s">
        <v>240</v>
      </c>
      <c r="C73" t="s">
        <v>241</v>
      </c>
      <c r="D73" t="s">
        <v>242</v>
      </c>
      <c r="E73" s="6">
        <v>45964.469444444403</v>
      </c>
      <c r="G73" s="5" t="s">
        <v>27</v>
      </c>
      <c r="H73" t="s">
        <v>41</v>
      </c>
      <c r="I7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347</v>
      </c>
      <c r="M73" s="7" t="str">
        <f>IFERROR(IF(OR(LINEA24[[#This Row],[Fecha_Informe]]="",LINEA24[[#This Row],[FechaRecepcion]]=""),"",INT(LINEA24[[#This Row],[Fecha_Informe]])-INT(LINEA24[[#This Row],[FechaRecepcion]])),"")</f>
        <v/>
      </c>
      <c r="O73" s="6"/>
      <c r="P73" s="6"/>
    </row>
    <row r="74" spans="1:16">
      <c r="A74" s="25"/>
      <c r="B74" s="26" t="s">
        <v>243</v>
      </c>
      <c r="C74" t="s">
        <v>244</v>
      </c>
      <c r="D74" t="s">
        <v>245</v>
      </c>
      <c r="E74" s="6">
        <v>45964.621550925898</v>
      </c>
      <c r="G74" s="5" t="s">
        <v>27</v>
      </c>
      <c r="H74" t="s">
        <v>41</v>
      </c>
      <c r="I7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347</v>
      </c>
      <c r="M74" s="7" t="str">
        <f>IFERROR(IF(OR(LINEA24[[#This Row],[Fecha_Informe]]="",LINEA24[[#This Row],[FechaRecepcion]]=""),"",INT(LINEA24[[#This Row],[Fecha_Informe]])-INT(LINEA24[[#This Row],[FechaRecepcion]])),"")</f>
        <v/>
      </c>
      <c r="O74" s="6"/>
      <c r="P74" s="6"/>
    </row>
    <row r="75" spans="1:16">
      <c r="A75" s="25"/>
      <c r="B75" s="26" t="s">
        <v>246</v>
      </c>
      <c r="C75" t="s">
        <v>247</v>
      </c>
      <c r="D75" t="s">
        <v>248</v>
      </c>
      <c r="E75" s="6">
        <v>45965.393344907403</v>
      </c>
      <c r="G75" s="5" t="s">
        <v>27</v>
      </c>
      <c r="H75" t="s">
        <v>28</v>
      </c>
      <c r="I7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L75" s="6">
        <v>45973</v>
      </c>
      <c r="M75" s="7">
        <f>IFERROR(IF(OR(LINEA24[[#This Row],[Fecha_Informe]]="",LINEA24[[#This Row],[FechaRecepcion]]=""),"",INT(LINEA24[[#This Row],[Fecha_Informe]])-INT(LINEA24[[#This Row],[FechaRecepcion]])),"")</f>
        <v>8</v>
      </c>
      <c r="O75" s="6"/>
      <c r="P75" s="6"/>
    </row>
    <row r="76" spans="1:16">
      <c r="A76" s="25"/>
      <c r="B76" s="26" t="s">
        <v>249</v>
      </c>
      <c r="C76" t="s">
        <v>250</v>
      </c>
      <c r="D76" t="s">
        <v>251</v>
      </c>
      <c r="E76" s="6">
        <v>45965.522685185198</v>
      </c>
      <c r="G76" s="5" t="s">
        <v>27</v>
      </c>
      <c r="H76" t="s">
        <v>28</v>
      </c>
      <c r="I7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</v>
      </c>
      <c r="L76" s="6">
        <v>45971</v>
      </c>
      <c r="M76" s="7">
        <f>IFERROR(IF(OR(LINEA24[[#This Row],[Fecha_Informe]]="",LINEA24[[#This Row],[FechaRecepcion]]=""),"",INT(LINEA24[[#This Row],[Fecha_Informe]])-INT(LINEA24[[#This Row],[FechaRecepcion]])),"")</f>
        <v>6</v>
      </c>
      <c r="O76" s="6"/>
      <c r="P76" s="6"/>
    </row>
    <row r="77" spans="1:16">
      <c r="A77" s="25"/>
      <c r="B77" s="26" t="s">
        <v>252</v>
      </c>
      <c r="C77" t="s">
        <v>253</v>
      </c>
      <c r="D77" t="s">
        <v>254</v>
      </c>
      <c r="E77" s="6">
        <v>45965.543020833298</v>
      </c>
      <c r="G77" s="5" t="s">
        <v>27</v>
      </c>
      <c r="H77" t="s">
        <v>28</v>
      </c>
      <c r="I7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</v>
      </c>
      <c r="L77" s="6">
        <v>45966</v>
      </c>
      <c r="M77" s="7">
        <f>IFERROR(IF(OR(LINEA24[[#This Row],[Fecha_Informe]]="",LINEA24[[#This Row],[FechaRecepcion]]=""),"",INT(LINEA24[[#This Row],[Fecha_Informe]])-INT(LINEA24[[#This Row],[FechaRecepcion]])),"")</f>
        <v>1</v>
      </c>
      <c r="O77" s="6"/>
      <c r="P77" s="6"/>
    </row>
    <row r="78" spans="1:16">
      <c r="A78" s="25"/>
      <c r="B78" s="27" t="s">
        <v>255</v>
      </c>
      <c r="C78" t="s">
        <v>256</v>
      </c>
      <c r="D78" t="s">
        <v>257</v>
      </c>
      <c r="E78" s="6">
        <v>45966.507662037002</v>
      </c>
      <c r="G78" s="5" t="s">
        <v>27</v>
      </c>
      <c r="H78" t="s">
        <v>28</v>
      </c>
      <c r="I7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16</v>
      </c>
      <c r="L78" s="6">
        <v>45982</v>
      </c>
      <c r="M78" s="7">
        <f>IFERROR(IF(OR(LINEA24[[#This Row],[Fecha_Informe]]="",LINEA24[[#This Row],[FechaRecepcion]]=""),"",INT(LINEA24[[#This Row],[Fecha_Informe]])-INT(LINEA24[[#This Row],[FechaRecepcion]])),"")</f>
        <v>16</v>
      </c>
      <c r="O78" s="6"/>
      <c r="P78" s="6"/>
    </row>
    <row r="79" spans="1:16">
      <c r="A79" s="25"/>
      <c r="B79" s="26" t="s">
        <v>258</v>
      </c>
      <c r="C79" t="s">
        <v>259</v>
      </c>
      <c r="D79" t="s">
        <v>260</v>
      </c>
      <c r="E79" s="6">
        <v>45966.510856481502</v>
      </c>
      <c r="G79" s="5" t="s">
        <v>27</v>
      </c>
      <c r="H79" t="s">
        <v>41</v>
      </c>
      <c r="I7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345</v>
      </c>
      <c r="M79" s="7" t="str">
        <f>IFERROR(IF(OR(LINEA24[[#This Row],[Fecha_Informe]]="",LINEA24[[#This Row],[FechaRecepcion]]=""),"",INT(LINEA24[[#This Row],[Fecha_Informe]])-INT(LINEA24[[#This Row],[FechaRecepcion]])),"")</f>
        <v/>
      </c>
      <c r="O79" s="6"/>
      <c r="P79" s="6"/>
    </row>
    <row r="80" spans="1:16">
      <c r="A80" s="25"/>
      <c r="B80" s="26" t="s">
        <v>261</v>
      </c>
      <c r="C80" t="s">
        <v>262</v>
      </c>
      <c r="D80" t="s">
        <v>263</v>
      </c>
      <c r="E80" s="6">
        <v>45966.513807870397</v>
      </c>
      <c r="G80" s="5" t="s">
        <v>27</v>
      </c>
      <c r="H80" t="s">
        <v>41</v>
      </c>
      <c r="I8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345</v>
      </c>
      <c r="M80" s="7" t="str">
        <f>IFERROR(IF(OR(LINEA24[[#This Row],[Fecha_Informe]]="",LINEA24[[#This Row],[FechaRecepcion]]=""),"",INT(LINEA24[[#This Row],[Fecha_Informe]])-INT(LINEA24[[#This Row],[FechaRecepcion]])),"")</f>
        <v/>
      </c>
      <c r="O80" s="6"/>
      <c r="P80" s="6"/>
    </row>
    <row r="81" spans="1:16">
      <c r="A81" s="25"/>
      <c r="B81" s="26" t="s">
        <v>264</v>
      </c>
      <c r="C81" t="s">
        <v>265</v>
      </c>
      <c r="D81" t="s">
        <v>266</v>
      </c>
      <c r="E81" s="6">
        <v>45966.666979166701</v>
      </c>
      <c r="G81" s="5" t="s">
        <v>27</v>
      </c>
      <c r="H81" t="s">
        <v>28</v>
      </c>
      <c r="I8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L81" s="6">
        <v>45974</v>
      </c>
      <c r="M81" s="7">
        <f>IFERROR(IF(OR(LINEA24[[#This Row],[Fecha_Informe]]="",LINEA24[[#This Row],[FechaRecepcion]]=""),"",INT(LINEA24[[#This Row],[Fecha_Informe]])-INT(LINEA24[[#This Row],[FechaRecepcion]])),"")</f>
        <v>8</v>
      </c>
      <c r="O81" s="6"/>
      <c r="P81" s="6"/>
    </row>
    <row r="82" spans="1:16">
      <c r="A82" s="25"/>
      <c r="B82" s="26" t="s">
        <v>267</v>
      </c>
      <c r="C82" t="s">
        <v>268</v>
      </c>
      <c r="D82" t="s">
        <v>269</v>
      </c>
      <c r="E82" s="6">
        <v>45966.772337962997</v>
      </c>
      <c r="G82" s="5" t="s">
        <v>27</v>
      </c>
      <c r="H82" t="s">
        <v>28</v>
      </c>
      <c r="I8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L82" s="6">
        <v>45979</v>
      </c>
      <c r="M82" s="7">
        <f>IFERROR(IF(OR(LINEA24[[#This Row],[Fecha_Informe]]="",LINEA24[[#This Row],[FechaRecepcion]]=""),"",INT(LINEA24[[#This Row],[Fecha_Informe]])-INT(LINEA24[[#This Row],[FechaRecepcion]])),"")</f>
        <v>13</v>
      </c>
      <c r="O82" s="6"/>
      <c r="P82" s="6"/>
    </row>
    <row r="83" spans="1:16">
      <c r="A83" s="25"/>
      <c r="B83" s="26" t="s">
        <v>270</v>
      </c>
      <c r="C83" t="s">
        <v>271</v>
      </c>
      <c r="D83" t="s">
        <v>272</v>
      </c>
      <c r="E83" s="6">
        <v>45967.580763888902</v>
      </c>
      <c r="G83" s="5" t="s">
        <v>27</v>
      </c>
      <c r="H83" t="s">
        <v>28</v>
      </c>
      <c r="I8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15</v>
      </c>
      <c r="L83" s="6">
        <v>45982</v>
      </c>
      <c r="M83" s="7">
        <f>IFERROR(IF(OR(LINEA24[[#This Row],[Fecha_Informe]]="",LINEA24[[#This Row],[FechaRecepcion]]=""),"",INT(LINEA24[[#This Row],[Fecha_Informe]])-INT(LINEA24[[#This Row],[FechaRecepcion]])),"")</f>
        <v>15</v>
      </c>
      <c r="O83" s="6"/>
      <c r="P83" s="6"/>
    </row>
    <row r="84" spans="1:16">
      <c r="A84" s="25"/>
      <c r="B84" s="27" t="s">
        <v>273</v>
      </c>
      <c r="C84" t="s">
        <v>274</v>
      </c>
      <c r="D84" t="s">
        <v>275</v>
      </c>
      <c r="E84" s="6">
        <v>45968.474618055603</v>
      </c>
      <c r="G84" s="5" t="s">
        <v>27</v>
      </c>
      <c r="H84" t="s">
        <v>28</v>
      </c>
      <c r="I8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L84" s="6">
        <v>45981</v>
      </c>
      <c r="M84" s="7">
        <f>IFERROR(IF(OR(LINEA24[[#This Row],[Fecha_Informe]]="",LINEA24[[#This Row],[FechaRecepcion]]=""),"",INT(LINEA24[[#This Row],[Fecha_Informe]])-INT(LINEA24[[#This Row],[FechaRecepcion]])),"")</f>
        <v>13</v>
      </c>
      <c r="O84" s="6"/>
      <c r="P84" s="6"/>
    </row>
    <row r="85" spans="1:16">
      <c r="A85" s="25"/>
      <c r="B85" s="26" t="s">
        <v>276</v>
      </c>
      <c r="C85" t="s">
        <v>277</v>
      </c>
      <c r="D85" t="s">
        <v>278</v>
      </c>
      <c r="E85" s="6">
        <v>45968.497048611098</v>
      </c>
      <c r="G85" s="5" t="s">
        <v>27</v>
      </c>
      <c r="H85" t="s">
        <v>28</v>
      </c>
      <c r="I8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</v>
      </c>
      <c r="L85" s="6">
        <v>45982</v>
      </c>
      <c r="M85" s="7">
        <f>IFERROR(IF(OR(LINEA24[[#This Row],[Fecha_Informe]]="",LINEA24[[#This Row],[FechaRecepcion]]=""),"",INT(LINEA24[[#This Row],[Fecha_Informe]])-INT(LINEA24[[#This Row],[FechaRecepcion]])),"")</f>
        <v>14</v>
      </c>
      <c r="O85" s="6"/>
      <c r="P85" s="6"/>
    </row>
    <row r="86" spans="1:16">
      <c r="A86" s="25"/>
      <c r="B86" s="27" t="s">
        <v>279</v>
      </c>
      <c r="C86" t="s">
        <v>280</v>
      </c>
      <c r="D86" t="s">
        <v>281</v>
      </c>
      <c r="E86" s="6">
        <v>45968.506574074097</v>
      </c>
      <c r="G86" s="5" t="s">
        <v>27</v>
      </c>
      <c r="H86" t="s">
        <v>28</v>
      </c>
      <c r="I8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</v>
      </c>
      <c r="L86" s="6">
        <v>45973</v>
      </c>
      <c r="M86" s="7">
        <f>IFERROR(IF(OR(LINEA24[[#This Row],[Fecha_Informe]]="",LINEA24[[#This Row],[FechaRecepcion]]=""),"",INT(LINEA24[[#This Row],[Fecha_Informe]])-INT(LINEA24[[#This Row],[FechaRecepcion]])),"")</f>
        <v>5</v>
      </c>
      <c r="O86" s="6"/>
      <c r="P86" s="6"/>
    </row>
    <row r="87" spans="1:16">
      <c r="A87" s="25"/>
      <c r="B87" s="27" t="s">
        <v>282</v>
      </c>
      <c r="C87" t="s">
        <v>283</v>
      </c>
      <c r="D87" t="s">
        <v>284</v>
      </c>
      <c r="E87" s="6">
        <v>45968.510358796302</v>
      </c>
      <c r="G87" s="5" t="s">
        <v>27</v>
      </c>
      <c r="H87" t="s">
        <v>41</v>
      </c>
      <c r="I8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343</v>
      </c>
      <c r="M87" s="7" t="str">
        <f>IFERROR(IF(OR(LINEA24[[#This Row],[Fecha_Informe]]="",LINEA24[[#This Row],[FechaRecepcion]]=""),"",INT(LINEA24[[#This Row],[Fecha_Informe]])-INT(LINEA24[[#This Row],[FechaRecepcion]])),"")</f>
        <v/>
      </c>
      <c r="O87" s="6"/>
      <c r="P87" s="6"/>
    </row>
    <row r="88" spans="1:16">
      <c r="A88" s="25"/>
      <c r="B88" s="26" t="s">
        <v>285</v>
      </c>
      <c r="C88" t="s">
        <v>286</v>
      </c>
      <c r="D88" t="s">
        <v>287</v>
      </c>
      <c r="E88" s="6">
        <v>45968.550324074102</v>
      </c>
      <c r="G88" s="5" t="s">
        <v>27</v>
      </c>
      <c r="H88" t="s">
        <v>41</v>
      </c>
      <c r="I8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343</v>
      </c>
      <c r="M88" s="7" t="str">
        <f>IFERROR(IF(OR(LINEA24[[#This Row],[Fecha_Informe]]="",LINEA24[[#This Row],[FechaRecepcion]]=""),"",INT(LINEA24[[#This Row],[Fecha_Informe]])-INT(LINEA24[[#This Row],[FechaRecepcion]])),"")</f>
        <v/>
      </c>
      <c r="O88" s="6"/>
      <c r="P88" s="6"/>
    </row>
    <row r="89" spans="1:16">
      <c r="A89" s="25"/>
      <c r="B89" s="26" t="s">
        <v>288</v>
      </c>
      <c r="C89" t="s">
        <v>289</v>
      </c>
      <c r="D89" t="s">
        <v>290</v>
      </c>
      <c r="E89" s="6">
        <v>45968.576967592599</v>
      </c>
      <c r="G89" s="5" t="s">
        <v>27</v>
      </c>
      <c r="H89" t="s">
        <v>28</v>
      </c>
      <c r="I8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</v>
      </c>
      <c r="L89" s="6">
        <v>45982</v>
      </c>
      <c r="M89" s="7">
        <f>IFERROR(IF(OR(LINEA24[[#This Row],[Fecha_Informe]]="",LINEA24[[#This Row],[FechaRecepcion]]=""),"",INT(LINEA24[[#This Row],[Fecha_Informe]])-INT(LINEA24[[#This Row],[FechaRecepcion]])),"")</f>
        <v>14</v>
      </c>
      <c r="O89" s="6"/>
      <c r="P89" s="6"/>
    </row>
    <row r="90" spans="1:16">
      <c r="A90" s="25"/>
      <c r="B90" s="26" t="s">
        <v>291</v>
      </c>
      <c r="C90" t="s">
        <v>292</v>
      </c>
      <c r="D90" t="s">
        <v>293</v>
      </c>
      <c r="E90" s="6">
        <v>45971.674351851798</v>
      </c>
      <c r="G90" s="5" t="s">
        <v>27</v>
      </c>
      <c r="H90" t="s">
        <v>28</v>
      </c>
      <c r="I9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11</v>
      </c>
      <c r="L90" s="6">
        <v>45982</v>
      </c>
      <c r="M90" s="7">
        <f>IFERROR(IF(OR(LINEA24[[#This Row],[Fecha_Informe]]="",LINEA24[[#This Row],[FechaRecepcion]]=""),"",INT(LINEA24[[#This Row],[Fecha_Informe]])-INT(LINEA24[[#This Row],[FechaRecepcion]])),"")</f>
        <v>11</v>
      </c>
      <c r="O90" s="6"/>
      <c r="P90" s="6"/>
    </row>
    <row r="91" spans="1:16">
      <c r="A91" s="25"/>
      <c r="B91" s="26" t="s">
        <v>294</v>
      </c>
      <c r="C91" t="s">
        <v>295</v>
      </c>
      <c r="D91" t="s">
        <v>296</v>
      </c>
      <c r="E91" s="6">
        <v>45973.658472222203</v>
      </c>
      <c r="G91" s="5" t="s">
        <v>27</v>
      </c>
      <c r="H91" t="s">
        <v>28</v>
      </c>
      <c r="I9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</v>
      </c>
      <c r="L91" s="6">
        <v>45979</v>
      </c>
      <c r="M91" s="7">
        <f>IFERROR(IF(OR(LINEA24[[#This Row],[Fecha_Informe]]="",LINEA24[[#This Row],[FechaRecepcion]]=""),"",INT(LINEA24[[#This Row],[Fecha_Informe]])-INT(LINEA24[[#This Row],[FechaRecepcion]])),"")</f>
        <v>6</v>
      </c>
      <c r="O91" s="6"/>
      <c r="P91" s="6"/>
    </row>
    <row r="92" spans="1:16">
      <c r="A92" s="25"/>
      <c r="B92" s="26" t="s">
        <v>297</v>
      </c>
      <c r="C92" t="s">
        <v>298</v>
      </c>
      <c r="D92" t="s">
        <v>299</v>
      </c>
      <c r="E92" s="6">
        <v>45974.413495370398</v>
      </c>
      <c r="G92" s="5" t="s">
        <v>27</v>
      </c>
      <c r="H92" t="s">
        <v>41</v>
      </c>
      <c r="I9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337</v>
      </c>
      <c r="M92" s="7" t="str">
        <f>IFERROR(IF(OR(LINEA24[[#This Row],[Fecha_Informe]]="",LINEA24[[#This Row],[FechaRecepcion]]=""),"",INT(LINEA24[[#This Row],[Fecha_Informe]])-INT(LINEA24[[#This Row],[FechaRecepcion]])),"")</f>
        <v/>
      </c>
      <c r="O92" s="6"/>
      <c r="P92" s="6"/>
    </row>
    <row r="93" spans="1:16">
      <c r="A93" s="25"/>
      <c r="B93" s="26" t="s">
        <v>300</v>
      </c>
      <c r="C93" t="s">
        <v>301</v>
      </c>
      <c r="D93" t="s">
        <v>302</v>
      </c>
      <c r="E93" s="6">
        <v>45974.653368055602</v>
      </c>
      <c r="G93" s="5" t="s">
        <v>27</v>
      </c>
      <c r="H93" t="s">
        <v>41</v>
      </c>
      <c r="I9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337</v>
      </c>
      <c r="M93" s="7" t="str">
        <f>IFERROR(IF(OR(LINEA24[[#This Row],[Fecha_Informe]]="",LINEA24[[#This Row],[FechaRecepcion]]=""),"",INT(LINEA24[[#This Row],[Fecha_Informe]])-INT(LINEA24[[#This Row],[FechaRecepcion]])),"")</f>
        <v/>
      </c>
      <c r="O93" s="6"/>
      <c r="P93" s="6"/>
    </row>
    <row r="94" spans="1:16">
      <c r="A94" s="25"/>
      <c r="B94" s="26" t="s">
        <v>303</v>
      </c>
      <c r="C94" t="s">
        <v>304</v>
      </c>
      <c r="D94" t="s">
        <v>305</v>
      </c>
      <c r="E94" s="6">
        <v>45975.4397453704</v>
      </c>
      <c r="G94" s="5" t="s">
        <v>27</v>
      </c>
      <c r="H94" t="s">
        <v>28</v>
      </c>
      <c r="I9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</v>
      </c>
      <c r="L94" s="6">
        <v>45978</v>
      </c>
      <c r="M94" s="7">
        <f>IFERROR(IF(OR(LINEA24[[#This Row],[Fecha_Informe]]="",LINEA24[[#This Row],[FechaRecepcion]]=""),"",INT(LINEA24[[#This Row],[Fecha_Informe]])-INT(LINEA24[[#This Row],[FechaRecepcion]])),"")</f>
        <v>3</v>
      </c>
      <c r="O94" s="6"/>
      <c r="P94" s="6"/>
    </row>
    <row r="95" spans="1:16">
      <c r="A95" s="25"/>
      <c r="B95" s="26" t="s">
        <v>306</v>
      </c>
      <c r="C95" t="s">
        <v>307</v>
      </c>
      <c r="D95" t="s">
        <v>308</v>
      </c>
      <c r="E95" s="6">
        <v>45975.555613425902</v>
      </c>
      <c r="G95" s="5" t="s">
        <v>27</v>
      </c>
      <c r="H95" t="s">
        <v>309</v>
      </c>
      <c r="I9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336</v>
      </c>
      <c r="M95" s="7" t="str">
        <f>IFERROR(IF(OR(LINEA24[[#This Row],[Fecha_Informe]]="",LINEA24[[#This Row],[FechaRecepcion]]=""),"",INT(LINEA24[[#This Row],[Fecha_Informe]])-INT(LINEA24[[#This Row],[FechaRecepcion]])),"")</f>
        <v/>
      </c>
      <c r="O95" s="6"/>
      <c r="P95" s="6"/>
    </row>
    <row r="96" spans="1:16">
      <c r="A96" s="25"/>
      <c r="B96" s="26" t="s">
        <v>310</v>
      </c>
      <c r="C96" t="s">
        <v>311</v>
      </c>
      <c r="D96" t="s">
        <v>312</v>
      </c>
      <c r="E96" s="6">
        <v>45978.384525463</v>
      </c>
      <c r="G96" s="5" t="s">
        <v>27</v>
      </c>
      <c r="H96" t="s">
        <v>309</v>
      </c>
      <c r="I9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333</v>
      </c>
      <c r="M96" s="7" t="str">
        <f>IFERROR(IF(OR(LINEA24[[#This Row],[Fecha_Informe]]="",LINEA24[[#This Row],[FechaRecepcion]]=""),"",INT(LINEA24[[#This Row],[Fecha_Informe]])-INT(LINEA24[[#This Row],[FechaRecepcion]])),"")</f>
        <v/>
      </c>
      <c r="O96" s="6"/>
      <c r="P96" s="6"/>
    </row>
    <row r="97" spans="1:16">
      <c r="A97" s="25"/>
      <c r="B97" s="26" t="s">
        <v>313</v>
      </c>
      <c r="C97" t="s">
        <v>314</v>
      </c>
      <c r="D97" t="s">
        <v>315</v>
      </c>
      <c r="E97" s="6">
        <v>45978.397430555597</v>
      </c>
      <c r="G97" s="5" t="s">
        <v>27</v>
      </c>
      <c r="H97" t="s">
        <v>309</v>
      </c>
      <c r="I9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333</v>
      </c>
      <c r="M97" s="7" t="str">
        <f>IFERROR(IF(OR(LINEA24[[#This Row],[Fecha_Informe]]="",LINEA24[[#This Row],[FechaRecepcion]]=""),"",INT(LINEA24[[#This Row],[Fecha_Informe]])-INT(LINEA24[[#This Row],[FechaRecepcion]])),"")</f>
        <v/>
      </c>
      <c r="O97" s="6"/>
      <c r="P97" s="6"/>
    </row>
    <row r="98" spans="1:16">
      <c r="A98" s="25"/>
      <c r="B98" s="27" t="s">
        <v>316</v>
      </c>
      <c r="C98" t="s">
        <v>317</v>
      </c>
      <c r="D98" t="s">
        <v>318</v>
      </c>
      <c r="E98" s="6">
        <v>45978.403229166703</v>
      </c>
      <c r="G98" s="5" t="s">
        <v>27</v>
      </c>
      <c r="H98" t="s">
        <v>309</v>
      </c>
      <c r="I9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333</v>
      </c>
      <c r="M98" s="7" t="str">
        <f>IFERROR(IF(OR(LINEA24[[#This Row],[Fecha_Informe]]="",LINEA24[[#This Row],[FechaRecepcion]]=""),"",INT(LINEA24[[#This Row],[Fecha_Informe]])-INT(LINEA24[[#This Row],[FechaRecepcion]])),"")</f>
        <v/>
      </c>
      <c r="O98" s="6"/>
      <c r="P98" s="6"/>
    </row>
    <row r="99" spans="1:16">
      <c r="A99" s="25"/>
      <c r="B99" s="26" t="s">
        <v>319</v>
      </c>
      <c r="C99" t="s">
        <v>320</v>
      </c>
      <c r="D99" t="s">
        <v>321</v>
      </c>
      <c r="E99" s="6">
        <v>45978.408831018503</v>
      </c>
      <c r="G99" s="5" t="s">
        <v>27</v>
      </c>
      <c r="H99" t="s">
        <v>309</v>
      </c>
      <c r="I9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333</v>
      </c>
      <c r="M99" s="7" t="str">
        <f>IFERROR(IF(OR(LINEA24[[#This Row],[Fecha_Informe]]="",LINEA24[[#This Row],[FechaRecepcion]]=""),"",INT(LINEA24[[#This Row],[Fecha_Informe]])-INT(LINEA24[[#This Row],[FechaRecepcion]])),"")</f>
        <v/>
      </c>
      <c r="O99" s="6"/>
      <c r="P99" s="6"/>
    </row>
    <row r="100" spans="1:16">
      <c r="A100" s="25"/>
      <c r="B100" s="26" t="s">
        <v>322</v>
      </c>
      <c r="C100" t="s">
        <v>323</v>
      </c>
      <c r="D100" t="s">
        <v>324</v>
      </c>
      <c r="E100" s="6">
        <v>45978.4324305556</v>
      </c>
      <c r="G100" s="5" t="s">
        <v>27</v>
      </c>
      <c r="H100" t="s">
        <v>309</v>
      </c>
      <c r="I10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333</v>
      </c>
      <c r="M100" s="7" t="str">
        <f>IFERROR(IF(OR(LINEA24[[#This Row],[Fecha_Informe]]="",LINEA24[[#This Row],[FechaRecepcion]]=""),"",INT(LINEA24[[#This Row],[Fecha_Informe]])-INT(LINEA24[[#This Row],[FechaRecepcion]])),"")</f>
        <v/>
      </c>
      <c r="O100" s="6"/>
      <c r="P100" s="6"/>
    </row>
    <row r="101" spans="1:16">
      <c r="A101" s="25"/>
      <c r="B101" s="26" t="s">
        <v>325</v>
      </c>
      <c r="C101" t="s">
        <v>326</v>
      </c>
      <c r="D101" t="s">
        <v>327</v>
      </c>
      <c r="E101" s="6">
        <v>45979.340023148201</v>
      </c>
      <c r="G101" s="5" t="s">
        <v>27</v>
      </c>
      <c r="H101" t="s">
        <v>309</v>
      </c>
      <c r="I10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332</v>
      </c>
      <c r="M101" s="7" t="str">
        <f>IFERROR(IF(OR(LINEA24[[#This Row],[Fecha_Informe]]="",LINEA24[[#This Row],[FechaRecepcion]]=""),"",INT(LINEA24[[#This Row],[Fecha_Informe]])-INT(LINEA24[[#This Row],[FechaRecepcion]])),"")</f>
        <v/>
      </c>
      <c r="O101" s="6"/>
      <c r="P101" s="6"/>
    </row>
    <row r="102" spans="1:16">
      <c r="A102" s="25"/>
      <c r="B102" s="27" t="s">
        <v>328</v>
      </c>
      <c r="C102" t="s">
        <v>329</v>
      </c>
      <c r="D102" t="s">
        <v>330</v>
      </c>
      <c r="E102" s="6">
        <v>45979.366030092599</v>
      </c>
      <c r="G102" s="5" t="s">
        <v>27</v>
      </c>
      <c r="H102" t="s">
        <v>309</v>
      </c>
      <c r="I10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332</v>
      </c>
      <c r="M102" s="7" t="str">
        <f>IFERROR(IF(OR(LINEA24[[#This Row],[Fecha_Informe]]="",LINEA24[[#This Row],[FechaRecepcion]]=""),"",INT(LINEA24[[#This Row],[Fecha_Informe]])-INT(LINEA24[[#This Row],[FechaRecepcion]])),"")</f>
        <v/>
      </c>
      <c r="O102" s="6"/>
      <c r="P102" s="6"/>
    </row>
    <row r="103" spans="1:16">
      <c r="A103" s="25"/>
      <c r="B103" s="26" t="s">
        <v>331</v>
      </c>
      <c r="C103" t="s">
        <v>332</v>
      </c>
      <c r="D103" t="s">
        <v>333</v>
      </c>
      <c r="E103" s="6">
        <v>45979.367986111101</v>
      </c>
      <c r="G103" s="5" t="s">
        <v>27</v>
      </c>
      <c r="H103" t="s">
        <v>309</v>
      </c>
      <c r="I10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332</v>
      </c>
      <c r="M103" s="7" t="str">
        <f>IFERROR(IF(OR(LINEA24[[#This Row],[Fecha_Informe]]="",LINEA24[[#This Row],[FechaRecepcion]]=""),"",INT(LINEA24[[#This Row],[Fecha_Informe]])-INT(LINEA24[[#This Row],[FechaRecepcion]])),"")</f>
        <v/>
      </c>
      <c r="O103" s="6"/>
      <c r="P103" s="6"/>
    </row>
    <row r="104" spans="1:16">
      <c r="A104" s="25"/>
      <c r="B104" s="27" t="s">
        <v>334</v>
      </c>
      <c r="C104" t="s">
        <v>335</v>
      </c>
      <c r="D104" t="s">
        <v>336</v>
      </c>
      <c r="E104" s="6">
        <v>45979.378009259301</v>
      </c>
      <c r="G104" s="5" t="s">
        <v>27</v>
      </c>
      <c r="H104" t="s">
        <v>309</v>
      </c>
      <c r="I10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332</v>
      </c>
      <c r="M104" s="7" t="str">
        <f>IFERROR(IF(OR(LINEA24[[#This Row],[Fecha_Informe]]="",LINEA24[[#This Row],[FechaRecepcion]]=""),"",INT(LINEA24[[#This Row],[Fecha_Informe]])-INT(LINEA24[[#This Row],[FechaRecepcion]])),"")</f>
        <v/>
      </c>
      <c r="O104" s="6"/>
      <c r="P104" s="6"/>
    </row>
    <row r="105" spans="1:16">
      <c r="A105" s="25"/>
      <c r="B105" s="26" t="s">
        <v>337</v>
      </c>
      <c r="C105" t="s">
        <v>338</v>
      </c>
      <c r="D105" t="s">
        <v>339</v>
      </c>
      <c r="E105" s="6">
        <v>45979.381249999999</v>
      </c>
      <c r="G105" s="5" t="s">
        <v>27</v>
      </c>
      <c r="H105" t="s">
        <v>28</v>
      </c>
      <c r="I10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L105" s="6">
        <v>45979</v>
      </c>
      <c r="M105" s="7">
        <f>IFERROR(IF(OR(LINEA24[[#This Row],[Fecha_Informe]]="",LINEA24[[#This Row],[FechaRecepcion]]=""),"",INT(LINEA24[[#This Row],[Fecha_Informe]])-INT(LINEA24[[#This Row],[FechaRecepcion]])),"")</f>
        <v>0</v>
      </c>
      <c r="O105" s="6"/>
      <c r="P105" s="6"/>
    </row>
    <row r="106" spans="1:16">
      <c r="A106" s="25"/>
      <c r="B106" s="26" t="s">
        <v>340</v>
      </c>
      <c r="C106" t="s">
        <v>341</v>
      </c>
      <c r="D106" t="s">
        <v>342</v>
      </c>
      <c r="E106" s="6">
        <v>45979.517013888901</v>
      </c>
      <c r="G106" s="5" t="s">
        <v>27</v>
      </c>
      <c r="H106" t="s">
        <v>309</v>
      </c>
      <c r="I10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332</v>
      </c>
      <c r="M106" s="7" t="str">
        <f>IFERROR(IF(OR(LINEA24[[#This Row],[Fecha_Informe]]="",LINEA24[[#This Row],[FechaRecepcion]]=""),"",INT(LINEA24[[#This Row],[Fecha_Informe]])-INT(LINEA24[[#This Row],[FechaRecepcion]])),"")</f>
        <v/>
      </c>
      <c r="O106" s="6"/>
      <c r="P106" s="6"/>
    </row>
    <row r="107" spans="1:16">
      <c r="A107" s="25"/>
      <c r="B107" s="27" t="s">
        <v>343</v>
      </c>
      <c r="C107" t="s">
        <v>344</v>
      </c>
      <c r="D107" t="s">
        <v>345</v>
      </c>
      <c r="E107" s="6">
        <v>45979.6726851852</v>
      </c>
      <c r="G107" s="5" t="s">
        <v>27</v>
      </c>
      <c r="H107" t="s">
        <v>309</v>
      </c>
      <c r="I10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332</v>
      </c>
      <c r="M107" s="7" t="str">
        <f>IFERROR(IF(OR(LINEA24[[#This Row],[Fecha_Informe]]="",LINEA24[[#This Row],[FechaRecepcion]]=""),"",INT(LINEA24[[#This Row],[Fecha_Informe]])-INT(LINEA24[[#This Row],[FechaRecepcion]])),"")</f>
        <v/>
      </c>
      <c r="O107" s="6"/>
      <c r="P107" s="6"/>
    </row>
    <row r="108" spans="1:16">
      <c r="A108" s="25"/>
      <c r="B108" s="26" t="s">
        <v>346</v>
      </c>
      <c r="C108" t="s">
        <v>347</v>
      </c>
      <c r="D108" t="s">
        <v>348</v>
      </c>
      <c r="E108" s="6">
        <v>45979.691400463002</v>
      </c>
      <c r="G108" s="5" t="s">
        <v>27</v>
      </c>
      <c r="H108" t="s">
        <v>309</v>
      </c>
      <c r="I10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332</v>
      </c>
      <c r="M108" s="7" t="str">
        <f>IFERROR(IF(OR(LINEA24[[#This Row],[Fecha_Informe]]="",LINEA24[[#This Row],[FechaRecepcion]]=""),"",INT(LINEA24[[#This Row],[Fecha_Informe]])-INT(LINEA24[[#This Row],[FechaRecepcion]])),"")</f>
        <v/>
      </c>
      <c r="O108" s="6"/>
      <c r="P108" s="6"/>
    </row>
    <row r="109" spans="1:16">
      <c r="A109" s="25"/>
      <c r="B109" s="26" t="s">
        <v>349</v>
      </c>
      <c r="C109" t="s">
        <v>350</v>
      </c>
      <c r="D109" t="s">
        <v>351</v>
      </c>
      <c r="E109" s="6">
        <v>45980.365231481497</v>
      </c>
      <c r="G109" s="5" t="s">
        <v>27</v>
      </c>
      <c r="H109" t="s">
        <v>309</v>
      </c>
      <c r="I10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331</v>
      </c>
      <c r="M109" s="7" t="str">
        <f>IFERROR(IF(OR(LINEA24[[#This Row],[Fecha_Informe]]="",LINEA24[[#This Row],[FechaRecepcion]]=""),"",INT(LINEA24[[#This Row],[Fecha_Informe]])-INT(LINEA24[[#This Row],[FechaRecepcion]])),"")</f>
        <v/>
      </c>
      <c r="O109" s="6"/>
      <c r="P109" s="6"/>
    </row>
    <row r="110" spans="1:16">
      <c r="A110" s="25"/>
      <c r="B110" s="27" t="s">
        <v>352</v>
      </c>
      <c r="C110" t="s">
        <v>353</v>
      </c>
      <c r="D110" t="s">
        <v>354</v>
      </c>
      <c r="E110" s="6">
        <v>45980.390347222201</v>
      </c>
      <c r="G110" s="5" t="s">
        <v>27</v>
      </c>
      <c r="H110" t="s">
        <v>309</v>
      </c>
      <c r="I11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331</v>
      </c>
      <c r="M110" s="7" t="str">
        <f>IFERROR(IF(OR(LINEA24[[#This Row],[Fecha_Informe]]="",LINEA24[[#This Row],[FechaRecepcion]]=""),"",INT(LINEA24[[#This Row],[Fecha_Informe]])-INT(LINEA24[[#This Row],[FechaRecepcion]])),"")</f>
        <v/>
      </c>
      <c r="O110" s="6"/>
      <c r="P110" s="6"/>
    </row>
    <row r="111" spans="1:16">
      <c r="A111" s="25"/>
      <c r="B111" s="26" t="s">
        <v>355</v>
      </c>
      <c r="C111" t="s">
        <v>356</v>
      </c>
      <c r="D111" t="s">
        <v>357</v>
      </c>
      <c r="E111" s="6">
        <v>45980.401284722197</v>
      </c>
      <c r="G111" s="5" t="s">
        <v>27</v>
      </c>
      <c r="H111" t="s">
        <v>309</v>
      </c>
      <c r="I11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331</v>
      </c>
      <c r="M111" s="7" t="str">
        <f>IFERROR(IF(OR(LINEA24[[#This Row],[Fecha_Informe]]="",LINEA24[[#This Row],[FechaRecepcion]]=""),"",INT(LINEA24[[#This Row],[Fecha_Informe]])-INT(LINEA24[[#This Row],[FechaRecepcion]])),"")</f>
        <v/>
      </c>
      <c r="O111" s="6"/>
      <c r="P111" s="6"/>
    </row>
    <row r="112" spans="1:16">
      <c r="A112" s="25"/>
      <c r="B112" s="27" t="s">
        <v>358</v>
      </c>
      <c r="C112" t="s">
        <v>359</v>
      </c>
      <c r="D112" t="s">
        <v>360</v>
      </c>
      <c r="E112" s="6">
        <v>45980.487627314797</v>
      </c>
      <c r="G112" s="5" t="s">
        <v>27</v>
      </c>
      <c r="H112" t="s">
        <v>309</v>
      </c>
      <c r="I11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331</v>
      </c>
      <c r="M112" s="7" t="str">
        <f>IFERROR(IF(OR(LINEA24[[#This Row],[Fecha_Informe]]="",LINEA24[[#This Row],[FechaRecepcion]]=""),"",INT(LINEA24[[#This Row],[Fecha_Informe]])-INT(LINEA24[[#This Row],[FechaRecepcion]])),"")</f>
        <v/>
      </c>
      <c r="O112" s="6"/>
      <c r="P112" s="6"/>
    </row>
    <row r="113" spans="1:16">
      <c r="A113" s="25"/>
      <c r="B113" s="26" t="s">
        <v>361</v>
      </c>
      <c r="C113" t="s">
        <v>362</v>
      </c>
      <c r="D113" t="s">
        <v>363</v>
      </c>
      <c r="E113" s="6">
        <v>45980.503148148098</v>
      </c>
      <c r="G113" s="5" t="s">
        <v>27</v>
      </c>
      <c r="H113" t="s">
        <v>309</v>
      </c>
      <c r="I11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331</v>
      </c>
      <c r="M113" s="7" t="str">
        <f>IFERROR(IF(OR(LINEA24[[#This Row],[Fecha_Informe]]="",LINEA24[[#This Row],[FechaRecepcion]]=""),"",INT(LINEA24[[#This Row],[Fecha_Informe]])-INT(LINEA24[[#This Row],[FechaRecepcion]])),"")</f>
        <v/>
      </c>
      <c r="O113" s="6"/>
      <c r="P113" s="6"/>
    </row>
    <row r="114" spans="1:16">
      <c r="A114" s="25"/>
      <c r="B114" s="26" t="s">
        <v>364</v>
      </c>
      <c r="C114" t="s">
        <v>365</v>
      </c>
      <c r="D114" t="s">
        <v>366</v>
      </c>
      <c r="E114" s="6">
        <v>45981.435706018499</v>
      </c>
      <c r="G114" s="5" t="s">
        <v>27</v>
      </c>
      <c r="H114" t="s">
        <v>309</v>
      </c>
      <c r="I11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330</v>
      </c>
      <c r="M114" s="7" t="str">
        <f>IFERROR(IF(OR(LINEA24[[#This Row],[Fecha_Informe]]="",LINEA24[[#This Row],[FechaRecepcion]]=""),"",INT(LINEA24[[#This Row],[Fecha_Informe]])-INT(LINEA24[[#This Row],[FechaRecepcion]])),"")</f>
        <v/>
      </c>
      <c r="O114" s="6"/>
      <c r="P114" s="6"/>
    </row>
    <row r="115" spans="1:16">
      <c r="A115" s="25"/>
      <c r="B115" s="26" t="s">
        <v>367</v>
      </c>
      <c r="C115" t="s">
        <v>368</v>
      </c>
      <c r="D115" t="s">
        <v>369</v>
      </c>
      <c r="E115" s="6">
        <v>45981.4772337963</v>
      </c>
      <c r="G115" s="5" t="s">
        <v>27</v>
      </c>
      <c r="H115" t="s">
        <v>309</v>
      </c>
      <c r="I11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330</v>
      </c>
      <c r="M115" s="7" t="str">
        <f>IFERROR(IF(OR(LINEA24[[#This Row],[Fecha_Informe]]="",LINEA24[[#This Row],[FechaRecepcion]]=""),"",INT(LINEA24[[#This Row],[Fecha_Informe]])-INT(LINEA24[[#This Row],[FechaRecepcion]])),"")</f>
        <v/>
      </c>
      <c r="O115" s="6"/>
      <c r="P115" s="6"/>
    </row>
    <row r="116" spans="1:16">
      <c r="A116" s="25"/>
      <c r="B116" s="26" t="s">
        <v>370</v>
      </c>
      <c r="C116" t="s">
        <v>371</v>
      </c>
      <c r="D116" t="s">
        <v>372</v>
      </c>
      <c r="E116" s="6">
        <v>45981.6575578704</v>
      </c>
      <c r="G116" s="5" t="s">
        <v>27</v>
      </c>
      <c r="H116" t="s">
        <v>309</v>
      </c>
      <c r="I11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330</v>
      </c>
      <c r="M116" s="7" t="str">
        <f>IFERROR(IF(OR(LINEA24[[#This Row],[Fecha_Informe]]="",LINEA24[[#This Row],[FechaRecepcion]]=""),"",INT(LINEA24[[#This Row],[Fecha_Informe]])-INT(LINEA24[[#This Row],[FechaRecepcion]])),"")</f>
        <v/>
      </c>
      <c r="O116" s="6"/>
      <c r="P116" s="6"/>
    </row>
    <row r="117" spans="1:16">
      <c r="A117" s="25"/>
      <c r="B117" s="26" t="s">
        <v>373</v>
      </c>
      <c r="C117" t="s">
        <v>374</v>
      </c>
      <c r="D117" t="s">
        <v>375</v>
      </c>
      <c r="E117" s="6">
        <v>45982.390625</v>
      </c>
      <c r="G117" s="5" t="s">
        <v>27</v>
      </c>
      <c r="H117" t="s">
        <v>309</v>
      </c>
      <c r="I11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329</v>
      </c>
      <c r="M117" s="7" t="str">
        <f>IFERROR(IF(OR(LINEA24[[#This Row],[Fecha_Informe]]="",LINEA24[[#This Row],[FechaRecepcion]]=""),"",INT(LINEA24[[#This Row],[Fecha_Informe]])-INT(LINEA24[[#This Row],[FechaRecepcion]])),"")</f>
        <v/>
      </c>
      <c r="O117" s="6"/>
      <c r="P117" s="6"/>
    </row>
    <row r="118" spans="1:16">
      <c r="A118" s="25"/>
      <c r="B118" s="27" t="s">
        <v>376</v>
      </c>
      <c r="C118" t="s">
        <v>377</v>
      </c>
      <c r="D118" t="s">
        <v>378</v>
      </c>
      <c r="E118" s="6">
        <v>45982.409409722197</v>
      </c>
      <c r="G118" s="5" t="s">
        <v>27</v>
      </c>
      <c r="H118" t="s">
        <v>309</v>
      </c>
      <c r="I11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329</v>
      </c>
      <c r="M118" s="7" t="str">
        <f>IFERROR(IF(OR(LINEA24[[#This Row],[Fecha_Informe]]="",LINEA24[[#This Row],[FechaRecepcion]]=""),"",INT(LINEA24[[#This Row],[Fecha_Informe]])-INT(LINEA24[[#This Row],[FechaRecepcion]])),"")</f>
        <v/>
      </c>
      <c r="O118" s="6"/>
      <c r="P118" s="6"/>
    </row>
    <row r="119" spans="1:16">
      <c r="A119" s="25"/>
      <c r="B119" s="26" t="s">
        <v>379</v>
      </c>
      <c r="C119" t="s">
        <v>380</v>
      </c>
      <c r="D119" t="s">
        <v>381</v>
      </c>
      <c r="E119" s="6">
        <v>45982.446597222202</v>
      </c>
      <c r="G119" s="5" t="s">
        <v>27</v>
      </c>
      <c r="H119" t="s">
        <v>309</v>
      </c>
      <c r="I11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329</v>
      </c>
      <c r="M119" s="7" t="str">
        <f>IFERROR(IF(OR(LINEA24[[#This Row],[Fecha_Informe]]="",LINEA24[[#This Row],[FechaRecepcion]]=""),"",INT(LINEA24[[#This Row],[Fecha_Informe]])-INT(LINEA24[[#This Row],[FechaRecepcion]])),"")</f>
        <v/>
      </c>
      <c r="O119" s="6"/>
      <c r="P119" s="6"/>
    </row>
    <row r="120" spans="1:16">
      <c r="A120" s="25"/>
      <c r="B120" s="26" t="s">
        <v>382</v>
      </c>
      <c r="C120" t="s">
        <v>383</v>
      </c>
      <c r="D120" t="s">
        <v>384</v>
      </c>
      <c r="E120" s="6">
        <v>45982.511979166702</v>
      </c>
      <c r="G120" s="5" t="s">
        <v>27</v>
      </c>
      <c r="H120" t="s">
        <v>309</v>
      </c>
      <c r="I12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329</v>
      </c>
      <c r="M120" s="7" t="str">
        <f>IFERROR(IF(OR(LINEA24[[#This Row],[Fecha_Informe]]="",LINEA24[[#This Row],[FechaRecepcion]]=""),"",INT(LINEA24[[#This Row],[Fecha_Informe]])-INT(LINEA24[[#This Row],[FechaRecepcion]])),"")</f>
        <v/>
      </c>
      <c r="O120" s="6"/>
      <c r="P120" s="6"/>
    </row>
    <row r="121" spans="1:16">
      <c r="A121" s="25"/>
      <c r="B121" s="27" t="s">
        <v>385</v>
      </c>
      <c r="C121" t="s">
        <v>386</v>
      </c>
      <c r="D121" t="s">
        <v>387</v>
      </c>
      <c r="E121" s="6">
        <v>45985.392858796302</v>
      </c>
      <c r="G121" s="5" t="s">
        <v>27</v>
      </c>
      <c r="H121" t="s">
        <v>309</v>
      </c>
      <c r="I12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326</v>
      </c>
      <c r="M121" s="7" t="str">
        <f>IFERROR(IF(OR(LINEA24[[#This Row],[Fecha_Informe]]="",LINEA24[[#This Row],[FechaRecepcion]]=""),"",INT(LINEA24[[#This Row],[Fecha_Informe]])-INT(LINEA24[[#This Row],[FechaRecepcion]])),"")</f>
        <v/>
      </c>
      <c r="O121" s="6"/>
      <c r="P121" s="6"/>
    </row>
    <row r="122" spans="1:16">
      <c r="A122" s="25"/>
      <c r="B122" s="27" t="s">
        <v>388</v>
      </c>
      <c r="C122" t="s">
        <v>389</v>
      </c>
      <c r="D122" t="s">
        <v>390</v>
      </c>
      <c r="E122" s="6">
        <v>45985.473263888904</v>
      </c>
      <c r="G122" s="5" t="s">
        <v>27</v>
      </c>
      <c r="H122" t="s">
        <v>309</v>
      </c>
      <c r="I12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326</v>
      </c>
      <c r="M122" s="7" t="str">
        <f>IFERROR(IF(OR(LINEA24[[#This Row],[Fecha_Informe]]="",LINEA24[[#This Row],[FechaRecepcion]]=""),"",INT(LINEA24[[#This Row],[Fecha_Informe]])-INT(LINEA24[[#This Row],[FechaRecepcion]])),"")</f>
        <v/>
      </c>
      <c r="O122" s="6"/>
      <c r="P122" s="6"/>
    </row>
    <row r="123" spans="1:16">
      <c r="A123" s="25"/>
      <c r="B123" s="27" t="s">
        <v>391</v>
      </c>
      <c r="C123" t="s">
        <v>392</v>
      </c>
      <c r="D123" t="s">
        <v>393</v>
      </c>
      <c r="E123" s="6">
        <v>45986.482326388897</v>
      </c>
      <c r="G123" s="5" t="s">
        <v>27</v>
      </c>
      <c r="H123" t="s">
        <v>309</v>
      </c>
      <c r="I12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325</v>
      </c>
      <c r="M123" s="7" t="str">
        <f>IFERROR(IF(OR(LINEA24[[#This Row],[Fecha_Informe]]="",LINEA24[[#This Row],[FechaRecepcion]]=""),"",INT(LINEA24[[#This Row],[Fecha_Informe]])-INT(LINEA24[[#This Row],[FechaRecepcion]])),"")</f>
        <v/>
      </c>
      <c r="O123" s="6"/>
      <c r="P123" s="6"/>
    </row>
    <row r="124" spans="1:16">
      <c r="A124" s="25"/>
      <c r="B124" s="26" t="s">
        <v>394</v>
      </c>
      <c r="C124" t="s">
        <v>395</v>
      </c>
      <c r="D124" t="s">
        <v>396</v>
      </c>
      <c r="E124" s="6">
        <v>45986.716018518498</v>
      </c>
      <c r="G124" s="5" t="s">
        <v>397</v>
      </c>
      <c r="H124" t="s">
        <v>309</v>
      </c>
      <c r="I12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325</v>
      </c>
      <c r="M124" s="7" t="str">
        <f>IFERROR(IF(OR(LINEA24[[#This Row],[Fecha_Informe]]="",LINEA24[[#This Row],[FechaRecepcion]]=""),"",INT(LINEA24[[#This Row],[Fecha_Informe]])-INT(LINEA24[[#This Row],[FechaRecepcion]])),"")</f>
        <v/>
      </c>
      <c r="O124" s="6"/>
      <c r="P124" s="6"/>
    </row>
    <row r="125" spans="1:16">
      <c r="A125" s="25"/>
      <c r="B125" s="26" t="s">
        <v>398</v>
      </c>
      <c r="C125" t="s">
        <v>399</v>
      </c>
      <c r="E125" s="6">
        <v>45986.719629629602</v>
      </c>
      <c r="G125" s="5" t="s">
        <v>400</v>
      </c>
      <c r="H125" t="s">
        <v>309</v>
      </c>
      <c r="I12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325</v>
      </c>
      <c r="M125" s="7" t="str">
        <f>IFERROR(IF(OR(LINEA24[[#This Row],[Fecha_Informe]]="",LINEA24[[#This Row],[FechaRecepcion]]=""),"",INT(LINEA24[[#This Row],[Fecha_Informe]])-INT(LINEA24[[#This Row],[FechaRecepcion]])),"")</f>
        <v/>
      </c>
      <c r="O125" s="6"/>
      <c r="P125" s="6"/>
    </row>
    <row r="126" spans="1:16">
      <c r="A126" s="25"/>
      <c r="B126" s="26" t="s">
        <v>401</v>
      </c>
      <c r="C126" t="s">
        <v>402</v>
      </c>
      <c r="D126" t="s">
        <v>403</v>
      </c>
      <c r="E126" s="6">
        <v>45987.424942129597</v>
      </c>
      <c r="G126" s="5" t="s">
        <v>397</v>
      </c>
      <c r="H126" t="s">
        <v>309</v>
      </c>
      <c r="I12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324</v>
      </c>
      <c r="M126" s="7" t="str">
        <f>IFERROR(IF(OR(LINEA24[[#This Row],[Fecha_Informe]]="",LINEA24[[#This Row],[FechaRecepcion]]=""),"",INT(LINEA24[[#This Row],[Fecha_Informe]])-INT(LINEA24[[#This Row],[FechaRecepcion]])),"")</f>
        <v/>
      </c>
      <c r="O126" s="6"/>
      <c r="P126" s="6"/>
    </row>
    <row r="127" spans="1:16">
      <c r="A127" s="25"/>
      <c r="B127" s="27" t="s">
        <v>404</v>
      </c>
      <c r="C127" t="s">
        <v>405</v>
      </c>
      <c r="D127" t="s">
        <v>406</v>
      </c>
      <c r="E127" s="6">
        <v>45987.433541666702</v>
      </c>
      <c r="G127" s="5" t="s">
        <v>397</v>
      </c>
      <c r="H127" t="s">
        <v>309</v>
      </c>
      <c r="I12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324</v>
      </c>
      <c r="M127" s="7" t="str">
        <f>IFERROR(IF(OR(LINEA24[[#This Row],[Fecha_Informe]]="",LINEA24[[#This Row],[FechaRecepcion]]=""),"",INT(LINEA24[[#This Row],[Fecha_Informe]])-INT(LINEA24[[#This Row],[FechaRecepcion]])),"")</f>
        <v/>
      </c>
      <c r="O127" s="6"/>
      <c r="P127" s="6"/>
    </row>
    <row r="128" spans="1:16">
      <c r="A128" s="25"/>
      <c r="B128" s="26" t="s">
        <v>407</v>
      </c>
      <c r="C128" t="s">
        <v>408</v>
      </c>
      <c r="D128" t="s">
        <v>409</v>
      </c>
      <c r="E128" s="6">
        <v>45988.4050810185</v>
      </c>
      <c r="G128" s="5" t="s">
        <v>397</v>
      </c>
      <c r="H128" t="s">
        <v>309</v>
      </c>
      <c r="I12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323</v>
      </c>
      <c r="M128" s="7" t="str">
        <f>IFERROR(IF(OR(LINEA24[[#This Row],[Fecha_Informe]]="",LINEA24[[#This Row],[FechaRecepcion]]=""),"",INT(LINEA24[[#This Row],[Fecha_Informe]])-INT(LINEA24[[#This Row],[FechaRecepcion]])),"")</f>
        <v/>
      </c>
      <c r="O128" s="6"/>
      <c r="P128" s="6"/>
    </row>
    <row r="129" spans="1:16">
      <c r="A129" s="25"/>
      <c r="B129" s="27" t="s">
        <v>410</v>
      </c>
      <c r="C129" t="s">
        <v>411</v>
      </c>
      <c r="D129" t="s">
        <v>412</v>
      </c>
      <c r="E129" s="6">
        <v>45988.417164351798</v>
      </c>
      <c r="G129" s="5" t="s">
        <v>397</v>
      </c>
      <c r="H129" t="s">
        <v>309</v>
      </c>
      <c r="I12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323</v>
      </c>
      <c r="M129" s="7" t="str">
        <f>IFERROR(IF(OR(LINEA24[[#This Row],[Fecha_Informe]]="",LINEA24[[#This Row],[FechaRecepcion]]=""),"",INT(LINEA24[[#This Row],[Fecha_Informe]])-INT(LINEA24[[#This Row],[FechaRecepcion]])),"")</f>
        <v/>
      </c>
      <c r="O129" s="6"/>
      <c r="P129" s="6"/>
    </row>
    <row r="130" spans="1:16">
      <c r="A130" s="25"/>
      <c r="B130" s="26" t="s">
        <v>413</v>
      </c>
      <c r="C130" t="s">
        <v>414</v>
      </c>
      <c r="E130" s="6">
        <v>45988.508020833302</v>
      </c>
      <c r="G130" s="5" t="s">
        <v>400</v>
      </c>
      <c r="H130" t="s">
        <v>309</v>
      </c>
      <c r="I13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323</v>
      </c>
      <c r="M130" s="7" t="str">
        <f>IFERROR(IF(OR(LINEA24[[#This Row],[Fecha_Informe]]="",LINEA24[[#This Row],[FechaRecepcion]]=""),"",INT(LINEA24[[#This Row],[Fecha_Informe]])-INT(LINEA24[[#This Row],[FechaRecepcion]])),"")</f>
        <v/>
      </c>
      <c r="O130" s="6"/>
      <c r="P130" s="6"/>
    </row>
    <row r="131" spans="1:16">
      <c r="A131" s="25"/>
      <c r="B131" s="26" t="s">
        <v>415</v>
      </c>
      <c r="C131" t="s">
        <v>416</v>
      </c>
      <c r="D131" t="s">
        <v>417</v>
      </c>
      <c r="E131" s="6">
        <v>45988.520115740699</v>
      </c>
      <c r="G131" s="5" t="s">
        <v>397</v>
      </c>
      <c r="H131" t="s">
        <v>309</v>
      </c>
      <c r="I13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323</v>
      </c>
      <c r="M131" s="7" t="str">
        <f>IFERROR(IF(OR(LINEA24[[#This Row],[Fecha_Informe]]="",LINEA24[[#This Row],[FechaRecepcion]]=""),"",INT(LINEA24[[#This Row],[Fecha_Informe]])-INT(LINEA24[[#This Row],[FechaRecepcion]])),"")</f>
        <v/>
      </c>
      <c r="O131" s="6"/>
      <c r="P131" s="6"/>
    </row>
    <row r="132" spans="1:16">
      <c r="A132" s="25"/>
      <c r="B132" s="26" t="s">
        <v>418</v>
      </c>
      <c r="C132" t="s">
        <v>419</v>
      </c>
      <c r="D132" t="s">
        <v>420</v>
      </c>
      <c r="E132" s="6">
        <v>45988.547766203701</v>
      </c>
      <c r="G132" s="5" t="s">
        <v>397</v>
      </c>
      <c r="H132" t="s">
        <v>309</v>
      </c>
      <c r="I13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323</v>
      </c>
      <c r="M132" s="7" t="str">
        <f>IFERROR(IF(OR(LINEA24[[#This Row],[Fecha_Informe]]="",LINEA24[[#This Row],[FechaRecepcion]]=""),"",INT(LINEA24[[#This Row],[Fecha_Informe]])-INT(LINEA24[[#This Row],[FechaRecepcion]])),"")</f>
        <v/>
      </c>
      <c r="O132" s="6"/>
      <c r="P132" s="6"/>
    </row>
    <row r="133" spans="1:16">
      <c r="A133" s="25"/>
      <c r="B133" s="27" t="s">
        <v>421</v>
      </c>
      <c r="C133" t="s">
        <v>422</v>
      </c>
      <c r="D133" t="s">
        <v>423</v>
      </c>
      <c r="E133" s="6">
        <v>45988.558923611097</v>
      </c>
      <c r="G133" s="5" t="s">
        <v>397</v>
      </c>
      <c r="H133" t="s">
        <v>309</v>
      </c>
      <c r="I13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323</v>
      </c>
      <c r="M133" s="7" t="str">
        <f>IFERROR(IF(OR(LINEA24[[#This Row],[Fecha_Informe]]="",LINEA24[[#This Row],[FechaRecepcion]]=""),"",INT(LINEA24[[#This Row],[Fecha_Informe]])-INT(LINEA24[[#This Row],[FechaRecepcion]])),"")</f>
        <v/>
      </c>
      <c r="O133" s="6"/>
      <c r="P133" s="6"/>
    </row>
    <row r="134" spans="1:16">
      <c r="A134" s="25"/>
      <c r="B134" s="26" t="s">
        <v>424</v>
      </c>
      <c r="C134" t="s">
        <v>425</v>
      </c>
      <c r="E134" s="6">
        <v>45988.998587962997</v>
      </c>
      <c r="G134" s="5" t="s">
        <v>400</v>
      </c>
      <c r="H134" t="s">
        <v>309</v>
      </c>
      <c r="I13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323</v>
      </c>
      <c r="M134" s="7" t="str">
        <f>IFERROR(IF(OR(LINEA24[[#This Row],[Fecha_Informe]]="",LINEA24[[#This Row],[FechaRecepcion]]=""),"",INT(LINEA24[[#This Row],[Fecha_Informe]])-INT(LINEA24[[#This Row],[FechaRecepcion]])),"")</f>
        <v/>
      </c>
      <c r="O134" s="6"/>
      <c r="P134" s="6"/>
    </row>
    <row r="135" spans="1:16">
      <c r="A135" s="25"/>
      <c r="B135" s="27" t="s">
        <v>426</v>
      </c>
      <c r="C135" t="s">
        <v>427</v>
      </c>
      <c r="D135" t="s">
        <v>428</v>
      </c>
      <c r="E135" s="6">
        <v>45989.385532407403</v>
      </c>
      <c r="G135" s="5" t="s">
        <v>397</v>
      </c>
      <c r="H135" t="s">
        <v>309</v>
      </c>
      <c r="I13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322</v>
      </c>
      <c r="M135" s="7" t="str">
        <f>IFERROR(IF(OR(LINEA24[[#This Row],[Fecha_Informe]]="",LINEA24[[#This Row],[FechaRecepcion]]=""),"",INT(LINEA24[[#This Row],[Fecha_Informe]])-INT(LINEA24[[#This Row],[FechaRecepcion]])),"")</f>
        <v/>
      </c>
      <c r="O135" s="6"/>
      <c r="P135" s="6"/>
    </row>
    <row r="136" spans="1:16">
      <c r="A136" s="25"/>
      <c r="B136" s="27" t="s">
        <v>429</v>
      </c>
      <c r="C136" t="s">
        <v>430</v>
      </c>
      <c r="E136" s="6">
        <v>45989.441597222198</v>
      </c>
      <c r="G136" s="5" t="s">
        <v>400</v>
      </c>
      <c r="H136" t="s">
        <v>309</v>
      </c>
      <c r="I13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322</v>
      </c>
      <c r="M136" s="7" t="str">
        <f>IFERROR(IF(OR(LINEA24[[#This Row],[Fecha_Informe]]="",LINEA24[[#This Row],[FechaRecepcion]]=""),"",INT(LINEA24[[#This Row],[Fecha_Informe]])-INT(LINEA24[[#This Row],[FechaRecepcion]])),"")</f>
        <v/>
      </c>
      <c r="O136" s="6"/>
      <c r="P136" s="6"/>
    </row>
    <row r="137" spans="1:16">
      <c r="A137" s="25"/>
      <c r="B137" s="27" t="s">
        <v>431</v>
      </c>
      <c r="C137" t="s">
        <v>432</v>
      </c>
      <c r="D137" t="s">
        <v>433</v>
      </c>
      <c r="E137" s="6">
        <v>45989.479953703703</v>
      </c>
      <c r="G137" s="5" t="s">
        <v>397</v>
      </c>
      <c r="H137" t="s">
        <v>309</v>
      </c>
      <c r="I13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322</v>
      </c>
      <c r="M137" s="7" t="str">
        <f>IFERROR(IF(OR(LINEA24[[#This Row],[Fecha_Informe]]="",LINEA24[[#This Row],[FechaRecepcion]]=""),"",INT(LINEA24[[#This Row],[Fecha_Informe]])-INT(LINEA24[[#This Row],[FechaRecepcion]])),"")</f>
        <v/>
      </c>
      <c r="O137" s="6"/>
      <c r="P137" s="6"/>
    </row>
    <row r="138" spans="1:16">
      <c r="A138" s="25"/>
      <c r="B138" s="26" t="s">
        <v>434</v>
      </c>
      <c r="C138" t="s">
        <v>435</v>
      </c>
      <c r="D138" t="s">
        <v>436</v>
      </c>
      <c r="E138" s="6">
        <v>45989.545775462997</v>
      </c>
      <c r="G138" s="5" t="s">
        <v>397</v>
      </c>
      <c r="H138" t="s">
        <v>309</v>
      </c>
      <c r="I13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322</v>
      </c>
      <c r="M138" s="7" t="str">
        <f>IFERROR(IF(OR(LINEA24[[#This Row],[Fecha_Informe]]="",LINEA24[[#This Row],[FechaRecepcion]]=""),"",INT(LINEA24[[#This Row],[Fecha_Informe]])-INT(LINEA24[[#This Row],[FechaRecepcion]])),"")</f>
        <v/>
      </c>
      <c r="O138" s="6"/>
      <c r="P138" s="6"/>
    </row>
    <row r="139" spans="1:16">
      <c r="A139" s="25"/>
      <c r="B139" s="26" t="s">
        <v>437</v>
      </c>
      <c r="C139" t="s">
        <v>438</v>
      </c>
      <c r="D139" t="s">
        <v>439</v>
      </c>
      <c r="E139" s="6">
        <v>45989.546990740702</v>
      </c>
      <c r="G139" s="5" t="s">
        <v>397</v>
      </c>
      <c r="H139" t="s">
        <v>309</v>
      </c>
      <c r="I13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322</v>
      </c>
      <c r="M139" s="7" t="str">
        <f>IFERROR(IF(OR(LINEA24[[#This Row],[Fecha_Informe]]="",LINEA24[[#This Row],[FechaRecepcion]]=""),"",INT(LINEA24[[#This Row],[Fecha_Informe]])-INT(LINEA24[[#This Row],[FechaRecepcion]])),"")</f>
        <v/>
      </c>
      <c r="O139" s="6"/>
      <c r="P139" s="6"/>
    </row>
    <row r="140" spans="1:16">
      <c r="A140" s="25"/>
      <c r="B140" s="26" t="s">
        <v>440</v>
      </c>
      <c r="C140" t="s">
        <v>441</v>
      </c>
      <c r="D140" t="s">
        <v>442</v>
      </c>
      <c r="E140" s="6">
        <v>45992.497673611098</v>
      </c>
      <c r="G140" s="5" t="s">
        <v>397</v>
      </c>
      <c r="H140" t="s">
        <v>309</v>
      </c>
      <c r="I14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319</v>
      </c>
      <c r="M140" s="7" t="str">
        <f>IFERROR(IF(OR(LINEA24[[#This Row],[Fecha_Informe]]="",LINEA24[[#This Row],[FechaRecepcion]]=""),"",INT(LINEA24[[#This Row],[Fecha_Informe]])-INT(LINEA24[[#This Row],[FechaRecepcion]])),"")</f>
        <v/>
      </c>
      <c r="O140" s="6"/>
      <c r="P140" s="6"/>
    </row>
    <row r="141" spans="1:16">
      <c r="A141" s="25"/>
      <c r="B141" s="27" t="s">
        <v>443</v>
      </c>
      <c r="C141" t="s">
        <v>444</v>
      </c>
      <c r="D141" t="s">
        <v>445</v>
      </c>
      <c r="E141" s="6">
        <v>45992.543946759302</v>
      </c>
      <c r="G141" s="5" t="s">
        <v>397</v>
      </c>
      <c r="H141" t="s">
        <v>309</v>
      </c>
      <c r="I14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319</v>
      </c>
      <c r="M141" s="7" t="str">
        <f>IFERROR(IF(OR(LINEA24[[#This Row],[Fecha_Informe]]="",LINEA24[[#This Row],[FechaRecepcion]]=""),"",INT(LINEA24[[#This Row],[Fecha_Informe]])-INT(LINEA24[[#This Row],[FechaRecepcion]])),"")</f>
        <v/>
      </c>
      <c r="O141" s="6"/>
      <c r="P141" s="6"/>
    </row>
    <row r="142" spans="1:16">
      <c r="A142" s="25"/>
      <c r="B142" s="26" t="s">
        <v>446</v>
      </c>
      <c r="C142" t="s">
        <v>447</v>
      </c>
      <c r="D142" t="s">
        <v>448</v>
      </c>
      <c r="E142" s="6">
        <v>45993.388831018499</v>
      </c>
      <c r="G142" s="5" t="s">
        <v>397</v>
      </c>
      <c r="H142" t="s">
        <v>309</v>
      </c>
      <c r="I14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318</v>
      </c>
      <c r="M142" s="7" t="str">
        <f>IFERROR(IF(OR(LINEA24[[#This Row],[Fecha_Informe]]="",LINEA24[[#This Row],[FechaRecepcion]]=""),"",INT(LINEA24[[#This Row],[Fecha_Informe]])-INT(LINEA24[[#This Row],[FechaRecepcion]])),"")</f>
        <v/>
      </c>
      <c r="O142" s="6"/>
      <c r="P142" s="6"/>
    </row>
    <row r="143" spans="1:16">
      <c r="A143" s="25"/>
      <c r="B143" s="26" t="s">
        <v>449</v>
      </c>
      <c r="C143" t="s">
        <v>450</v>
      </c>
      <c r="D143" t="s">
        <v>451</v>
      </c>
      <c r="E143" s="6">
        <v>45993.394456018497</v>
      </c>
      <c r="G143" s="5" t="s">
        <v>397</v>
      </c>
      <c r="H143" t="s">
        <v>309</v>
      </c>
      <c r="I14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318</v>
      </c>
      <c r="M143" s="7" t="str">
        <f>IFERROR(IF(OR(LINEA24[[#This Row],[Fecha_Informe]]="",LINEA24[[#This Row],[FechaRecepcion]]=""),"",INT(LINEA24[[#This Row],[Fecha_Informe]])-INT(LINEA24[[#This Row],[FechaRecepcion]])),"")</f>
        <v/>
      </c>
      <c r="O143" s="6"/>
      <c r="P143" s="6"/>
    </row>
    <row r="144" spans="1:16">
      <c r="A144" s="25"/>
      <c r="B144" s="26" t="s">
        <v>452</v>
      </c>
      <c r="C144" t="s">
        <v>453</v>
      </c>
      <c r="D144" t="s">
        <v>454</v>
      </c>
      <c r="E144" s="6">
        <v>45993.504074074102</v>
      </c>
      <c r="G144" s="5" t="s">
        <v>397</v>
      </c>
      <c r="H144" t="s">
        <v>309</v>
      </c>
      <c r="I14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318</v>
      </c>
      <c r="M144" s="7" t="str">
        <f>IFERROR(IF(OR(LINEA24[[#This Row],[Fecha_Informe]]="",LINEA24[[#This Row],[FechaRecepcion]]=""),"",INT(LINEA24[[#This Row],[Fecha_Informe]])-INT(LINEA24[[#This Row],[FechaRecepcion]])),"")</f>
        <v/>
      </c>
      <c r="O144" s="6"/>
      <c r="P144" s="6"/>
    </row>
    <row r="145" spans="1:16">
      <c r="A145" s="25"/>
      <c r="B145" s="27" t="s">
        <v>455</v>
      </c>
      <c r="C145" t="s">
        <v>432</v>
      </c>
      <c r="D145" t="s">
        <v>433</v>
      </c>
      <c r="E145" s="6">
        <v>45993.551018518498</v>
      </c>
      <c r="G145" s="5" t="s">
        <v>397</v>
      </c>
      <c r="H145" t="s">
        <v>309</v>
      </c>
      <c r="I14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318</v>
      </c>
      <c r="M145" s="7" t="str">
        <f>IFERROR(IF(OR(LINEA24[[#This Row],[Fecha_Informe]]="",LINEA24[[#This Row],[FechaRecepcion]]=""),"",INT(LINEA24[[#This Row],[Fecha_Informe]])-INT(LINEA24[[#This Row],[FechaRecepcion]])),"")</f>
        <v/>
      </c>
      <c r="O145" s="6"/>
      <c r="P145" s="6"/>
    </row>
    <row r="146" spans="1:16">
      <c r="A146" s="25"/>
      <c r="B146" s="26" t="s">
        <v>456</v>
      </c>
      <c r="C146" t="s">
        <v>457</v>
      </c>
      <c r="D146" t="s">
        <v>458</v>
      </c>
      <c r="E146" s="6">
        <v>45993.569942129601</v>
      </c>
      <c r="G146" s="5" t="s">
        <v>397</v>
      </c>
      <c r="H146" t="s">
        <v>309</v>
      </c>
      <c r="I14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318</v>
      </c>
      <c r="M146" s="7" t="str">
        <f>IFERROR(IF(OR(LINEA24[[#This Row],[Fecha_Informe]]="",LINEA24[[#This Row],[FechaRecepcion]]=""),"",INT(LINEA24[[#This Row],[Fecha_Informe]])-INT(LINEA24[[#This Row],[FechaRecepcion]])),"")</f>
        <v/>
      </c>
      <c r="O146" s="6"/>
      <c r="P146" s="6"/>
    </row>
    <row r="147" spans="1:16">
      <c r="A147" s="25"/>
      <c r="B147" s="26" t="s">
        <v>459</v>
      </c>
      <c r="C147" t="s">
        <v>460</v>
      </c>
      <c r="D147" t="s">
        <v>461</v>
      </c>
      <c r="E147" s="6">
        <v>45993.574108796303</v>
      </c>
      <c r="G147" s="5" t="s">
        <v>397</v>
      </c>
      <c r="H147" t="s">
        <v>309</v>
      </c>
      <c r="I14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318</v>
      </c>
      <c r="M147" s="7" t="str">
        <f>IFERROR(IF(OR(LINEA24[[#This Row],[Fecha_Informe]]="",LINEA24[[#This Row],[FechaRecepcion]]=""),"",INT(LINEA24[[#This Row],[Fecha_Informe]])-INT(LINEA24[[#This Row],[FechaRecepcion]])),"")</f>
        <v/>
      </c>
      <c r="O147" s="6"/>
      <c r="P147" s="6"/>
    </row>
    <row r="148" spans="1:16">
      <c r="A148" s="25"/>
      <c r="B148" s="27" t="s">
        <v>462</v>
      </c>
      <c r="C148" t="s">
        <v>463</v>
      </c>
      <c r="D148" t="s">
        <v>464</v>
      </c>
      <c r="E148" s="6">
        <v>45995.3988425926</v>
      </c>
      <c r="G148" s="5" t="s">
        <v>397</v>
      </c>
      <c r="H148" t="s">
        <v>309</v>
      </c>
      <c r="I14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316</v>
      </c>
      <c r="M148" s="7" t="str">
        <f>IFERROR(IF(OR(LINEA24[[#This Row],[Fecha_Informe]]="",LINEA24[[#This Row],[FechaRecepcion]]=""),"",INT(LINEA24[[#This Row],[Fecha_Informe]])-INT(LINEA24[[#This Row],[FechaRecepcion]])),"")</f>
        <v/>
      </c>
      <c r="O148" s="6"/>
      <c r="P148" s="6"/>
    </row>
    <row r="149" spans="1:16">
      <c r="A149" s="25"/>
      <c r="B149" s="26" t="s">
        <v>465</v>
      </c>
      <c r="C149" t="s">
        <v>466</v>
      </c>
      <c r="D149" t="s">
        <v>467</v>
      </c>
      <c r="E149" s="6">
        <v>45995.524479166699</v>
      </c>
      <c r="G149" s="5" t="s">
        <v>397</v>
      </c>
      <c r="H149" t="s">
        <v>309</v>
      </c>
      <c r="I14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316</v>
      </c>
      <c r="M149" s="7" t="str">
        <f>IFERROR(IF(OR(LINEA24[[#This Row],[Fecha_Informe]]="",LINEA24[[#This Row],[FechaRecepcion]]=""),"",INT(LINEA24[[#This Row],[Fecha_Informe]])-INT(LINEA24[[#This Row],[FechaRecepcion]])),"")</f>
        <v/>
      </c>
      <c r="O149" s="6"/>
      <c r="P149" s="6"/>
    </row>
    <row r="150" spans="1:16">
      <c r="A150" s="25"/>
      <c r="B150" s="27" t="s">
        <v>468</v>
      </c>
      <c r="C150" t="s">
        <v>469</v>
      </c>
      <c r="D150" t="s">
        <v>470</v>
      </c>
      <c r="E150" s="6">
        <v>45996.420682870397</v>
      </c>
      <c r="G150" s="5" t="s">
        <v>397</v>
      </c>
      <c r="H150" t="s">
        <v>309</v>
      </c>
      <c r="I15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315</v>
      </c>
      <c r="M150" s="7" t="str">
        <f>IFERROR(IF(OR(LINEA24[[#This Row],[Fecha_Informe]]="",LINEA24[[#This Row],[FechaRecepcion]]=""),"",INT(LINEA24[[#This Row],[Fecha_Informe]])-INT(LINEA24[[#This Row],[FechaRecepcion]])),"")</f>
        <v/>
      </c>
      <c r="O150" s="6"/>
      <c r="P150" s="6"/>
    </row>
    <row r="151" spans="1:16">
      <c r="A151" s="25"/>
      <c r="B151" s="26" t="s">
        <v>471</v>
      </c>
      <c r="C151" t="s">
        <v>472</v>
      </c>
      <c r="E151" s="6">
        <v>45996.567719907398</v>
      </c>
      <c r="G151" s="5" t="s">
        <v>400</v>
      </c>
      <c r="H151" t="s">
        <v>309</v>
      </c>
      <c r="I15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315</v>
      </c>
      <c r="M151" s="7" t="str">
        <f>IFERROR(IF(OR(LINEA24[[#This Row],[Fecha_Informe]]="",LINEA24[[#This Row],[FechaRecepcion]]=""),"",INT(LINEA24[[#This Row],[Fecha_Informe]])-INT(LINEA24[[#This Row],[FechaRecepcion]])),"")</f>
        <v/>
      </c>
      <c r="O151" s="6"/>
      <c r="P151" s="6"/>
    </row>
    <row r="152" spans="1:16">
      <c r="A152" s="25"/>
      <c r="B152" s="26" t="s">
        <v>473</v>
      </c>
      <c r="C152" t="s">
        <v>474</v>
      </c>
      <c r="D152" t="s">
        <v>475</v>
      </c>
      <c r="E152" s="6">
        <v>46001.383784722202</v>
      </c>
      <c r="G152" s="5" t="s">
        <v>397</v>
      </c>
      <c r="H152" t="s">
        <v>309</v>
      </c>
      <c r="I15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310</v>
      </c>
      <c r="M152" s="7" t="str">
        <f>IFERROR(IF(OR(LINEA24[[#This Row],[Fecha_Informe]]="",LINEA24[[#This Row],[FechaRecepcion]]=""),"",INT(LINEA24[[#This Row],[Fecha_Informe]])-INT(LINEA24[[#This Row],[FechaRecepcion]])),"")</f>
        <v/>
      </c>
      <c r="O152" s="6"/>
      <c r="P152" s="6"/>
    </row>
    <row r="153" spans="1:16">
      <c r="A153" s="25"/>
      <c r="B153" s="26" t="s">
        <v>476</v>
      </c>
      <c r="C153" t="s">
        <v>477</v>
      </c>
      <c r="E153" s="6">
        <v>46000.608483796299</v>
      </c>
      <c r="G153" s="5" t="s">
        <v>400</v>
      </c>
      <c r="H153" t="s">
        <v>309</v>
      </c>
      <c r="I15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311</v>
      </c>
      <c r="M153" s="7" t="str">
        <f>IFERROR(IF(OR(LINEA24[[#This Row],[Fecha_Informe]]="",LINEA24[[#This Row],[FechaRecepcion]]=""),"",INT(LINEA24[[#This Row],[Fecha_Informe]])-INT(LINEA24[[#This Row],[FechaRecepcion]])),"")</f>
        <v/>
      </c>
      <c r="O153" s="6"/>
      <c r="P153" s="6"/>
    </row>
    <row r="154" spans="1:16">
      <c r="A154" s="25"/>
      <c r="B154" s="26" t="s">
        <v>478</v>
      </c>
      <c r="C154" t="s">
        <v>479</v>
      </c>
      <c r="D154" t="s">
        <v>480</v>
      </c>
      <c r="E154" s="6">
        <v>46001.505868055603</v>
      </c>
      <c r="G154" s="5" t="s">
        <v>397</v>
      </c>
      <c r="H154" t="s">
        <v>309</v>
      </c>
      <c r="I15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310</v>
      </c>
      <c r="M154" s="7" t="str">
        <f>IFERROR(IF(OR(LINEA24[[#This Row],[Fecha_Informe]]="",LINEA24[[#This Row],[FechaRecepcion]]=""),"",INT(LINEA24[[#This Row],[Fecha_Informe]])-INT(LINEA24[[#This Row],[FechaRecepcion]])),"")</f>
        <v/>
      </c>
      <c r="O154" s="6"/>
      <c r="P154" s="6"/>
    </row>
    <row r="155" spans="1:16">
      <c r="A155" s="25"/>
      <c r="B155" s="26" t="s">
        <v>481</v>
      </c>
      <c r="C155" t="s">
        <v>482</v>
      </c>
      <c r="D155" t="s">
        <v>483</v>
      </c>
      <c r="E155" s="6">
        <v>46001.6797337963</v>
      </c>
      <c r="G155" s="5" t="s">
        <v>397</v>
      </c>
      <c r="H155" t="s">
        <v>309</v>
      </c>
      <c r="I15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310</v>
      </c>
      <c r="M155" s="7" t="str">
        <f>IFERROR(IF(OR(LINEA24[[#This Row],[Fecha_Informe]]="",LINEA24[[#This Row],[FechaRecepcion]]=""),"",INT(LINEA24[[#This Row],[Fecha_Informe]])-INT(LINEA24[[#This Row],[FechaRecepcion]])),"")</f>
        <v/>
      </c>
      <c r="O155" s="6"/>
      <c r="P155" s="6"/>
    </row>
    <row r="156" spans="1:16">
      <c r="A156" s="25"/>
      <c r="B156" s="27" t="s">
        <v>484</v>
      </c>
      <c r="C156" t="s">
        <v>485</v>
      </c>
      <c r="D156" t="s">
        <v>486</v>
      </c>
      <c r="E156" s="6">
        <v>46002.730729166702</v>
      </c>
      <c r="G156" s="5" t="s">
        <v>397</v>
      </c>
      <c r="H156" t="s">
        <v>309</v>
      </c>
      <c r="I15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309</v>
      </c>
      <c r="M156" s="7" t="str">
        <f>IFERROR(IF(OR(LINEA24[[#This Row],[Fecha_Informe]]="",LINEA24[[#This Row],[FechaRecepcion]]=""),"",INT(LINEA24[[#This Row],[Fecha_Informe]])-INT(LINEA24[[#This Row],[FechaRecepcion]])),"")</f>
        <v/>
      </c>
      <c r="O156" s="6"/>
      <c r="P156" s="6"/>
    </row>
    <row r="157" spans="1:16">
      <c r="A157" s="25"/>
      <c r="B157" s="26" t="s">
        <v>487</v>
      </c>
      <c r="C157" t="s">
        <v>488</v>
      </c>
      <c r="D157" t="s">
        <v>489</v>
      </c>
      <c r="E157" s="6">
        <v>46003.4431944444</v>
      </c>
      <c r="G157" s="5" t="s">
        <v>397</v>
      </c>
      <c r="H157" t="s">
        <v>309</v>
      </c>
      <c r="I15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308</v>
      </c>
      <c r="M157" s="7" t="str">
        <f>IFERROR(IF(OR(LINEA24[[#This Row],[Fecha_Informe]]="",LINEA24[[#This Row],[FechaRecepcion]]=""),"",INT(LINEA24[[#This Row],[Fecha_Informe]])-INT(LINEA24[[#This Row],[FechaRecepcion]])),"")</f>
        <v/>
      </c>
      <c r="O157" s="6"/>
      <c r="P157" s="6"/>
    </row>
    <row r="158" spans="1:16">
      <c r="A158" s="25"/>
      <c r="B158" s="26" t="s">
        <v>490</v>
      </c>
      <c r="C158" t="s">
        <v>491</v>
      </c>
      <c r="D158" t="s">
        <v>492</v>
      </c>
      <c r="E158" s="6">
        <v>46003.4741782407</v>
      </c>
      <c r="G158" s="5" t="s">
        <v>397</v>
      </c>
      <c r="H158" t="s">
        <v>309</v>
      </c>
      <c r="I15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308</v>
      </c>
      <c r="M158" s="7" t="str">
        <f>IFERROR(IF(OR(LINEA24[[#This Row],[Fecha_Informe]]="",LINEA24[[#This Row],[FechaRecepcion]]=""),"",INT(LINEA24[[#This Row],[Fecha_Informe]])-INT(LINEA24[[#This Row],[FechaRecepcion]])),"")</f>
        <v/>
      </c>
      <c r="O158" s="6"/>
      <c r="P158" s="6"/>
    </row>
    <row r="159" spans="1:16">
      <c r="A159" s="25"/>
      <c r="B159" s="26" t="s">
        <v>493</v>
      </c>
      <c r="C159" t="s">
        <v>494</v>
      </c>
      <c r="E159" s="6">
        <v>46004.942685185197</v>
      </c>
      <c r="G159" s="5" t="s">
        <v>400</v>
      </c>
      <c r="H159" t="s">
        <v>309</v>
      </c>
      <c r="I15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307</v>
      </c>
      <c r="M159" s="7" t="str">
        <f>IFERROR(IF(OR(LINEA24[[#This Row],[Fecha_Informe]]="",LINEA24[[#This Row],[FechaRecepcion]]=""),"",INT(LINEA24[[#This Row],[Fecha_Informe]])-INT(LINEA24[[#This Row],[FechaRecepcion]])),"")</f>
        <v/>
      </c>
      <c r="O159" s="6"/>
      <c r="P159" s="6"/>
    </row>
    <row r="160" spans="1:16">
      <c r="A160" s="25"/>
      <c r="B160" s="26" t="s">
        <v>495</v>
      </c>
      <c r="C160" t="s">
        <v>496</v>
      </c>
      <c r="D160" t="s">
        <v>497</v>
      </c>
      <c r="E160" s="6">
        <v>46006.407696759299</v>
      </c>
      <c r="G160" s="5" t="s">
        <v>397</v>
      </c>
      <c r="H160" t="s">
        <v>309</v>
      </c>
      <c r="I16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305</v>
      </c>
      <c r="M160" s="7" t="str">
        <f>IFERROR(IF(OR(LINEA24[[#This Row],[Fecha_Informe]]="",LINEA24[[#This Row],[FechaRecepcion]]=""),"",INT(LINEA24[[#This Row],[Fecha_Informe]])-INT(LINEA24[[#This Row],[FechaRecepcion]])),"")</f>
        <v/>
      </c>
      <c r="O160" s="6"/>
      <c r="P160" s="6"/>
    </row>
    <row r="161" spans="1:16">
      <c r="A161" s="25"/>
      <c r="B161" s="26" t="s">
        <v>498</v>
      </c>
      <c r="C161" t="s">
        <v>499</v>
      </c>
      <c r="D161" t="s">
        <v>500</v>
      </c>
      <c r="E161" s="6">
        <v>46006.424814814804</v>
      </c>
      <c r="G161" s="5" t="s">
        <v>397</v>
      </c>
      <c r="H161" t="s">
        <v>309</v>
      </c>
      <c r="I16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305</v>
      </c>
      <c r="M161" s="7" t="str">
        <f>IFERROR(IF(OR(LINEA24[[#This Row],[Fecha_Informe]]="",LINEA24[[#This Row],[FechaRecepcion]]=""),"",INT(LINEA24[[#This Row],[Fecha_Informe]])-INT(LINEA24[[#This Row],[FechaRecepcion]])),"")</f>
        <v/>
      </c>
      <c r="O161" s="6"/>
      <c r="P161" s="6"/>
    </row>
    <row r="162" spans="1:16">
      <c r="A162" s="25"/>
      <c r="B162" s="27" t="s">
        <v>501</v>
      </c>
      <c r="C162" t="s">
        <v>502</v>
      </c>
      <c r="D162" t="s">
        <v>503</v>
      </c>
      <c r="E162" s="6">
        <v>46006.532303240703</v>
      </c>
      <c r="G162" s="5" t="s">
        <v>397</v>
      </c>
      <c r="H162" t="s">
        <v>309</v>
      </c>
      <c r="I16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305</v>
      </c>
      <c r="M162" s="7" t="str">
        <f>IFERROR(IF(OR(LINEA24[[#This Row],[Fecha_Informe]]="",LINEA24[[#This Row],[FechaRecepcion]]=""),"",INT(LINEA24[[#This Row],[Fecha_Informe]])-INT(LINEA24[[#This Row],[FechaRecepcion]])),"")</f>
        <v/>
      </c>
      <c r="O162" s="6"/>
      <c r="P162" s="6"/>
    </row>
    <row r="163" spans="1:16">
      <c r="A163" s="25"/>
      <c r="B163" s="26" t="s">
        <v>504</v>
      </c>
      <c r="C163" t="s">
        <v>505</v>
      </c>
      <c r="E163" s="6">
        <v>46006.866585648102</v>
      </c>
      <c r="G163" s="5" t="s">
        <v>400</v>
      </c>
      <c r="H163" t="s">
        <v>309</v>
      </c>
      <c r="I16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305</v>
      </c>
      <c r="M163" s="7" t="str">
        <f>IFERROR(IF(OR(LINEA24[[#This Row],[Fecha_Informe]]="",LINEA24[[#This Row],[FechaRecepcion]]=""),"",INT(LINEA24[[#This Row],[Fecha_Informe]])-INT(LINEA24[[#This Row],[FechaRecepcion]])),"")</f>
        <v/>
      </c>
      <c r="O163" s="6"/>
      <c r="P163" s="6"/>
    </row>
    <row r="164" spans="1:16">
      <c r="A164" s="25"/>
      <c r="B164" s="26" t="s">
        <v>506</v>
      </c>
      <c r="C164" t="s">
        <v>507</v>
      </c>
      <c r="D164" t="s">
        <v>508</v>
      </c>
      <c r="E164" s="6">
        <v>46007.4047222222</v>
      </c>
      <c r="G164" s="5" t="s">
        <v>397</v>
      </c>
      <c r="H164" t="s">
        <v>309</v>
      </c>
      <c r="I16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304</v>
      </c>
      <c r="M164" s="7" t="str">
        <f>IFERROR(IF(OR(LINEA24[[#This Row],[Fecha_Informe]]="",LINEA24[[#This Row],[FechaRecepcion]]=""),"",INT(LINEA24[[#This Row],[Fecha_Informe]])-INT(LINEA24[[#This Row],[FechaRecepcion]])),"")</f>
        <v/>
      </c>
      <c r="O164" s="6"/>
      <c r="P164" s="6"/>
    </row>
    <row r="165" spans="1:16">
      <c r="A165" s="25"/>
      <c r="B165" s="26" t="s">
        <v>509</v>
      </c>
      <c r="C165" t="s">
        <v>510</v>
      </c>
      <c r="D165" t="s">
        <v>511</v>
      </c>
      <c r="E165" s="6">
        <v>46007.501747685201</v>
      </c>
      <c r="G165" s="5" t="s">
        <v>397</v>
      </c>
      <c r="H165" t="s">
        <v>309</v>
      </c>
      <c r="I16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304</v>
      </c>
      <c r="M165" s="7" t="str">
        <f>IFERROR(IF(OR(LINEA24[[#This Row],[Fecha_Informe]]="",LINEA24[[#This Row],[FechaRecepcion]]=""),"",INT(LINEA24[[#This Row],[Fecha_Informe]])-INT(LINEA24[[#This Row],[FechaRecepcion]])),"")</f>
        <v/>
      </c>
      <c r="O165" s="6"/>
      <c r="P165" s="6"/>
    </row>
    <row r="166" spans="1:16">
      <c r="A166" s="25"/>
      <c r="B166" s="27" t="s">
        <v>512</v>
      </c>
      <c r="C166" t="s">
        <v>513</v>
      </c>
      <c r="D166" t="s">
        <v>514</v>
      </c>
      <c r="E166" s="6">
        <v>46007.745833333298</v>
      </c>
      <c r="G166" s="5" t="s">
        <v>397</v>
      </c>
      <c r="H166" t="s">
        <v>309</v>
      </c>
      <c r="I16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304</v>
      </c>
      <c r="M166" s="7" t="str">
        <f>IFERROR(IF(OR(LINEA24[[#This Row],[Fecha_Informe]]="",LINEA24[[#This Row],[FechaRecepcion]]=""),"",INT(LINEA24[[#This Row],[Fecha_Informe]])-INT(LINEA24[[#This Row],[FechaRecepcion]])),"")</f>
        <v/>
      </c>
      <c r="O166" s="6"/>
      <c r="P166" s="6"/>
    </row>
    <row r="167" spans="1:16">
      <c r="A167" s="25"/>
      <c r="B167" s="26" t="s">
        <v>515</v>
      </c>
      <c r="C167" t="s">
        <v>516</v>
      </c>
      <c r="D167" t="s">
        <v>517</v>
      </c>
      <c r="E167" s="6">
        <v>46008.564780092602</v>
      </c>
      <c r="G167" s="5" t="s">
        <v>397</v>
      </c>
      <c r="H167" t="s">
        <v>309</v>
      </c>
      <c r="I16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303</v>
      </c>
      <c r="M167" s="7" t="str">
        <f>IFERROR(IF(OR(LINEA24[[#This Row],[Fecha_Informe]]="",LINEA24[[#This Row],[FechaRecepcion]]=""),"",INT(LINEA24[[#This Row],[Fecha_Informe]])-INT(LINEA24[[#This Row],[FechaRecepcion]])),"")</f>
        <v/>
      </c>
      <c r="O167" s="6"/>
      <c r="P167" s="6"/>
    </row>
    <row r="168" spans="1:16">
      <c r="A168" s="25"/>
      <c r="B168" s="27" t="s">
        <v>518</v>
      </c>
      <c r="C168" t="s">
        <v>491</v>
      </c>
      <c r="D168" t="s">
        <v>492</v>
      </c>
      <c r="E168" s="6">
        <v>46008.645624999997</v>
      </c>
      <c r="G168" s="5" t="s">
        <v>397</v>
      </c>
      <c r="H168" t="s">
        <v>309</v>
      </c>
      <c r="I16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303</v>
      </c>
      <c r="M168" s="7" t="str">
        <f>IFERROR(IF(OR(LINEA24[[#This Row],[Fecha_Informe]]="",LINEA24[[#This Row],[FechaRecepcion]]=""),"",INT(LINEA24[[#This Row],[Fecha_Informe]])-INT(LINEA24[[#This Row],[FechaRecepcion]])),"")</f>
        <v/>
      </c>
      <c r="O168" s="6"/>
      <c r="P168" s="6"/>
    </row>
    <row r="169" spans="1:16">
      <c r="A169" s="25"/>
      <c r="B169" s="26" t="s">
        <v>519</v>
      </c>
      <c r="C169" t="s">
        <v>520</v>
      </c>
      <c r="D169" t="s">
        <v>521</v>
      </c>
      <c r="E169" s="6">
        <v>46009.3731134259</v>
      </c>
      <c r="G169" s="5" t="s">
        <v>397</v>
      </c>
      <c r="H169" t="s">
        <v>309</v>
      </c>
      <c r="I16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302</v>
      </c>
      <c r="M169" s="7" t="str">
        <f>IFERROR(IF(OR(LINEA24[[#This Row],[Fecha_Informe]]="",LINEA24[[#This Row],[FechaRecepcion]]=""),"",INT(LINEA24[[#This Row],[Fecha_Informe]])-INT(LINEA24[[#This Row],[FechaRecepcion]])),"")</f>
        <v/>
      </c>
      <c r="O169" s="6"/>
      <c r="P169" s="6"/>
    </row>
    <row r="170" spans="1:16">
      <c r="A170" s="25"/>
      <c r="B170" s="27" t="s">
        <v>522</v>
      </c>
      <c r="C170" t="s">
        <v>523</v>
      </c>
      <c r="D170" t="s">
        <v>524</v>
      </c>
      <c r="E170" s="6">
        <v>46009.643935185202</v>
      </c>
      <c r="G170" s="5" t="s">
        <v>397</v>
      </c>
      <c r="H170" t="s">
        <v>309</v>
      </c>
      <c r="I17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302</v>
      </c>
      <c r="M170" s="7" t="str">
        <f>IFERROR(IF(OR(LINEA24[[#This Row],[Fecha_Informe]]="",LINEA24[[#This Row],[FechaRecepcion]]=""),"",INT(LINEA24[[#This Row],[Fecha_Informe]])-INT(LINEA24[[#This Row],[FechaRecepcion]])),"")</f>
        <v/>
      </c>
      <c r="O170" s="6"/>
      <c r="P170" s="6"/>
    </row>
    <row r="171" spans="1:16">
      <c r="A171" s="25"/>
      <c r="B171" s="26" t="s">
        <v>525</v>
      </c>
      <c r="C171" t="s">
        <v>526</v>
      </c>
      <c r="D171" t="s">
        <v>527</v>
      </c>
      <c r="E171" s="6">
        <v>46009.671620370398</v>
      </c>
      <c r="G171" s="5" t="s">
        <v>397</v>
      </c>
      <c r="H171" t="s">
        <v>309</v>
      </c>
      <c r="I17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302</v>
      </c>
      <c r="M171" s="7" t="str">
        <f>IFERROR(IF(OR(LINEA24[[#This Row],[Fecha_Informe]]="",LINEA24[[#This Row],[FechaRecepcion]]=""),"",INT(LINEA24[[#This Row],[Fecha_Informe]])-INT(LINEA24[[#This Row],[FechaRecepcion]])),"")</f>
        <v/>
      </c>
      <c r="O171" s="6"/>
      <c r="P171" s="6"/>
    </row>
    <row r="172" spans="1:16">
      <c r="A172" s="25"/>
      <c r="B172" s="27" t="s">
        <v>528</v>
      </c>
      <c r="C172" t="s">
        <v>529</v>
      </c>
      <c r="D172" t="s">
        <v>530</v>
      </c>
      <c r="E172" s="6">
        <v>46010.358958333301</v>
      </c>
      <c r="G172" s="5" t="s">
        <v>397</v>
      </c>
      <c r="H172" t="s">
        <v>309</v>
      </c>
      <c r="I17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301</v>
      </c>
      <c r="M172" s="7" t="str">
        <f>IFERROR(IF(OR(LINEA24[[#This Row],[Fecha_Informe]]="",LINEA24[[#This Row],[FechaRecepcion]]=""),"",INT(LINEA24[[#This Row],[Fecha_Informe]])-INT(LINEA24[[#This Row],[FechaRecepcion]])),"")</f>
        <v/>
      </c>
      <c r="O172" s="6"/>
      <c r="P172" s="6"/>
    </row>
    <row r="173" spans="1:16">
      <c r="A173" s="25"/>
      <c r="B173" s="26" t="s">
        <v>531</v>
      </c>
      <c r="C173" t="s">
        <v>532</v>
      </c>
      <c r="D173" t="s">
        <v>533</v>
      </c>
      <c r="E173" s="6">
        <v>46010.377164351798</v>
      </c>
      <c r="G173" s="5" t="s">
        <v>397</v>
      </c>
      <c r="H173" t="s">
        <v>309</v>
      </c>
      <c r="I17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301</v>
      </c>
      <c r="M173" s="7" t="str">
        <f>IFERROR(IF(OR(LINEA24[[#This Row],[Fecha_Informe]]="",LINEA24[[#This Row],[FechaRecepcion]]=""),"",INT(LINEA24[[#This Row],[Fecha_Informe]])-INT(LINEA24[[#This Row],[FechaRecepcion]])),"")</f>
        <v/>
      </c>
      <c r="O173" s="6"/>
      <c r="P173" s="6"/>
    </row>
    <row r="174" spans="1:16">
      <c r="A174" s="25"/>
      <c r="B174" s="27" t="s">
        <v>534</v>
      </c>
      <c r="C174" t="s">
        <v>535</v>
      </c>
      <c r="D174" t="s">
        <v>536</v>
      </c>
      <c r="E174" s="6">
        <v>46010.392847222203</v>
      </c>
      <c r="G174" s="5" t="s">
        <v>397</v>
      </c>
      <c r="H174" t="s">
        <v>309</v>
      </c>
      <c r="I17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301</v>
      </c>
      <c r="M174" s="7" t="str">
        <f>IFERROR(IF(OR(LINEA24[[#This Row],[Fecha_Informe]]="",LINEA24[[#This Row],[FechaRecepcion]]=""),"",INT(LINEA24[[#This Row],[Fecha_Informe]])-INT(LINEA24[[#This Row],[FechaRecepcion]])),"")</f>
        <v/>
      </c>
      <c r="O174" s="6"/>
      <c r="P174" s="6"/>
    </row>
    <row r="175" spans="1:16">
      <c r="A175" s="25"/>
      <c r="B175" s="26" t="s">
        <v>537</v>
      </c>
      <c r="C175" t="s">
        <v>538</v>
      </c>
      <c r="D175" t="s">
        <v>539</v>
      </c>
      <c r="E175" s="6">
        <v>46010.3975347222</v>
      </c>
      <c r="G175" s="5" t="s">
        <v>397</v>
      </c>
      <c r="H175" t="s">
        <v>309</v>
      </c>
      <c r="I17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301</v>
      </c>
      <c r="M175" s="7" t="str">
        <f>IFERROR(IF(OR(LINEA24[[#This Row],[Fecha_Informe]]="",LINEA24[[#This Row],[FechaRecepcion]]=""),"",INT(LINEA24[[#This Row],[Fecha_Informe]])-INT(LINEA24[[#This Row],[FechaRecepcion]])),"")</f>
        <v/>
      </c>
      <c r="O175" s="6"/>
      <c r="P175" s="6"/>
    </row>
    <row r="176" spans="1:16">
      <c r="A176" s="25"/>
      <c r="B176" s="26" t="s">
        <v>540</v>
      </c>
      <c r="C176" t="s">
        <v>541</v>
      </c>
      <c r="D176" t="s">
        <v>542</v>
      </c>
      <c r="E176" s="6">
        <v>46013.345590277801</v>
      </c>
      <c r="G176" s="5" t="s">
        <v>397</v>
      </c>
      <c r="H176" t="s">
        <v>309</v>
      </c>
      <c r="I17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298</v>
      </c>
      <c r="M176" s="7" t="str">
        <f>IFERROR(IF(OR(LINEA24[[#This Row],[Fecha_Informe]]="",LINEA24[[#This Row],[FechaRecepcion]]=""),"",INT(LINEA24[[#This Row],[Fecha_Informe]])-INT(LINEA24[[#This Row],[FechaRecepcion]])),"")</f>
        <v/>
      </c>
      <c r="O176" s="6"/>
      <c r="P176" s="6"/>
    </row>
    <row r="177" spans="1:16">
      <c r="A177" s="25"/>
      <c r="B177" s="26" t="s">
        <v>543</v>
      </c>
      <c r="C177" t="s">
        <v>544</v>
      </c>
      <c r="D177" t="s">
        <v>545</v>
      </c>
      <c r="E177" s="6">
        <v>46013.3512037037</v>
      </c>
      <c r="G177" s="5" t="s">
        <v>397</v>
      </c>
      <c r="H177" t="s">
        <v>309</v>
      </c>
      <c r="I17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298</v>
      </c>
      <c r="M177" s="7" t="str">
        <f>IFERROR(IF(OR(LINEA24[[#This Row],[Fecha_Informe]]="",LINEA24[[#This Row],[FechaRecepcion]]=""),"",INT(LINEA24[[#This Row],[Fecha_Informe]])-INT(LINEA24[[#This Row],[FechaRecepcion]])),"")</f>
        <v/>
      </c>
      <c r="O177" s="6"/>
      <c r="P177" s="6"/>
    </row>
    <row r="178" spans="1:16">
      <c r="A178" s="25"/>
      <c r="B178" s="27" t="s">
        <v>546</v>
      </c>
      <c r="C178" t="s">
        <v>547</v>
      </c>
      <c r="D178" t="s">
        <v>548</v>
      </c>
      <c r="E178" s="6">
        <v>46013.3660648148</v>
      </c>
      <c r="G178" s="5" t="s">
        <v>397</v>
      </c>
      <c r="H178" t="s">
        <v>309</v>
      </c>
      <c r="I17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298</v>
      </c>
      <c r="M178" s="7" t="str">
        <f>IFERROR(IF(OR(LINEA24[[#This Row],[Fecha_Informe]]="",LINEA24[[#This Row],[FechaRecepcion]]=""),"",INT(LINEA24[[#This Row],[Fecha_Informe]])-INT(LINEA24[[#This Row],[FechaRecepcion]])),"")</f>
        <v/>
      </c>
      <c r="O178" s="6"/>
      <c r="P178" s="6"/>
    </row>
    <row r="179" spans="1:16">
      <c r="A179" s="25"/>
      <c r="B179" s="26" t="s">
        <v>549</v>
      </c>
      <c r="C179" t="s">
        <v>550</v>
      </c>
      <c r="D179" t="s">
        <v>551</v>
      </c>
      <c r="E179" s="6">
        <v>46013.410462963002</v>
      </c>
      <c r="G179" s="5" t="s">
        <v>397</v>
      </c>
      <c r="H179" t="s">
        <v>309</v>
      </c>
      <c r="I17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298</v>
      </c>
      <c r="M179" s="7" t="str">
        <f>IFERROR(IF(OR(LINEA24[[#This Row],[Fecha_Informe]]="",LINEA24[[#This Row],[FechaRecepcion]]=""),"",INT(LINEA24[[#This Row],[Fecha_Informe]])-INT(LINEA24[[#This Row],[FechaRecepcion]])),"")</f>
        <v/>
      </c>
      <c r="O179" s="6"/>
      <c r="P179" s="6"/>
    </row>
    <row r="180" spans="1:16">
      <c r="A180" s="25"/>
      <c r="B180" s="27" t="s">
        <v>552</v>
      </c>
      <c r="C180" t="s">
        <v>553</v>
      </c>
      <c r="D180" t="s">
        <v>554</v>
      </c>
      <c r="E180" s="6">
        <v>46013.426979166703</v>
      </c>
      <c r="G180" s="5" t="s">
        <v>397</v>
      </c>
      <c r="H180" t="s">
        <v>309</v>
      </c>
      <c r="I18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298</v>
      </c>
      <c r="M180" s="7" t="str">
        <f>IFERROR(IF(OR(LINEA24[[#This Row],[Fecha_Informe]]="",LINEA24[[#This Row],[FechaRecepcion]]=""),"",INT(LINEA24[[#This Row],[Fecha_Informe]])-INT(LINEA24[[#This Row],[FechaRecepcion]])),"")</f>
        <v/>
      </c>
      <c r="O180" s="6"/>
      <c r="P180" s="6"/>
    </row>
    <row r="181" spans="1:16">
      <c r="A181" s="25"/>
      <c r="B181" s="26" t="s">
        <v>555</v>
      </c>
      <c r="C181" t="s">
        <v>556</v>
      </c>
      <c r="D181" t="s">
        <v>557</v>
      </c>
      <c r="E181" s="6">
        <v>46014.404224537</v>
      </c>
      <c r="G181" s="5" t="s">
        <v>397</v>
      </c>
      <c r="H181" t="s">
        <v>309</v>
      </c>
      <c r="I18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297</v>
      </c>
      <c r="M181" s="7" t="str">
        <f>IFERROR(IF(OR(LINEA24[[#This Row],[Fecha_Informe]]="",LINEA24[[#This Row],[FechaRecepcion]]=""),"",INT(LINEA24[[#This Row],[Fecha_Informe]])-INT(LINEA24[[#This Row],[FechaRecepcion]])),"")</f>
        <v/>
      </c>
      <c r="O181" s="6"/>
      <c r="P181" s="6"/>
    </row>
    <row r="182" spans="1:16">
      <c r="A182" s="25"/>
      <c r="B182" s="26" t="s">
        <v>558</v>
      </c>
      <c r="C182" t="s">
        <v>559</v>
      </c>
      <c r="D182" t="s">
        <v>560</v>
      </c>
      <c r="E182" s="6">
        <v>46014.479108796302</v>
      </c>
      <c r="G182" s="5" t="s">
        <v>397</v>
      </c>
      <c r="H182" t="s">
        <v>309</v>
      </c>
      <c r="I18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297</v>
      </c>
      <c r="M182" s="7" t="str">
        <f>IFERROR(IF(OR(LINEA24[[#This Row],[Fecha_Informe]]="",LINEA24[[#This Row],[FechaRecepcion]]=""),"",INT(LINEA24[[#This Row],[Fecha_Informe]])-INT(LINEA24[[#This Row],[FechaRecepcion]])),"")</f>
        <v/>
      </c>
      <c r="O182" s="6"/>
      <c r="P182" s="6"/>
    </row>
    <row r="183" spans="1:16">
      <c r="A183" s="25"/>
      <c r="B183" s="26" t="s">
        <v>561</v>
      </c>
      <c r="C183" t="s">
        <v>562</v>
      </c>
      <c r="E183" s="6">
        <v>46010.814803240697</v>
      </c>
      <c r="G183" s="5" t="s">
        <v>400</v>
      </c>
      <c r="H183" t="s">
        <v>309</v>
      </c>
      <c r="I18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301</v>
      </c>
      <c r="M183" s="7" t="str">
        <f>IFERROR(IF(OR(LINEA24[[#This Row],[Fecha_Informe]]="",LINEA24[[#This Row],[FechaRecepcion]]=""),"",INT(LINEA24[[#This Row],[Fecha_Informe]])-INT(LINEA24[[#This Row],[FechaRecepcion]])),"")</f>
        <v/>
      </c>
      <c r="O183" s="6"/>
      <c r="P183" s="6"/>
    </row>
    <row r="184" spans="1:16">
      <c r="A184" s="25"/>
      <c r="B184" s="26" t="s">
        <v>563</v>
      </c>
      <c r="C184" t="s">
        <v>564</v>
      </c>
      <c r="E184" s="6">
        <v>46015.033009259299</v>
      </c>
      <c r="G184" s="5" t="s">
        <v>400</v>
      </c>
      <c r="H184" t="s">
        <v>309</v>
      </c>
      <c r="I18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296</v>
      </c>
      <c r="M184" s="7" t="str">
        <f>IFERROR(IF(OR(LINEA24[[#This Row],[Fecha_Informe]]="",LINEA24[[#This Row],[FechaRecepcion]]=""),"",INT(LINEA24[[#This Row],[Fecha_Informe]])-INT(LINEA24[[#This Row],[FechaRecepcion]])),"")</f>
        <v/>
      </c>
      <c r="O184" s="6"/>
      <c r="P184" s="6"/>
    </row>
    <row r="185" spans="1:16">
      <c r="A185" s="25"/>
      <c r="B185" s="26" t="s">
        <v>565</v>
      </c>
      <c r="C185" t="s">
        <v>566</v>
      </c>
      <c r="D185" t="s">
        <v>567</v>
      </c>
      <c r="E185" s="6">
        <v>46015.491585648102</v>
      </c>
      <c r="G185" s="5" t="s">
        <v>397</v>
      </c>
      <c r="H185" t="s">
        <v>309</v>
      </c>
      <c r="I18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296</v>
      </c>
      <c r="M185" s="7" t="str">
        <f>IFERROR(IF(OR(LINEA24[[#This Row],[Fecha_Informe]]="",LINEA24[[#This Row],[FechaRecepcion]]=""),"",INT(LINEA24[[#This Row],[Fecha_Informe]])-INT(LINEA24[[#This Row],[FechaRecepcion]])),"")</f>
        <v/>
      </c>
      <c r="O185" s="6"/>
      <c r="P185" s="6"/>
    </row>
    <row r="186" spans="1:16">
      <c r="A186" s="25"/>
      <c r="B186" s="26" t="s">
        <v>568</v>
      </c>
      <c r="C186" t="s">
        <v>569</v>
      </c>
      <c r="D186" t="s">
        <v>570</v>
      </c>
      <c r="E186" s="6">
        <v>46017.466215277796</v>
      </c>
      <c r="G186" s="5" t="s">
        <v>397</v>
      </c>
      <c r="H186" t="s">
        <v>309</v>
      </c>
      <c r="I18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294</v>
      </c>
      <c r="M186" s="7" t="str">
        <f>IFERROR(IF(OR(LINEA24[[#This Row],[Fecha_Informe]]="",LINEA24[[#This Row],[FechaRecepcion]]=""),"",INT(LINEA24[[#This Row],[Fecha_Informe]])-INT(LINEA24[[#This Row],[FechaRecepcion]])),"")</f>
        <v/>
      </c>
      <c r="O186" s="6"/>
      <c r="P186" s="6"/>
    </row>
    <row r="187" spans="1:16">
      <c r="A187" s="25"/>
      <c r="B187" s="26" t="s">
        <v>571</v>
      </c>
      <c r="C187" t="s">
        <v>572</v>
      </c>
      <c r="D187" t="s">
        <v>573</v>
      </c>
      <c r="E187" s="6">
        <v>46020.495104166701</v>
      </c>
      <c r="G187" s="5" t="s">
        <v>397</v>
      </c>
      <c r="H187" t="s">
        <v>309</v>
      </c>
      <c r="I18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291</v>
      </c>
      <c r="M187" s="7" t="str">
        <f>IFERROR(IF(OR(LINEA24[[#This Row],[Fecha_Informe]]="",LINEA24[[#This Row],[FechaRecepcion]]=""),"",INT(LINEA24[[#This Row],[Fecha_Informe]])-INT(LINEA24[[#This Row],[FechaRecepcion]])),"")</f>
        <v/>
      </c>
      <c r="O187" s="6"/>
      <c r="P187" s="6"/>
    </row>
    <row r="188" spans="1:16">
      <c r="A188" s="25"/>
      <c r="B188" s="26" t="s">
        <v>574</v>
      </c>
      <c r="C188" t="s">
        <v>575</v>
      </c>
      <c r="D188" t="s">
        <v>576</v>
      </c>
      <c r="E188" s="6">
        <v>46021.403414351902</v>
      </c>
      <c r="G188" s="5" t="s">
        <v>397</v>
      </c>
      <c r="H188" t="s">
        <v>309</v>
      </c>
      <c r="I18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290</v>
      </c>
      <c r="M188" s="7" t="str">
        <f>IFERROR(IF(OR(LINEA24[[#This Row],[Fecha_Informe]]="",LINEA24[[#This Row],[FechaRecepcion]]=""),"",INT(LINEA24[[#This Row],[Fecha_Informe]])-INT(LINEA24[[#This Row],[FechaRecepcion]])),"")</f>
        <v/>
      </c>
      <c r="O188" s="6"/>
      <c r="P188" s="6"/>
    </row>
    <row r="189" spans="1:16">
      <c r="A189" s="25"/>
      <c r="B189" s="26" t="s">
        <v>577</v>
      </c>
      <c r="C189" t="s">
        <v>578</v>
      </c>
      <c r="D189" t="s">
        <v>579</v>
      </c>
      <c r="E189" s="6">
        <v>46022.463969907403</v>
      </c>
      <c r="G189" s="5" t="s">
        <v>397</v>
      </c>
      <c r="H189" t="s">
        <v>309</v>
      </c>
      <c r="I18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289</v>
      </c>
      <c r="M189" s="7" t="str">
        <f>IFERROR(IF(OR(LINEA24[[#This Row],[Fecha_Informe]]="",LINEA24[[#This Row],[FechaRecepcion]]=""),"",INT(LINEA24[[#This Row],[Fecha_Informe]])-INT(LINEA24[[#This Row],[FechaRecepcion]])),"")</f>
        <v/>
      </c>
      <c r="O189" s="6"/>
      <c r="P189" s="6"/>
    </row>
    <row r="190" spans="1:16">
      <c r="A190" s="25"/>
      <c r="B190" s="26" t="s">
        <v>580</v>
      </c>
      <c r="C190" t="s">
        <v>581</v>
      </c>
      <c r="D190" t="s">
        <v>582</v>
      </c>
      <c r="E190" s="6">
        <v>46022.512986111098</v>
      </c>
      <c r="G190" s="5" t="s">
        <v>397</v>
      </c>
      <c r="H190" t="s">
        <v>309</v>
      </c>
      <c r="I19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289</v>
      </c>
      <c r="M190" s="7" t="str">
        <f>IFERROR(IF(OR(LINEA24[[#This Row],[Fecha_Informe]]="",LINEA24[[#This Row],[FechaRecepcion]]=""),"",INT(LINEA24[[#This Row],[Fecha_Informe]])-INT(LINEA24[[#This Row],[FechaRecepcion]])),"")</f>
        <v/>
      </c>
      <c r="O190" s="6"/>
      <c r="P190" s="6"/>
    </row>
    <row r="191" spans="1:16">
      <c r="A191" s="25"/>
      <c r="B191" s="26" t="s">
        <v>583</v>
      </c>
      <c r="C191" t="s">
        <v>584</v>
      </c>
      <c r="D191" t="s">
        <v>585</v>
      </c>
      <c r="E191" s="6">
        <v>46024.499016203699</v>
      </c>
      <c r="G191" s="5" t="s">
        <v>397</v>
      </c>
      <c r="H191" t="s">
        <v>309</v>
      </c>
      <c r="I19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287</v>
      </c>
      <c r="M191" s="7" t="str">
        <f>IFERROR(IF(OR(LINEA24[[#This Row],[Fecha_Informe]]="",LINEA24[[#This Row],[FechaRecepcion]]=""),"",INT(LINEA24[[#This Row],[Fecha_Informe]])-INT(LINEA24[[#This Row],[FechaRecepcion]])),"")</f>
        <v/>
      </c>
      <c r="O191" s="6"/>
      <c r="P191" s="6"/>
    </row>
    <row r="192" spans="1:16">
      <c r="A192" s="25"/>
      <c r="B192" s="27" t="s">
        <v>586</v>
      </c>
      <c r="C192" t="s">
        <v>587</v>
      </c>
      <c r="D192" t="s">
        <v>588</v>
      </c>
      <c r="E192" s="6">
        <v>46024.502141203702</v>
      </c>
      <c r="G192" s="5" t="s">
        <v>397</v>
      </c>
      <c r="H192" t="s">
        <v>309</v>
      </c>
      <c r="I19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287</v>
      </c>
      <c r="M192" s="7" t="str">
        <f>IFERROR(IF(OR(LINEA24[[#This Row],[Fecha_Informe]]="",LINEA24[[#This Row],[FechaRecepcion]]=""),"",INT(LINEA24[[#This Row],[Fecha_Informe]])-INT(LINEA24[[#This Row],[FechaRecepcion]])),"")</f>
        <v/>
      </c>
      <c r="O192" s="6"/>
      <c r="P192" s="6"/>
    </row>
    <row r="193" spans="1:16">
      <c r="A193" s="25"/>
      <c r="B193" s="26" t="s">
        <v>589</v>
      </c>
      <c r="C193" t="s">
        <v>590</v>
      </c>
      <c r="D193" t="s">
        <v>591</v>
      </c>
      <c r="E193" s="6">
        <v>46027.370300925897</v>
      </c>
      <c r="G193" s="5" t="s">
        <v>397</v>
      </c>
      <c r="H193" t="s">
        <v>309</v>
      </c>
      <c r="I19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284</v>
      </c>
      <c r="M193" s="7" t="str">
        <f>IFERROR(IF(OR(LINEA24[[#This Row],[Fecha_Informe]]="",LINEA24[[#This Row],[FechaRecepcion]]=""),"",INT(LINEA24[[#This Row],[Fecha_Informe]])-INT(LINEA24[[#This Row],[FechaRecepcion]])),"")</f>
        <v/>
      </c>
      <c r="O193" s="6"/>
      <c r="P193" s="6"/>
    </row>
    <row r="194" spans="1:16">
      <c r="A194" s="25"/>
      <c r="B194" s="26" t="s">
        <v>592</v>
      </c>
      <c r="C194" t="s">
        <v>593</v>
      </c>
      <c r="D194" t="s">
        <v>594</v>
      </c>
      <c r="E194" s="6">
        <v>46027.396296296298</v>
      </c>
      <c r="G194" s="5" t="s">
        <v>397</v>
      </c>
      <c r="H194" t="s">
        <v>309</v>
      </c>
      <c r="I19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284</v>
      </c>
      <c r="M194" s="7" t="str">
        <f>IFERROR(IF(OR(LINEA24[[#This Row],[Fecha_Informe]]="",LINEA24[[#This Row],[FechaRecepcion]]=""),"",INT(LINEA24[[#This Row],[Fecha_Informe]])-INT(LINEA24[[#This Row],[FechaRecepcion]])),"")</f>
        <v/>
      </c>
      <c r="O194" s="6"/>
      <c r="P194" s="6"/>
    </row>
    <row r="195" spans="1:16">
      <c r="A195" s="25"/>
      <c r="B195" s="26" t="s">
        <v>595</v>
      </c>
      <c r="C195" t="s">
        <v>596</v>
      </c>
      <c r="D195" t="s">
        <v>597</v>
      </c>
      <c r="E195" s="6">
        <v>46027.402037036998</v>
      </c>
      <c r="G195" s="5" t="s">
        <v>397</v>
      </c>
      <c r="H195" t="s">
        <v>309</v>
      </c>
      <c r="I19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284</v>
      </c>
      <c r="M195" s="7" t="str">
        <f>IFERROR(IF(OR(LINEA24[[#This Row],[Fecha_Informe]]="",LINEA24[[#This Row],[FechaRecepcion]]=""),"",INT(LINEA24[[#This Row],[Fecha_Informe]])-INT(LINEA24[[#This Row],[FechaRecepcion]])),"")</f>
        <v/>
      </c>
      <c r="O195" s="6"/>
      <c r="P195" s="6"/>
    </row>
    <row r="196" spans="1:16">
      <c r="A196" s="25"/>
      <c r="B196" s="26" t="s">
        <v>598</v>
      </c>
      <c r="C196" t="s">
        <v>599</v>
      </c>
      <c r="D196" t="s">
        <v>600</v>
      </c>
      <c r="E196" s="6">
        <v>46028.407488425903</v>
      </c>
      <c r="G196" s="5" t="s">
        <v>397</v>
      </c>
      <c r="H196" t="s">
        <v>309</v>
      </c>
      <c r="I19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283</v>
      </c>
      <c r="M196" s="7" t="str">
        <f>IFERROR(IF(OR(LINEA24[[#This Row],[Fecha_Informe]]="",LINEA24[[#This Row],[FechaRecepcion]]=""),"",INT(LINEA24[[#This Row],[Fecha_Informe]])-INT(LINEA24[[#This Row],[FechaRecepcion]])),"")</f>
        <v/>
      </c>
      <c r="O196" s="6"/>
      <c r="P196" s="6"/>
    </row>
    <row r="197" spans="1:16">
      <c r="A197" s="25"/>
      <c r="B197" s="27" t="s">
        <v>601</v>
      </c>
      <c r="C197" t="s">
        <v>602</v>
      </c>
      <c r="D197" t="s">
        <v>603</v>
      </c>
      <c r="E197" s="6">
        <v>46028.422719907401</v>
      </c>
      <c r="G197" s="5" t="s">
        <v>397</v>
      </c>
      <c r="H197" t="s">
        <v>309</v>
      </c>
      <c r="I19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283</v>
      </c>
      <c r="M197" s="7" t="str">
        <f>IFERROR(IF(OR(LINEA24[[#This Row],[Fecha_Informe]]="",LINEA24[[#This Row],[FechaRecepcion]]=""),"",INT(LINEA24[[#This Row],[Fecha_Informe]])-INT(LINEA24[[#This Row],[FechaRecepcion]])),"")</f>
        <v/>
      </c>
      <c r="O197" s="6"/>
      <c r="P197" s="6"/>
    </row>
    <row r="198" spans="1:16">
      <c r="A198" s="25"/>
      <c r="B198" s="26" t="s">
        <v>604</v>
      </c>
      <c r="C198" t="s">
        <v>605</v>
      </c>
      <c r="D198" t="s">
        <v>606</v>
      </c>
      <c r="E198" s="6">
        <v>46030.386874999997</v>
      </c>
      <c r="G198" s="5" t="s">
        <v>397</v>
      </c>
      <c r="H198" t="s">
        <v>309</v>
      </c>
      <c r="I19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281</v>
      </c>
      <c r="M198" s="7" t="str">
        <f>IFERROR(IF(OR(LINEA24[[#This Row],[Fecha_Informe]]="",LINEA24[[#This Row],[FechaRecepcion]]=""),"",INT(LINEA24[[#This Row],[Fecha_Informe]])-INT(LINEA24[[#This Row],[FechaRecepcion]])),"")</f>
        <v/>
      </c>
      <c r="O198" s="6"/>
      <c r="P198" s="6"/>
    </row>
    <row r="199" spans="1:16">
      <c r="A199" s="25"/>
      <c r="B199" s="26" t="s">
        <v>607</v>
      </c>
      <c r="C199" t="s">
        <v>608</v>
      </c>
      <c r="D199" t="s">
        <v>609</v>
      </c>
      <c r="E199" s="6">
        <v>46030.559675925899</v>
      </c>
      <c r="G199" s="5" t="s">
        <v>397</v>
      </c>
      <c r="H199" t="s">
        <v>309</v>
      </c>
      <c r="I19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281</v>
      </c>
      <c r="M199" s="7" t="str">
        <f>IFERROR(IF(OR(LINEA24[[#This Row],[Fecha_Informe]]="",LINEA24[[#This Row],[FechaRecepcion]]=""),"",INT(LINEA24[[#This Row],[Fecha_Informe]])-INT(LINEA24[[#This Row],[FechaRecepcion]])),"")</f>
        <v/>
      </c>
      <c r="O199" s="6"/>
      <c r="P199" s="6"/>
    </row>
    <row r="200" spans="1:16">
      <c r="A200" s="25"/>
      <c r="B200" s="26" t="s">
        <v>610</v>
      </c>
      <c r="C200" t="s">
        <v>611</v>
      </c>
      <c r="D200" t="s">
        <v>612</v>
      </c>
      <c r="E200" s="6">
        <v>46030.723321759302</v>
      </c>
      <c r="G200" s="5" t="s">
        <v>397</v>
      </c>
      <c r="H200" t="s">
        <v>309</v>
      </c>
      <c r="I20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281</v>
      </c>
      <c r="M200" s="7" t="str">
        <f>IFERROR(IF(OR(LINEA24[[#This Row],[Fecha_Informe]]="",LINEA24[[#This Row],[FechaRecepcion]]=""),"",INT(LINEA24[[#This Row],[Fecha_Informe]])-INT(LINEA24[[#This Row],[FechaRecepcion]])),"")</f>
        <v/>
      </c>
      <c r="O200" s="6"/>
      <c r="P200" s="6"/>
    </row>
    <row r="201" spans="1:16">
      <c r="A201" s="25"/>
      <c r="B201" s="27" t="s">
        <v>613</v>
      </c>
      <c r="C201" t="s">
        <v>614</v>
      </c>
      <c r="D201" t="s">
        <v>615</v>
      </c>
      <c r="E201" s="6">
        <v>46031.567523148202</v>
      </c>
      <c r="G201" s="5" t="s">
        <v>397</v>
      </c>
      <c r="H201" t="s">
        <v>309</v>
      </c>
      <c r="I20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280</v>
      </c>
      <c r="M201" s="7" t="str">
        <f>IFERROR(IF(OR(LINEA24[[#This Row],[Fecha_Informe]]="",LINEA24[[#This Row],[FechaRecepcion]]=""),"",INT(LINEA24[[#This Row],[Fecha_Informe]])-INT(LINEA24[[#This Row],[FechaRecepcion]])),"")</f>
        <v/>
      </c>
      <c r="O201" s="6"/>
      <c r="P201" s="6"/>
    </row>
    <row r="202" spans="1:16">
      <c r="A202" s="25"/>
      <c r="B202" s="26" t="s">
        <v>616</v>
      </c>
      <c r="C202" t="s">
        <v>617</v>
      </c>
      <c r="D202" t="s">
        <v>618</v>
      </c>
      <c r="E202" s="6">
        <v>46034.437870370399</v>
      </c>
      <c r="G202" s="5" t="s">
        <v>397</v>
      </c>
      <c r="H202" t="s">
        <v>309</v>
      </c>
      <c r="I20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277</v>
      </c>
      <c r="M202" s="7" t="str">
        <f>IFERROR(IF(OR(LINEA24[[#This Row],[Fecha_Informe]]="",LINEA24[[#This Row],[FechaRecepcion]]=""),"",INT(LINEA24[[#This Row],[Fecha_Informe]])-INT(LINEA24[[#This Row],[FechaRecepcion]])),"")</f>
        <v/>
      </c>
      <c r="O202" s="6"/>
      <c r="P202" s="6"/>
    </row>
    <row r="203" spans="1:16">
      <c r="A203" s="25"/>
      <c r="B203" s="26" t="s">
        <v>619</v>
      </c>
      <c r="C203" t="s">
        <v>620</v>
      </c>
      <c r="D203" t="s">
        <v>621</v>
      </c>
      <c r="E203" s="6">
        <v>46034.519097222197</v>
      </c>
      <c r="G203" s="5" t="s">
        <v>397</v>
      </c>
      <c r="H203" t="s">
        <v>309</v>
      </c>
      <c r="I20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277</v>
      </c>
      <c r="M203" s="7" t="str">
        <f>IFERROR(IF(OR(LINEA24[[#This Row],[Fecha_Informe]]="",LINEA24[[#This Row],[FechaRecepcion]]=""),"",INT(LINEA24[[#This Row],[Fecha_Informe]])-INT(LINEA24[[#This Row],[FechaRecepcion]])),"")</f>
        <v/>
      </c>
      <c r="O203" s="6"/>
      <c r="P203" s="6"/>
    </row>
    <row r="204" spans="1:16">
      <c r="A204" s="25"/>
      <c r="B204" s="26" t="s">
        <v>622</v>
      </c>
      <c r="C204" t="s">
        <v>623</v>
      </c>
      <c r="D204" t="s">
        <v>624</v>
      </c>
      <c r="E204" s="6">
        <v>46034.662187499998</v>
      </c>
      <c r="G204" s="5" t="s">
        <v>397</v>
      </c>
      <c r="H204" t="s">
        <v>309</v>
      </c>
      <c r="I20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277</v>
      </c>
      <c r="M204" s="7" t="str">
        <f>IFERROR(IF(OR(LINEA24[[#This Row],[Fecha_Informe]]="",LINEA24[[#This Row],[FechaRecepcion]]=""),"",INT(LINEA24[[#This Row],[Fecha_Informe]])-INT(LINEA24[[#This Row],[FechaRecepcion]])),"")</f>
        <v/>
      </c>
      <c r="O204" s="6"/>
      <c r="P204" s="6"/>
    </row>
    <row r="205" spans="1:16">
      <c r="A205" s="25"/>
      <c r="B205" s="26" t="s">
        <v>625</v>
      </c>
      <c r="C205" t="s">
        <v>626</v>
      </c>
      <c r="D205" t="s">
        <v>627</v>
      </c>
      <c r="E205" s="6">
        <v>46035.370266203703</v>
      </c>
      <c r="G205" s="5" t="s">
        <v>397</v>
      </c>
      <c r="H205" t="s">
        <v>309</v>
      </c>
      <c r="I20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276</v>
      </c>
      <c r="M205" s="7" t="str">
        <f>IFERROR(IF(OR(LINEA24[[#This Row],[Fecha_Informe]]="",LINEA24[[#This Row],[FechaRecepcion]]=""),"",INT(LINEA24[[#This Row],[Fecha_Informe]])-INT(LINEA24[[#This Row],[FechaRecepcion]])),"")</f>
        <v/>
      </c>
      <c r="O205" s="6"/>
      <c r="P205" s="6"/>
    </row>
    <row r="206" spans="1:16">
      <c r="A206" s="25"/>
      <c r="B206" s="26" t="s">
        <v>628</v>
      </c>
      <c r="C206" t="s">
        <v>629</v>
      </c>
      <c r="D206" t="s">
        <v>630</v>
      </c>
      <c r="E206" s="6">
        <v>46035.389652777798</v>
      </c>
      <c r="G206" s="5" t="s">
        <v>397</v>
      </c>
      <c r="H206" t="s">
        <v>309</v>
      </c>
      <c r="I20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276</v>
      </c>
      <c r="M206" s="7" t="str">
        <f>IFERROR(IF(OR(LINEA24[[#This Row],[Fecha_Informe]]="",LINEA24[[#This Row],[FechaRecepcion]]=""),"",INT(LINEA24[[#This Row],[Fecha_Informe]])-INT(LINEA24[[#This Row],[FechaRecepcion]])),"")</f>
        <v/>
      </c>
      <c r="O206" s="6"/>
      <c r="P206" s="6"/>
    </row>
    <row r="207" spans="1:16">
      <c r="A207" s="25"/>
      <c r="B207" s="26" t="s">
        <v>631</v>
      </c>
      <c r="C207" t="s">
        <v>632</v>
      </c>
      <c r="D207" t="s">
        <v>633</v>
      </c>
      <c r="E207" s="6">
        <v>46035.479907407404</v>
      </c>
      <c r="G207" s="5" t="s">
        <v>397</v>
      </c>
      <c r="H207" t="s">
        <v>309</v>
      </c>
      <c r="I20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276</v>
      </c>
      <c r="M207" s="7" t="str">
        <f>IFERROR(IF(OR(LINEA24[[#This Row],[Fecha_Informe]]="",LINEA24[[#This Row],[FechaRecepcion]]=""),"",INT(LINEA24[[#This Row],[Fecha_Informe]])-INT(LINEA24[[#This Row],[FechaRecepcion]])),"")</f>
        <v/>
      </c>
      <c r="O207" s="6"/>
      <c r="P207" s="6"/>
    </row>
    <row r="208" spans="1:16">
      <c r="A208" s="25"/>
      <c r="B208" s="26" t="s">
        <v>634</v>
      </c>
      <c r="C208" t="s">
        <v>626</v>
      </c>
      <c r="D208" t="s">
        <v>627</v>
      </c>
      <c r="E208" s="6">
        <v>46035.499293981498</v>
      </c>
      <c r="G208" s="5" t="s">
        <v>397</v>
      </c>
      <c r="H208" t="s">
        <v>309</v>
      </c>
      <c r="I20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276</v>
      </c>
      <c r="M208" s="7" t="str">
        <f>IFERROR(IF(OR(LINEA24[[#This Row],[Fecha_Informe]]="",LINEA24[[#This Row],[FechaRecepcion]]=""),"",INT(LINEA24[[#This Row],[Fecha_Informe]])-INT(LINEA24[[#This Row],[FechaRecepcion]])),"")</f>
        <v/>
      </c>
      <c r="O208" s="6"/>
      <c r="P208" s="6"/>
    </row>
    <row r="209" spans="1:16">
      <c r="A209" s="25"/>
      <c r="B209" s="26" t="s">
        <v>635</v>
      </c>
      <c r="C209" t="s">
        <v>636</v>
      </c>
      <c r="D209" t="s">
        <v>637</v>
      </c>
      <c r="E209" s="6">
        <v>46035.651562500003</v>
      </c>
      <c r="G209" s="5" t="s">
        <v>397</v>
      </c>
      <c r="H209" t="s">
        <v>309</v>
      </c>
      <c r="I20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276</v>
      </c>
      <c r="M209" s="7" t="str">
        <f>IFERROR(IF(OR(LINEA24[[#This Row],[Fecha_Informe]]="",LINEA24[[#This Row],[FechaRecepcion]]=""),"",INT(LINEA24[[#This Row],[Fecha_Informe]])-INT(LINEA24[[#This Row],[FechaRecepcion]])),"")</f>
        <v/>
      </c>
      <c r="O209" s="6"/>
      <c r="P209" s="6"/>
    </row>
    <row r="210" spans="1:16">
      <c r="A210" s="25"/>
      <c r="B210" s="26" t="s">
        <v>638</v>
      </c>
      <c r="C210" t="s">
        <v>639</v>
      </c>
      <c r="D210" t="s">
        <v>640</v>
      </c>
      <c r="E210" s="6">
        <v>46036.4428819444</v>
      </c>
      <c r="G210" s="5" t="s">
        <v>397</v>
      </c>
      <c r="H210" t="s">
        <v>309</v>
      </c>
      <c r="I21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275</v>
      </c>
      <c r="M210" s="7" t="str">
        <f>IFERROR(IF(OR(LINEA24[[#This Row],[Fecha_Informe]]="",LINEA24[[#This Row],[FechaRecepcion]]=""),"",INT(LINEA24[[#This Row],[Fecha_Informe]])-INT(LINEA24[[#This Row],[FechaRecepcion]])),"")</f>
        <v/>
      </c>
      <c r="O210" s="6"/>
      <c r="P210" s="6"/>
    </row>
    <row r="211" spans="1:16">
      <c r="A211" s="25"/>
      <c r="B211" s="26" t="s">
        <v>641</v>
      </c>
      <c r="C211" t="s">
        <v>642</v>
      </c>
      <c r="D211" t="s">
        <v>643</v>
      </c>
      <c r="E211" s="6">
        <v>46036.511863425898</v>
      </c>
      <c r="G211" s="5" t="s">
        <v>397</v>
      </c>
      <c r="H211" t="s">
        <v>309</v>
      </c>
      <c r="I21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275</v>
      </c>
      <c r="M211" s="7" t="str">
        <f>IFERROR(IF(OR(LINEA24[[#This Row],[Fecha_Informe]]="",LINEA24[[#This Row],[FechaRecepcion]]=""),"",INT(LINEA24[[#This Row],[Fecha_Informe]])-INT(LINEA24[[#This Row],[FechaRecepcion]])),"")</f>
        <v/>
      </c>
      <c r="O211" s="6"/>
      <c r="P211" s="6"/>
    </row>
    <row r="212" spans="1:16">
      <c r="A212" s="25"/>
      <c r="B212" s="27" t="s">
        <v>644</v>
      </c>
      <c r="C212" t="s">
        <v>645</v>
      </c>
      <c r="D212" t="s">
        <v>646</v>
      </c>
      <c r="E212" s="6">
        <v>46037.393692129597</v>
      </c>
      <c r="G212" s="5" t="s">
        <v>397</v>
      </c>
      <c r="H212" t="s">
        <v>309</v>
      </c>
      <c r="I21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274</v>
      </c>
      <c r="M212" s="7" t="str">
        <f>IFERROR(IF(OR(LINEA24[[#This Row],[Fecha_Informe]]="",LINEA24[[#This Row],[FechaRecepcion]]=""),"",INT(LINEA24[[#This Row],[Fecha_Informe]])-INT(LINEA24[[#This Row],[FechaRecepcion]])),"")</f>
        <v/>
      </c>
      <c r="O212" s="6"/>
      <c r="P212" s="6"/>
    </row>
    <row r="213" spans="1:16">
      <c r="A213" s="25"/>
      <c r="B213" s="26" t="s">
        <v>647</v>
      </c>
      <c r="C213" t="s">
        <v>648</v>
      </c>
      <c r="D213" t="s">
        <v>649</v>
      </c>
      <c r="E213" s="6">
        <v>46037.395810185197</v>
      </c>
      <c r="G213" s="5" t="s">
        <v>397</v>
      </c>
      <c r="H213" t="s">
        <v>309</v>
      </c>
      <c r="I21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274</v>
      </c>
      <c r="M213" s="7" t="str">
        <f>IFERROR(IF(OR(LINEA24[[#This Row],[Fecha_Informe]]="",LINEA24[[#This Row],[FechaRecepcion]]=""),"",INT(LINEA24[[#This Row],[Fecha_Informe]])-INT(LINEA24[[#This Row],[FechaRecepcion]])),"")</f>
        <v/>
      </c>
      <c r="O213" s="6"/>
      <c r="P213" s="6"/>
    </row>
    <row r="214" spans="1:16">
      <c r="A214" s="25"/>
      <c r="B214" s="26" t="s">
        <v>650</v>
      </c>
      <c r="C214" t="s">
        <v>651</v>
      </c>
      <c r="D214" t="s">
        <v>652</v>
      </c>
      <c r="E214" s="6">
        <v>46037.399594907401</v>
      </c>
      <c r="G214" s="5" t="s">
        <v>397</v>
      </c>
      <c r="H214" t="s">
        <v>309</v>
      </c>
      <c r="I21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274</v>
      </c>
      <c r="M214" s="7" t="str">
        <f>IFERROR(IF(OR(LINEA24[[#This Row],[Fecha_Informe]]="",LINEA24[[#This Row],[FechaRecepcion]]=""),"",INT(LINEA24[[#This Row],[Fecha_Informe]])-INT(LINEA24[[#This Row],[FechaRecepcion]])),"")</f>
        <v/>
      </c>
      <c r="O214" s="6"/>
      <c r="P214" s="6"/>
    </row>
    <row r="215" spans="1:16">
      <c r="A215" s="25"/>
      <c r="B215" s="26" t="s">
        <v>653</v>
      </c>
      <c r="C215" t="s">
        <v>654</v>
      </c>
      <c r="D215" t="s">
        <v>655</v>
      </c>
      <c r="E215" s="6">
        <v>46037.414444444403</v>
      </c>
      <c r="G215" s="5" t="s">
        <v>397</v>
      </c>
      <c r="H215" t="s">
        <v>309</v>
      </c>
      <c r="I21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274</v>
      </c>
      <c r="M215" s="7" t="str">
        <f>IFERROR(IF(OR(LINEA24[[#This Row],[Fecha_Informe]]="",LINEA24[[#This Row],[FechaRecepcion]]=""),"",INT(LINEA24[[#This Row],[Fecha_Informe]])-INT(LINEA24[[#This Row],[FechaRecepcion]])),"")</f>
        <v/>
      </c>
      <c r="O215" s="6"/>
      <c r="P215" s="6"/>
    </row>
    <row r="216" spans="1:16">
      <c r="A216" s="25"/>
      <c r="B216" s="26" t="s">
        <v>656</v>
      </c>
      <c r="C216" t="s">
        <v>657</v>
      </c>
      <c r="D216" t="s">
        <v>658</v>
      </c>
      <c r="E216" s="6">
        <v>46037.527106481502</v>
      </c>
      <c r="G216" s="5" t="s">
        <v>397</v>
      </c>
      <c r="H216" t="s">
        <v>309</v>
      </c>
      <c r="I21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274</v>
      </c>
      <c r="M216" s="7" t="str">
        <f>IFERROR(IF(OR(LINEA24[[#This Row],[Fecha_Informe]]="",LINEA24[[#This Row],[FechaRecepcion]]=""),"",INT(LINEA24[[#This Row],[Fecha_Informe]])-INT(LINEA24[[#This Row],[FechaRecepcion]])),"")</f>
        <v/>
      </c>
      <c r="O216" s="6"/>
      <c r="P216" s="6"/>
    </row>
    <row r="217" spans="1:16">
      <c r="A217" s="25"/>
      <c r="B217" s="26" t="s">
        <v>659</v>
      </c>
      <c r="C217" t="s">
        <v>660</v>
      </c>
      <c r="D217" t="s">
        <v>661</v>
      </c>
      <c r="E217" s="6">
        <v>46037.537407407399</v>
      </c>
      <c r="G217" s="5" t="s">
        <v>397</v>
      </c>
      <c r="H217" t="s">
        <v>309</v>
      </c>
      <c r="I21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274</v>
      </c>
      <c r="M217" s="7" t="str">
        <f>IFERROR(IF(OR(LINEA24[[#This Row],[Fecha_Informe]]="",LINEA24[[#This Row],[FechaRecepcion]]=""),"",INT(LINEA24[[#This Row],[Fecha_Informe]])-INT(LINEA24[[#This Row],[FechaRecepcion]])),"")</f>
        <v/>
      </c>
      <c r="O217" s="6"/>
      <c r="P217" s="6"/>
    </row>
    <row r="218" spans="1:16">
      <c r="A218" s="25"/>
      <c r="B218" s="26" t="s">
        <v>662</v>
      </c>
      <c r="C218" t="s">
        <v>663</v>
      </c>
      <c r="D218" t="s">
        <v>664</v>
      </c>
      <c r="E218" s="6">
        <v>46038.387523148202</v>
      </c>
      <c r="G218" s="5" t="s">
        <v>397</v>
      </c>
      <c r="H218" t="s">
        <v>309</v>
      </c>
      <c r="I21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273</v>
      </c>
      <c r="M218" s="7" t="str">
        <f>IFERROR(IF(OR(LINEA24[[#This Row],[Fecha_Informe]]="",LINEA24[[#This Row],[FechaRecepcion]]=""),"",INT(LINEA24[[#This Row],[Fecha_Informe]])-INT(LINEA24[[#This Row],[FechaRecepcion]])),"")</f>
        <v/>
      </c>
      <c r="O218" s="6"/>
      <c r="P218" s="6"/>
    </row>
    <row r="219" spans="1:16">
      <c r="A219" s="25"/>
      <c r="B219" s="26" t="s">
        <v>665</v>
      </c>
      <c r="C219" t="s">
        <v>666</v>
      </c>
      <c r="D219" t="s">
        <v>667</v>
      </c>
      <c r="E219" s="6">
        <v>46038.434606481504</v>
      </c>
      <c r="G219" s="5" t="s">
        <v>397</v>
      </c>
      <c r="H219" t="s">
        <v>309</v>
      </c>
      <c r="I21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273</v>
      </c>
      <c r="M219" s="7" t="str">
        <f>IFERROR(IF(OR(LINEA24[[#This Row],[Fecha_Informe]]="",LINEA24[[#This Row],[FechaRecepcion]]=""),"",INT(LINEA24[[#This Row],[Fecha_Informe]])-INT(LINEA24[[#This Row],[FechaRecepcion]])),"")</f>
        <v/>
      </c>
      <c r="O219" s="6"/>
      <c r="P219" s="6"/>
    </row>
    <row r="220" spans="1:16">
      <c r="A220" s="25"/>
      <c r="B220" s="26" t="s">
        <v>668</v>
      </c>
      <c r="C220" t="s">
        <v>587</v>
      </c>
      <c r="D220" t="s">
        <v>588</v>
      </c>
      <c r="E220" s="6">
        <v>46038.458668981497</v>
      </c>
      <c r="G220" s="5" t="s">
        <v>397</v>
      </c>
      <c r="H220" t="s">
        <v>309</v>
      </c>
      <c r="I22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273</v>
      </c>
      <c r="M220" s="7" t="str">
        <f>IFERROR(IF(OR(LINEA24[[#This Row],[Fecha_Informe]]="",LINEA24[[#This Row],[FechaRecepcion]]=""),"",INT(LINEA24[[#This Row],[Fecha_Informe]])-INT(LINEA24[[#This Row],[FechaRecepcion]])),"")</f>
        <v/>
      </c>
      <c r="O220" s="6"/>
      <c r="P220" s="6"/>
    </row>
    <row r="221" spans="1:16">
      <c r="A221" s="25"/>
      <c r="B221" s="26" t="s">
        <v>669</v>
      </c>
      <c r="C221" t="s">
        <v>670</v>
      </c>
      <c r="D221" t="s">
        <v>671</v>
      </c>
      <c r="E221" s="6">
        <v>46038.463333333297</v>
      </c>
      <c r="G221" s="5" t="s">
        <v>397</v>
      </c>
      <c r="H221" t="s">
        <v>309</v>
      </c>
      <c r="I22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273</v>
      </c>
      <c r="M221" s="7" t="str">
        <f>IFERROR(IF(OR(LINEA24[[#This Row],[Fecha_Informe]]="",LINEA24[[#This Row],[FechaRecepcion]]=""),"",INT(LINEA24[[#This Row],[Fecha_Informe]])-INT(LINEA24[[#This Row],[FechaRecepcion]])),"")</f>
        <v/>
      </c>
      <c r="O221" s="6"/>
      <c r="P221" s="6"/>
    </row>
    <row r="222" spans="1:16">
      <c r="A222" s="25"/>
      <c r="B222" s="27" t="s">
        <v>672</v>
      </c>
      <c r="C222" t="s">
        <v>673</v>
      </c>
      <c r="D222" t="s">
        <v>674</v>
      </c>
      <c r="E222" s="6">
        <v>46038.466446759303</v>
      </c>
      <c r="G222" s="5" t="s">
        <v>397</v>
      </c>
      <c r="H222" t="s">
        <v>309</v>
      </c>
      <c r="I22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273</v>
      </c>
      <c r="M222" s="7" t="str">
        <f>IFERROR(IF(OR(LINEA24[[#This Row],[Fecha_Informe]]="",LINEA24[[#This Row],[FechaRecepcion]]=""),"",INT(LINEA24[[#This Row],[Fecha_Informe]])-INT(LINEA24[[#This Row],[FechaRecepcion]])),"")</f>
        <v/>
      </c>
      <c r="O222" s="6"/>
      <c r="P222" s="6"/>
    </row>
    <row r="223" spans="1:16">
      <c r="A223" s="25"/>
      <c r="B223" s="26" t="s">
        <v>675</v>
      </c>
      <c r="C223" t="s">
        <v>676</v>
      </c>
      <c r="D223" t="s">
        <v>677</v>
      </c>
      <c r="E223" s="6">
        <v>46041.430868055599</v>
      </c>
      <c r="G223" s="5" t="s">
        <v>397</v>
      </c>
      <c r="H223" t="s">
        <v>309</v>
      </c>
      <c r="I22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270</v>
      </c>
      <c r="M223" s="7" t="str">
        <f>IFERROR(IF(OR(LINEA24[[#This Row],[Fecha_Informe]]="",LINEA24[[#This Row],[FechaRecepcion]]=""),"",INT(LINEA24[[#This Row],[Fecha_Informe]])-INT(LINEA24[[#This Row],[FechaRecepcion]])),"")</f>
        <v/>
      </c>
      <c r="O223" s="6"/>
      <c r="P223" s="6"/>
    </row>
    <row r="224" spans="1:16">
      <c r="A224" s="25"/>
      <c r="B224" s="26" t="s">
        <v>678</v>
      </c>
      <c r="C224" t="s">
        <v>679</v>
      </c>
      <c r="D224" t="s">
        <v>680</v>
      </c>
      <c r="E224" s="6">
        <v>46041.448657407404</v>
      </c>
      <c r="G224" s="5" t="s">
        <v>397</v>
      </c>
      <c r="H224" t="s">
        <v>309</v>
      </c>
      <c r="I22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270</v>
      </c>
      <c r="M224" s="7" t="str">
        <f>IFERROR(IF(OR(LINEA24[[#This Row],[Fecha_Informe]]="",LINEA24[[#This Row],[FechaRecepcion]]=""),"",INT(LINEA24[[#This Row],[Fecha_Informe]])-INT(LINEA24[[#This Row],[FechaRecepcion]])),"")</f>
        <v/>
      </c>
      <c r="O224" s="6"/>
      <c r="P224" s="6"/>
    </row>
    <row r="225" spans="1:16">
      <c r="A225" s="25"/>
      <c r="B225" s="26" t="s">
        <v>681</v>
      </c>
      <c r="C225" t="s">
        <v>682</v>
      </c>
      <c r="D225" t="s">
        <v>683</v>
      </c>
      <c r="E225" s="6">
        <v>46041.4593171296</v>
      </c>
      <c r="G225" s="5" t="s">
        <v>397</v>
      </c>
      <c r="H225" t="s">
        <v>309</v>
      </c>
      <c r="I22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270</v>
      </c>
      <c r="M225" s="7" t="str">
        <f>IFERROR(IF(OR(LINEA24[[#This Row],[Fecha_Informe]]="",LINEA24[[#This Row],[FechaRecepcion]]=""),"",INT(LINEA24[[#This Row],[Fecha_Informe]])-INT(LINEA24[[#This Row],[FechaRecepcion]])),"")</f>
        <v/>
      </c>
      <c r="O225" s="6"/>
      <c r="P225" s="6"/>
    </row>
    <row r="226" spans="1:16">
      <c r="A226" s="25"/>
      <c r="B226" s="26" t="s">
        <v>684</v>
      </c>
      <c r="C226" t="s">
        <v>685</v>
      </c>
      <c r="D226" t="s">
        <v>686</v>
      </c>
      <c r="E226" s="6">
        <v>46041.491296296299</v>
      </c>
      <c r="G226" s="5" t="s">
        <v>397</v>
      </c>
      <c r="H226" t="s">
        <v>309</v>
      </c>
      <c r="I22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270</v>
      </c>
      <c r="M226" s="7" t="str">
        <f>IFERROR(IF(OR(LINEA24[[#This Row],[Fecha_Informe]]="",LINEA24[[#This Row],[FechaRecepcion]]=""),"",INT(LINEA24[[#This Row],[Fecha_Informe]])-INT(LINEA24[[#This Row],[FechaRecepcion]])),"")</f>
        <v/>
      </c>
      <c r="O226" s="6"/>
      <c r="P226" s="6"/>
    </row>
    <row r="227" spans="1:16">
      <c r="A227" s="25"/>
      <c r="B227" s="26" t="s">
        <v>687</v>
      </c>
      <c r="C227" t="s">
        <v>688</v>
      </c>
      <c r="D227" t="s">
        <v>689</v>
      </c>
      <c r="E227" s="6">
        <v>46041.508750000001</v>
      </c>
      <c r="G227" s="5" t="s">
        <v>397</v>
      </c>
      <c r="H227" t="s">
        <v>309</v>
      </c>
      <c r="I22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270</v>
      </c>
      <c r="M227" s="7" t="str">
        <f>IFERROR(IF(OR(LINEA24[[#This Row],[Fecha_Informe]]="",LINEA24[[#This Row],[FechaRecepcion]]=""),"",INT(LINEA24[[#This Row],[Fecha_Informe]])-INT(LINEA24[[#This Row],[FechaRecepcion]])),"")</f>
        <v/>
      </c>
      <c r="O227" s="6"/>
      <c r="P227" s="6"/>
    </row>
    <row r="228" spans="1:16">
      <c r="A228" s="25"/>
      <c r="B228" s="26" t="s">
        <v>690</v>
      </c>
      <c r="C228" t="s">
        <v>691</v>
      </c>
      <c r="E228" s="6">
        <v>46036.249652777798</v>
      </c>
      <c r="G228" s="5" t="s">
        <v>400</v>
      </c>
      <c r="H228" t="s">
        <v>309</v>
      </c>
      <c r="I22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275</v>
      </c>
      <c r="M228" s="7" t="str">
        <f>IFERROR(IF(OR(LINEA24[[#This Row],[Fecha_Informe]]="",LINEA24[[#This Row],[FechaRecepcion]]=""),"",INT(LINEA24[[#This Row],[Fecha_Informe]])-INT(LINEA24[[#This Row],[FechaRecepcion]])),"")</f>
        <v/>
      </c>
      <c r="O228" s="6"/>
      <c r="P228" s="6"/>
    </row>
    <row r="229" spans="1:16">
      <c r="A229" s="25"/>
      <c r="B229" s="26" t="s">
        <v>692</v>
      </c>
      <c r="C229" t="s">
        <v>693</v>
      </c>
      <c r="D229" t="s">
        <v>694</v>
      </c>
      <c r="E229" s="6">
        <v>46041.5363657407</v>
      </c>
      <c r="G229" s="5" t="s">
        <v>397</v>
      </c>
      <c r="H229" t="s">
        <v>309</v>
      </c>
      <c r="I22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270</v>
      </c>
      <c r="M229" s="7" t="str">
        <f>IFERROR(IF(OR(LINEA24[[#This Row],[Fecha_Informe]]="",LINEA24[[#This Row],[FechaRecepcion]]=""),"",INT(LINEA24[[#This Row],[Fecha_Informe]])-INT(LINEA24[[#This Row],[FechaRecepcion]])),"")</f>
        <v/>
      </c>
      <c r="O229" s="6"/>
      <c r="P229" s="6"/>
    </row>
    <row r="230" spans="1:16">
      <c r="A230" s="25"/>
      <c r="B230" s="27" t="s">
        <v>695</v>
      </c>
      <c r="C230" t="s">
        <v>696</v>
      </c>
      <c r="D230" t="s">
        <v>697</v>
      </c>
      <c r="E230" s="6">
        <v>46041.649849537003</v>
      </c>
      <c r="G230" s="5" t="s">
        <v>397</v>
      </c>
      <c r="H230" t="s">
        <v>309</v>
      </c>
      <c r="I23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270</v>
      </c>
      <c r="M230" s="7" t="str">
        <f>IFERROR(IF(OR(LINEA24[[#This Row],[Fecha_Informe]]="",LINEA24[[#This Row],[FechaRecepcion]]=""),"",INT(LINEA24[[#This Row],[Fecha_Informe]])-INT(LINEA24[[#This Row],[FechaRecepcion]])),"")</f>
        <v/>
      </c>
      <c r="O230" s="6"/>
      <c r="P230" s="6"/>
    </row>
    <row r="231" spans="1:16">
      <c r="A231" s="25"/>
      <c r="B231" s="26" t="s">
        <v>698</v>
      </c>
      <c r="C231" t="s">
        <v>699</v>
      </c>
      <c r="D231" t="s">
        <v>700</v>
      </c>
      <c r="E231" s="6">
        <v>46042.367002314801</v>
      </c>
      <c r="G231" s="5" t="s">
        <v>397</v>
      </c>
      <c r="H231" t="s">
        <v>309</v>
      </c>
      <c r="I23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269</v>
      </c>
      <c r="M231" s="7" t="str">
        <f>IFERROR(IF(OR(LINEA24[[#This Row],[Fecha_Informe]]="",LINEA24[[#This Row],[FechaRecepcion]]=""),"",INT(LINEA24[[#This Row],[Fecha_Informe]])-INT(LINEA24[[#This Row],[FechaRecepcion]])),"")</f>
        <v/>
      </c>
      <c r="O231" s="6"/>
      <c r="P231" s="6"/>
    </row>
    <row r="232" spans="1:16">
      <c r="A232" s="25"/>
      <c r="B232" s="26" t="s">
        <v>701</v>
      </c>
      <c r="C232" t="s">
        <v>702</v>
      </c>
      <c r="D232" t="s">
        <v>703</v>
      </c>
      <c r="E232" s="6">
        <v>46042.459826388898</v>
      </c>
      <c r="G232" s="5" t="s">
        <v>397</v>
      </c>
      <c r="H232" t="s">
        <v>309</v>
      </c>
      <c r="I23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269</v>
      </c>
      <c r="M232" s="7" t="str">
        <f>IFERROR(IF(OR(LINEA24[[#This Row],[Fecha_Informe]]="",LINEA24[[#This Row],[FechaRecepcion]]=""),"",INT(LINEA24[[#This Row],[Fecha_Informe]])-INT(LINEA24[[#This Row],[FechaRecepcion]])),"")</f>
        <v/>
      </c>
      <c r="O232" s="6"/>
      <c r="P232" s="6"/>
    </row>
    <row r="233" spans="1:16">
      <c r="A233" s="25"/>
      <c r="B233" s="26" t="s">
        <v>704</v>
      </c>
      <c r="C233" t="s">
        <v>705</v>
      </c>
      <c r="D233" t="s">
        <v>706</v>
      </c>
      <c r="E233" s="6">
        <v>46042.484629629602</v>
      </c>
      <c r="G233" s="5" t="s">
        <v>397</v>
      </c>
      <c r="H233" t="s">
        <v>309</v>
      </c>
      <c r="I23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269</v>
      </c>
      <c r="M233" s="7" t="str">
        <f>IFERROR(IF(OR(LINEA24[[#This Row],[Fecha_Informe]]="",LINEA24[[#This Row],[FechaRecepcion]]=""),"",INT(LINEA24[[#This Row],[Fecha_Informe]])-INT(LINEA24[[#This Row],[FechaRecepcion]])),"")</f>
        <v/>
      </c>
      <c r="O233" s="6"/>
      <c r="P233" s="6"/>
    </row>
    <row r="234" spans="1:16">
      <c r="A234" s="25"/>
      <c r="B234" s="26" t="s">
        <v>707</v>
      </c>
      <c r="C234" t="s">
        <v>708</v>
      </c>
      <c r="D234" t="s">
        <v>709</v>
      </c>
      <c r="E234" s="6">
        <v>46042.5549537037</v>
      </c>
      <c r="G234" s="5" t="s">
        <v>397</v>
      </c>
      <c r="H234" t="s">
        <v>309</v>
      </c>
      <c r="I23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269</v>
      </c>
      <c r="M234" s="7" t="str">
        <f>IFERROR(IF(OR(LINEA24[[#This Row],[Fecha_Informe]]="",LINEA24[[#This Row],[FechaRecepcion]]=""),"",INT(LINEA24[[#This Row],[Fecha_Informe]])-INT(LINEA24[[#This Row],[FechaRecepcion]])),"")</f>
        <v/>
      </c>
      <c r="O234" s="6"/>
      <c r="P234" s="6"/>
    </row>
    <row r="235" spans="1:16">
      <c r="A235" s="25"/>
      <c r="B235" s="26" t="s">
        <v>710</v>
      </c>
      <c r="C235" t="s">
        <v>711</v>
      </c>
      <c r="D235" t="s">
        <v>712</v>
      </c>
      <c r="E235" s="6">
        <v>46042.685011574104</v>
      </c>
      <c r="G235" s="5" t="s">
        <v>397</v>
      </c>
      <c r="H235" t="s">
        <v>309</v>
      </c>
      <c r="I23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269</v>
      </c>
      <c r="M235" s="7" t="str">
        <f>IFERROR(IF(OR(LINEA24[[#This Row],[Fecha_Informe]]="",LINEA24[[#This Row],[FechaRecepcion]]=""),"",INT(LINEA24[[#This Row],[Fecha_Informe]])-INT(LINEA24[[#This Row],[FechaRecepcion]])),"")</f>
        <v/>
      </c>
      <c r="O235" s="6"/>
      <c r="P235" s="6"/>
    </row>
    <row r="236" spans="1:16">
      <c r="A236" s="25"/>
      <c r="B236" s="26" t="s">
        <v>713</v>
      </c>
      <c r="C236" t="s">
        <v>714</v>
      </c>
      <c r="E236" s="6">
        <v>46043.542974536998</v>
      </c>
      <c r="G236" s="5" t="s">
        <v>400</v>
      </c>
      <c r="H236" t="s">
        <v>309</v>
      </c>
      <c r="I23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268</v>
      </c>
      <c r="M236" s="7" t="str">
        <f>IFERROR(IF(OR(LINEA24[[#This Row],[Fecha_Informe]]="",LINEA24[[#This Row],[FechaRecepcion]]=""),"",INT(LINEA24[[#This Row],[Fecha_Informe]])-INT(LINEA24[[#This Row],[FechaRecepcion]])),"")</f>
        <v/>
      </c>
      <c r="O236" s="6"/>
      <c r="P236" s="6"/>
    </row>
    <row r="237" spans="1:16">
      <c r="A237" s="25"/>
      <c r="B237" s="26" t="s">
        <v>715</v>
      </c>
      <c r="C237" t="s">
        <v>602</v>
      </c>
      <c r="D237" t="s">
        <v>603</v>
      </c>
      <c r="E237" s="6">
        <v>46044.400034722203</v>
      </c>
      <c r="G237" s="5" t="s">
        <v>397</v>
      </c>
      <c r="H237" t="s">
        <v>309</v>
      </c>
      <c r="I23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267</v>
      </c>
      <c r="M237" s="7" t="str">
        <f>IFERROR(IF(OR(LINEA24[[#This Row],[Fecha_Informe]]="",LINEA24[[#This Row],[FechaRecepcion]]=""),"",INT(LINEA24[[#This Row],[Fecha_Informe]])-INT(LINEA24[[#This Row],[FechaRecepcion]])),"")</f>
        <v/>
      </c>
      <c r="O237" s="6"/>
      <c r="P237" s="6"/>
    </row>
    <row r="238" spans="1:16">
      <c r="A238" s="25"/>
      <c r="B238" s="26" t="s">
        <v>716</v>
      </c>
      <c r="C238" t="s">
        <v>717</v>
      </c>
      <c r="D238" t="s">
        <v>718</v>
      </c>
      <c r="E238" s="6">
        <v>46044.418842592597</v>
      </c>
      <c r="G238" s="5" t="s">
        <v>397</v>
      </c>
      <c r="H238" t="s">
        <v>309</v>
      </c>
      <c r="I23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267</v>
      </c>
      <c r="M238" s="7" t="str">
        <f>IFERROR(IF(OR(LINEA24[[#This Row],[Fecha_Informe]]="",LINEA24[[#This Row],[FechaRecepcion]]=""),"",INT(LINEA24[[#This Row],[Fecha_Informe]])-INT(LINEA24[[#This Row],[FechaRecepcion]])),"")</f>
        <v/>
      </c>
      <c r="O238" s="6"/>
      <c r="P238" s="6"/>
    </row>
    <row r="239" spans="1:16">
      <c r="A239" s="25"/>
      <c r="B239" s="26" t="s">
        <v>719</v>
      </c>
      <c r="C239" t="s">
        <v>720</v>
      </c>
      <c r="E239" s="6">
        <v>46044.7282291667</v>
      </c>
      <c r="G239" s="5" t="s">
        <v>400</v>
      </c>
      <c r="H239" t="s">
        <v>309</v>
      </c>
      <c r="I23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267</v>
      </c>
      <c r="M239" s="7" t="str">
        <f>IFERROR(IF(OR(LINEA24[[#This Row],[Fecha_Informe]]="",LINEA24[[#This Row],[FechaRecepcion]]=""),"",INT(LINEA24[[#This Row],[Fecha_Informe]])-INT(LINEA24[[#This Row],[FechaRecepcion]])),"")</f>
        <v/>
      </c>
      <c r="O239" s="6"/>
      <c r="P239" s="6"/>
    </row>
    <row r="240" spans="1:16">
      <c r="A240" s="25"/>
      <c r="B240" s="26" t="s">
        <v>721</v>
      </c>
      <c r="C240" t="s">
        <v>722</v>
      </c>
      <c r="D240" t="s">
        <v>723</v>
      </c>
      <c r="E240" s="6">
        <v>46048.573391203703</v>
      </c>
      <c r="G240" s="5" t="s">
        <v>397</v>
      </c>
      <c r="H240" t="s">
        <v>309</v>
      </c>
      <c r="I24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263</v>
      </c>
      <c r="M240" s="7" t="str">
        <f>IFERROR(IF(OR(LINEA24[[#This Row],[Fecha_Informe]]="",LINEA24[[#This Row],[FechaRecepcion]]=""),"",INT(LINEA24[[#This Row],[Fecha_Informe]])-INT(LINEA24[[#This Row],[FechaRecepcion]])),"")</f>
        <v/>
      </c>
      <c r="O240" s="6"/>
      <c r="P240" s="6"/>
    </row>
    <row r="241" spans="1:16">
      <c r="A241" s="25"/>
      <c r="B241" s="26" t="s">
        <v>724</v>
      </c>
      <c r="C241" t="s">
        <v>725</v>
      </c>
      <c r="D241" t="s">
        <v>726</v>
      </c>
      <c r="E241" s="6">
        <v>46048.644479166702</v>
      </c>
      <c r="G241" s="5" t="s">
        <v>397</v>
      </c>
      <c r="H241" t="s">
        <v>309</v>
      </c>
      <c r="I24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263</v>
      </c>
      <c r="M241" s="7" t="str">
        <f>IFERROR(IF(OR(LINEA24[[#This Row],[Fecha_Informe]]="",LINEA24[[#This Row],[FechaRecepcion]]=""),"",INT(LINEA24[[#This Row],[Fecha_Informe]])-INT(LINEA24[[#This Row],[FechaRecepcion]])),"")</f>
        <v/>
      </c>
      <c r="O241" s="6"/>
      <c r="P241" s="6"/>
    </row>
    <row r="242" spans="1:16">
      <c r="A242" s="25"/>
      <c r="B242" s="26" t="s">
        <v>727</v>
      </c>
      <c r="C242" t="s">
        <v>728</v>
      </c>
      <c r="D242" t="s">
        <v>729</v>
      </c>
      <c r="E242" s="6">
        <v>46048.6960763889</v>
      </c>
      <c r="G242" s="5" t="s">
        <v>397</v>
      </c>
      <c r="H242" t="s">
        <v>309</v>
      </c>
      <c r="I24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263</v>
      </c>
      <c r="M242" s="7" t="str">
        <f>IFERROR(IF(OR(LINEA24[[#This Row],[Fecha_Informe]]="",LINEA24[[#This Row],[FechaRecepcion]]=""),"",INT(LINEA24[[#This Row],[Fecha_Informe]])-INT(LINEA24[[#This Row],[FechaRecepcion]])),"")</f>
        <v/>
      </c>
      <c r="O242" s="6"/>
      <c r="P242" s="6"/>
    </row>
    <row r="243" spans="1:16">
      <c r="A243" s="25"/>
      <c r="B243" s="26" t="s">
        <v>730</v>
      </c>
      <c r="C243" t="s">
        <v>731</v>
      </c>
      <c r="D243" t="s">
        <v>732</v>
      </c>
      <c r="E243" s="6">
        <v>46049.490196759303</v>
      </c>
      <c r="G243" s="5" t="s">
        <v>397</v>
      </c>
      <c r="H243" t="s">
        <v>309</v>
      </c>
      <c r="I24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262</v>
      </c>
      <c r="M243" s="7" t="str">
        <f>IFERROR(IF(OR(LINEA24[[#This Row],[Fecha_Informe]]="",LINEA24[[#This Row],[FechaRecepcion]]=""),"",INT(LINEA24[[#This Row],[Fecha_Informe]])-INT(LINEA24[[#This Row],[FechaRecepcion]])),"")</f>
        <v/>
      </c>
      <c r="O243" s="6"/>
      <c r="P243" s="6"/>
    </row>
    <row r="244" spans="1:16">
      <c r="A244" s="25"/>
      <c r="B244" s="26" t="s">
        <v>733</v>
      </c>
      <c r="C244" t="s">
        <v>734</v>
      </c>
      <c r="E244" s="6">
        <v>46049.504629629599</v>
      </c>
      <c r="G244" s="5" t="s">
        <v>400</v>
      </c>
      <c r="H244" t="s">
        <v>309</v>
      </c>
      <c r="I24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262</v>
      </c>
      <c r="M244" s="7" t="str">
        <f>IFERROR(IF(OR(LINEA24[[#This Row],[Fecha_Informe]]="",LINEA24[[#This Row],[FechaRecepcion]]=""),"",INT(LINEA24[[#This Row],[Fecha_Informe]])-INT(LINEA24[[#This Row],[FechaRecepcion]])),"")</f>
        <v/>
      </c>
      <c r="O244" s="6"/>
      <c r="P244" s="6"/>
    </row>
    <row r="245" spans="1:16">
      <c r="A245" s="25"/>
      <c r="B245" s="26" t="s">
        <v>735</v>
      </c>
      <c r="C245" t="s">
        <v>736</v>
      </c>
      <c r="D245" t="s">
        <v>737</v>
      </c>
      <c r="E245" s="6">
        <v>46049.543506944399</v>
      </c>
      <c r="G245" s="5" t="s">
        <v>397</v>
      </c>
      <c r="H245" t="s">
        <v>309</v>
      </c>
      <c r="I24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262</v>
      </c>
      <c r="M245" s="7" t="str">
        <f>IFERROR(IF(OR(LINEA24[[#This Row],[Fecha_Informe]]="",LINEA24[[#This Row],[FechaRecepcion]]=""),"",INT(LINEA24[[#This Row],[Fecha_Informe]])-INT(LINEA24[[#This Row],[FechaRecepcion]])),"")</f>
        <v/>
      </c>
      <c r="O245" s="6"/>
      <c r="P245" s="6"/>
    </row>
    <row r="246" spans="1:16">
      <c r="A246" s="25"/>
      <c r="B246" s="26" t="s">
        <v>738</v>
      </c>
      <c r="C246" t="s">
        <v>739</v>
      </c>
      <c r="D246" t="s">
        <v>740</v>
      </c>
      <c r="E246" s="6">
        <v>46049.558796296304</v>
      </c>
      <c r="G246" s="5" t="s">
        <v>397</v>
      </c>
      <c r="H246" t="s">
        <v>309</v>
      </c>
      <c r="I24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262</v>
      </c>
      <c r="M246" s="7" t="str">
        <f>IFERROR(IF(OR(LINEA24[[#This Row],[Fecha_Informe]]="",LINEA24[[#This Row],[FechaRecepcion]]=""),"",INT(LINEA24[[#This Row],[Fecha_Informe]])-INT(LINEA24[[#This Row],[FechaRecepcion]])),"")</f>
        <v/>
      </c>
      <c r="O246" s="6"/>
      <c r="P246" s="6"/>
    </row>
    <row r="247" spans="1:16">
      <c r="A247" s="25"/>
      <c r="B247" s="26" t="s">
        <v>741</v>
      </c>
      <c r="C247" t="s">
        <v>742</v>
      </c>
      <c r="D247" t="s">
        <v>743</v>
      </c>
      <c r="E247" s="6">
        <v>46049.581851851799</v>
      </c>
      <c r="G247" s="5" t="s">
        <v>397</v>
      </c>
      <c r="H247" t="s">
        <v>309</v>
      </c>
      <c r="I24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262</v>
      </c>
      <c r="M247" s="7" t="str">
        <f>IFERROR(IF(OR(LINEA24[[#This Row],[Fecha_Informe]]="",LINEA24[[#This Row],[FechaRecepcion]]=""),"",INT(LINEA24[[#This Row],[Fecha_Informe]])-INT(LINEA24[[#This Row],[FechaRecepcion]])),"")</f>
        <v/>
      </c>
      <c r="O247" s="6"/>
      <c r="P247" s="6"/>
    </row>
    <row r="248" spans="1:16">
      <c r="A248" s="25"/>
      <c r="B248" s="26" t="s">
        <v>744</v>
      </c>
      <c r="C248" t="s">
        <v>745</v>
      </c>
      <c r="D248" t="s">
        <v>746</v>
      </c>
      <c r="E248" s="6">
        <v>46050.362314814804</v>
      </c>
      <c r="G248" s="5" t="s">
        <v>397</v>
      </c>
      <c r="H248" t="s">
        <v>309</v>
      </c>
      <c r="I24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261</v>
      </c>
      <c r="M248" s="7" t="str">
        <f>IFERROR(IF(OR(LINEA24[[#This Row],[Fecha_Informe]]="",LINEA24[[#This Row],[FechaRecepcion]]=""),"",INT(LINEA24[[#This Row],[Fecha_Informe]])-INT(LINEA24[[#This Row],[FechaRecepcion]])),"")</f>
        <v/>
      </c>
      <c r="O248" s="6"/>
      <c r="P248" s="6"/>
    </row>
    <row r="249" spans="1:16">
      <c r="A249" s="25"/>
      <c r="B249" s="26" t="s">
        <v>747</v>
      </c>
      <c r="C249" t="s">
        <v>748</v>
      </c>
      <c r="D249" t="s">
        <v>749</v>
      </c>
      <c r="E249" s="6">
        <v>46050.459745370397</v>
      </c>
      <c r="G249" s="5" t="s">
        <v>397</v>
      </c>
      <c r="H249" t="s">
        <v>309</v>
      </c>
      <c r="I24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261</v>
      </c>
      <c r="M249" s="7" t="str">
        <f>IFERROR(IF(OR(LINEA24[[#This Row],[Fecha_Informe]]="",LINEA24[[#This Row],[FechaRecepcion]]=""),"",INT(LINEA24[[#This Row],[Fecha_Informe]])-INT(LINEA24[[#This Row],[FechaRecepcion]])),"")</f>
        <v/>
      </c>
      <c r="O249" s="6"/>
      <c r="P249" s="6"/>
    </row>
    <row r="250" spans="1:16">
      <c r="A250" s="25"/>
      <c r="B250" s="27" t="s">
        <v>750</v>
      </c>
      <c r="C250" t="s">
        <v>745</v>
      </c>
      <c r="D250" t="s">
        <v>746</v>
      </c>
      <c r="E250" s="6">
        <v>46050.6733564815</v>
      </c>
      <c r="G250" s="5" t="s">
        <v>397</v>
      </c>
      <c r="H250" t="s">
        <v>309</v>
      </c>
      <c r="I25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261</v>
      </c>
      <c r="M250" s="7" t="str">
        <f>IFERROR(IF(OR(LINEA24[[#This Row],[Fecha_Informe]]="",LINEA24[[#This Row],[FechaRecepcion]]=""),"",INT(LINEA24[[#This Row],[Fecha_Informe]])-INT(LINEA24[[#This Row],[FechaRecepcion]])),"")</f>
        <v/>
      </c>
      <c r="O250" s="6"/>
      <c r="P250" s="6"/>
    </row>
    <row r="251" spans="1:16">
      <c r="A251" s="25"/>
      <c r="B251" s="26" t="s">
        <v>751</v>
      </c>
      <c r="C251" t="s">
        <v>752</v>
      </c>
      <c r="E251" s="6">
        <v>46049.795358796298</v>
      </c>
      <c r="G251" s="5" t="s">
        <v>400</v>
      </c>
      <c r="H251" t="s">
        <v>309</v>
      </c>
      <c r="I25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262</v>
      </c>
      <c r="M251" s="7" t="str">
        <f>IFERROR(IF(OR(LINEA24[[#This Row],[Fecha_Informe]]="",LINEA24[[#This Row],[FechaRecepcion]]=""),"",INT(LINEA24[[#This Row],[Fecha_Informe]])-INT(LINEA24[[#This Row],[FechaRecepcion]])),"")</f>
        <v/>
      </c>
      <c r="O251" s="6"/>
      <c r="P251" s="6"/>
    </row>
    <row r="252" spans="1:16">
      <c r="A252" s="25"/>
      <c r="B252" s="26" t="s">
        <v>753</v>
      </c>
      <c r="C252" t="s">
        <v>754</v>
      </c>
      <c r="D252" t="s">
        <v>755</v>
      </c>
      <c r="E252" s="6">
        <v>46051.350046296298</v>
      </c>
      <c r="G252" s="5" t="s">
        <v>397</v>
      </c>
      <c r="H252" t="s">
        <v>309</v>
      </c>
      <c r="I25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260</v>
      </c>
      <c r="M252" s="7" t="str">
        <f>IFERROR(IF(OR(LINEA24[[#This Row],[Fecha_Informe]]="",LINEA24[[#This Row],[FechaRecepcion]]=""),"",INT(LINEA24[[#This Row],[Fecha_Informe]])-INT(LINEA24[[#This Row],[FechaRecepcion]])),"")</f>
        <v/>
      </c>
      <c r="O252" s="6"/>
      <c r="P252" s="6"/>
    </row>
    <row r="253" spans="1:16">
      <c r="A253" s="25"/>
      <c r="B253" s="26" t="s">
        <v>756</v>
      </c>
      <c r="C253" t="s">
        <v>757</v>
      </c>
      <c r="D253" t="s">
        <v>758</v>
      </c>
      <c r="E253" s="6">
        <v>46051.405046296299</v>
      </c>
      <c r="G253" s="5" t="s">
        <v>397</v>
      </c>
      <c r="H253" t="s">
        <v>309</v>
      </c>
      <c r="I25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260</v>
      </c>
      <c r="M253" s="7" t="str">
        <f>IFERROR(IF(OR(LINEA24[[#This Row],[Fecha_Informe]]="",LINEA24[[#This Row],[FechaRecepcion]]=""),"",INT(LINEA24[[#This Row],[Fecha_Informe]])-INT(LINEA24[[#This Row],[FechaRecepcion]])),"")</f>
        <v/>
      </c>
      <c r="O253" s="6"/>
      <c r="P253" s="6"/>
    </row>
    <row r="254" spans="1:16">
      <c r="A254" s="25"/>
      <c r="B254" s="26" t="s">
        <v>759</v>
      </c>
      <c r="C254" t="s">
        <v>760</v>
      </c>
      <c r="E254" s="6">
        <v>46051.556631944397</v>
      </c>
      <c r="G254" s="5" t="s">
        <v>400</v>
      </c>
      <c r="H254" t="s">
        <v>309</v>
      </c>
      <c r="I25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260</v>
      </c>
      <c r="M254" s="7" t="str">
        <f>IFERROR(IF(OR(LINEA24[[#This Row],[Fecha_Informe]]="",LINEA24[[#This Row],[FechaRecepcion]]=""),"",INT(LINEA24[[#This Row],[Fecha_Informe]])-INT(LINEA24[[#This Row],[FechaRecepcion]])),"")</f>
        <v/>
      </c>
      <c r="O254" s="6"/>
      <c r="P254" s="6"/>
    </row>
    <row r="255" spans="1:16">
      <c r="A255" s="25"/>
      <c r="B255" s="26" t="s">
        <v>761</v>
      </c>
      <c r="C255" t="s">
        <v>762</v>
      </c>
      <c r="D255" t="s">
        <v>763</v>
      </c>
      <c r="E255" s="6">
        <v>46051.660740740699</v>
      </c>
      <c r="G255" s="5" t="s">
        <v>397</v>
      </c>
      <c r="H255" t="s">
        <v>309</v>
      </c>
      <c r="I25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260</v>
      </c>
      <c r="M255" s="7" t="str">
        <f>IFERROR(IF(OR(LINEA24[[#This Row],[Fecha_Informe]]="",LINEA24[[#This Row],[FechaRecepcion]]=""),"",INT(LINEA24[[#This Row],[Fecha_Informe]])-INT(LINEA24[[#This Row],[FechaRecepcion]])),"")</f>
        <v/>
      </c>
      <c r="O255" s="6"/>
      <c r="P255" s="6"/>
    </row>
    <row r="256" spans="1:16">
      <c r="A256" s="25"/>
      <c r="B256" s="26" t="s">
        <v>764</v>
      </c>
      <c r="C256" t="s">
        <v>765</v>
      </c>
      <c r="D256" t="s">
        <v>766</v>
      </c>
      <c r="E256" s="6">
        <v>46052.469664351898</v>
      </c>
      <c r="G256" s="5" t="s">
        <v>397</v>
      </c>
      <c r="H256" t="s">
        <v>309</v>
      </c>
      <c r="I25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259</v>
      </c>
      <c r="M256" s="7" t="str">
        <f>IFERROR(IF(OR(LINEA24[[#This Row],[Fecha_Informe]]="",LINEA24[[#This Row],[FechaRecepcion]]=""),"",INT(LINEA24[[#This Row],[Fecha_Informe]])-INT(LINEA24[[#This Row],[FechaRecepcion]])),"")</f>
        <v/>
      </c>
      <c r="O256" s="6"/>
      <c r="P256" s="6"/>
    </row>
    <row r="257" spans="1:16">
      <c r="A257" s="25"/>
      <c r="B257" s="26" t="s">
        <v>767</v>
      </c>
      <c r="C257" t="s">
        <v>768</v>
      </c>
      <c r="D257" t="s">
        <v>769</v>
      </c>
      <c r="E257" s="6">
        <v>46052.525023148097</v>
      </c>
      <c r="G257" s="5" t="s">
        <v>397</v>
      </c>
      <c r="H257" t="s">
        <v>309</v>
      </c>
      <c r="I25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259</v>
      </c>
      <c r="M257" s="7" t="str">
        <f>IFERROR(IF(OR(LINEA24[[#This Row],[Fecha_Informe]]="",LINEA24[[#This Row],[FechaRecepcion]]=""),"",INT(LINEA24[[#This Row],[Fecha_Informe]])-INT(LINEA24[[#This Row],[FechaRecepcion]])),"")</f>
        <v/>
      </c>
      <c r="O257" s="6"/>
      <c r="P257" s="6"/>
    </row>
    <row r="258" spans="1:16">
      <c r="A258" s="25"/>
      <c r="B258" s="27" t="s">
        <v>770</v>
      </c>
      <c r="C258" t="s">
        <v>696</v>
      </c>
      <c r="D258" t="s">
        <v>697</v>
      </c>
      <c r="E258" s="6">
        <v>46052.587384259299</v>
      </c>
      <c r="G258" s="5" t="s">
        <v>397</v>
      </c>
      <c r="H258" t="s">
        <v>309</v>
      </c>
      <c r="I25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259</v>
      </c>
      <c r="M258" s="7" t="str">
        <f>IFERROR(IF(OR(LINEA24[[#This Row],[Fecha_Informe]]="",LINEA24[[#This Row],[FechaRecepcion]]=""),"",INT(LINEA24[[#This Row],[Fecha_Informe]])-INT(LINEA24[[#This Row],[FechaRecepcion]])),"")</f>
        <v/>
      </c>
      <c r="O258" s="6"/>
      <c r="P258" s="6"/>
    </row>
    <row r="259" spans="1:16">
      <c r="A259" s="25"/>
      <c r="B259" s="26" t="s">
        <v>771</v>
      </c>
      <c r="C259" t="s">
        <v>772</v>
      </c>
      <c r="D259" t="s">
        <v>773</v>
      </c>
      <c r="E259" s="6">
        <v>46055.380486111098</v>
      </c>
      <c r="G259" s="5" t="s">
        <v>397</v>
      </c>
      <c r="H259" t="s">
        <v>309</v>
      </c>
      <c r="I25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256</v>
      </c>
      <c r="M259" s="7" t="str">
        <f>IFERROR(IF(OR(LINEA24[[#This Row],[Fecha_Informe]]="",LINEA24[[#This Row],[FechaRecepcion]]=""),"",INT(LINEA24[[#This Row],[Fecha_Informe]])-INT(LINEA24[[#This Row],[FechaRecepcion]])),"")</f>
        <v/>
      </c>
      <c r="O259" s="6"/>
      <c r="P259" s="6"/>
    </row>
    <row r="260" spans="1:16">
      <c r="A260" s="25"/>
      <c r="B260" s="26" t="s">
        <v>774</v>
      </c>
      <c r="C260" t="s">
        <v>775</v>
      </c>
      <c r="D260" t="s">
        <v>776</v>
      </c>
      <c r="E260" s="6">
        <v>46055.5092939815</v>
      </c>
      <c r="G260" s="5" t="s">
        <v>397</v>
      </c>
      <c r="H260" t="s">
        <v>309</v>
      </c>
      <c r="I26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256</v>
      </c>
      <c r="M260" s="7" t="str">
        <f>IFERROR(IF(OR(LINEA24[[#This Row],[Fecha_Informe]]="",LINEA24[[#This Row],[FechaRecepcion]]=""),"",INT(LINEA24[[#This Row],[Fecha_Informe]])-INT(LINEA24[[#This Row],[FechaRecepcion]])),"")</f>
        <v/>
      </c>
      <c r="O260" s="6"/>
      <c r="P260" s="6"/>
    </row>
    <row r="261" spans="1:16">
      <c r="A261" s="25"/>
      <c r="B261" s="26" t="s">
        <v>777</v>
      </c>
      <c r="C261" t="s">
        <v>778</v>
      </c>
      <c r="D261" t="s">
        <v>779</v>
      </c>
      <c r="E261" s="6">
        <v>46055.5683333333</v>
      </c>
      <c r="G261" s="5" t="s">
        <v>397</v>
      </c>
      <c r="H261" t="s">
        <v>309</v>
      </c>
      <c r="I26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256</v>
      </c>
      <c r="M261" s="7" t="str">
        <f>IFERROR(IF(OR(LINEA24[[#This Row],[Fecha_Informe]]="",LINEA24[[#This Row],[FechaRecepcion]]=""),"",INT(LINEA24[[#This Row],[Fecha_Informe]])-INT(LINEA24[[#This Row],[FechaRecepcion]])),"")</f>
        <v/>
      </c>
      <c r="O261" s="6"/>
      <c r="P261" s="6"/>
    </row>
    <row r="262" spans="1:16">
      <c r="A262" s="25"/>
      <c r="B262" s="26" t="s">
        <v>780</v>
      </c>
      <c r="C262" t="s">
        <v>781</v>
      </c>
      <c r="D262" t="s">
        <v>782</v>
      </c>
      <c r="E262" s="6">
        <v>46055.602546296301</v>
      </c>
      <c r="G262" s="5" t="s">
        <v>397</v>
      </c>
      <c r="H262" t="s">
        <v>309</v>
      </c>
      <c r="I26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256</v>
      </c>
      <c r="M262" s="7" t="str">
        <f>IFERROR(IF(OR(LINEA24[[#This Row],[Fecha_Informe]]="",LINEA24[[#This Row],[FechaRecepcion]]=""),"",INT(LINEA24[[#This Row],[Fecha_Informe]])-INT(LINEA24[[#This Row],[FechaRecepcion]])),"")</f>
        <v/>
      </c>
      <c r="O262" s="6"/>
      <c r="P262" s="6"/>
    </row>
    <row r="263" spans="1:16">
      <c r="A263" s="25"/>
      <c r="B263" s="26" t="s">
        <v>783</v>
      </c>
      <c r="C263" t="s">
        <v>784</v>
      </c>
      <c r="E263" s="6">
        <v>46055.692534722199</v>
      </c>
      <c r="G263" s="5" t="s">
        <v>400</v>
      </c>
      <c r="H263" t="s">
        <v>309</v>
      </c>
      <c r="I26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256</v>
      </c>
      <c r="M263" s="7" t="str">
        <f>IFERROR(IF(OR(LINEA24[[#This Row],[Fecha_Informe]]="",LINEA24[[#This Row],[FechaRecepcion]]=""),"",INT(LINEA24[[#This Row],[Fecha_Informe]])-INT(LINEA24[[#This Row],[FechaRecepcion]])),"")</f>
        <v/>
      </c>
      <c r="O263" s="6"/>
      <c r="P263" s="6"/>
    </row>
    <row r="264" spans="1:16">
      <c r="A264" s="25"/>
      <c r="B264" s="26" t="s">
        <v>785</v>
      </c>
      <c r="C264" t="s">
        <v>786</v>
      </c>
      <c r="D264" t="s">
        <v>787</v>
      </c>
      <c r="E264" s="6">
        <v>46056.337222222202</v>
      </c>
      <c r="G264" s="5" t="s">
        <v>397</v>
      </c>
      <c r="H264" t="s">
        <v>309</v>
      </c>
      <c r="I26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255</v>
      </c>
      <c r="M264" s="7" t="str">
        <f>IFERROR(IF(OR(LINEA24[[#This Row],[Fecha_Informe]]="",LINEA24[[#This Row],[FechaRecepcion]]=""),"",INT(LINEA24[[#This Row],[Fecha_Informe]])-INT(LINEA24[[#This Row],[FechaRecepcion]])),"")</f>
        <v/>
      </c>
      <c r="O264" s="6"/>
      <c r="P264" s="6"/>
    </row>
    <row r="265" spans="1:16">
      <c r="A265" s="25"/>
      <c r="B265" s="26" t="s">
        <v>788</v>
      </c>
      <c r="C265" t="s">
        <v>789</v>
      </c>
      <c r="D265" t="s">
        <v>790</v>
      </c>
      <c r="E265" s="6">
        <v>46056.352303240703</v>
      </c>
      <c r="G265" s="5" t="s">
        <v>397</v>
      </c>
      <c r="H265" t="s">
        <v>309</v>
      </c>
      <c r="I26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255</v>
      </c>
      <c r="M265" s="7" t="str">
        <f>IFERROR(IF(OR(LINEA24[[#This Row],[Fecha_Informe]]="",LINEA24[[#This Row],[FechaRecepcion]]=""),"",INT(LINEA24[[#This Row],[Fecha_Informe]])-INT(LINEA24[[#This Row],[FechaRecepcion]])),"")</f>
        <v/>
      </c>
      <c r="O265" s="6"/>
      <c r="P265" s="6"/>
    </row>
    <row r="266" spans="1:16">
      <c r="A266" s="25"/>
      <c r="B266" s="26" t="s">
        <v>791</v>
      </c>
      <c r="C266" t="s">
        <v>792</v>
      </c>
      <c r="D266" t="s">
        <v>793</v>
      </c>
      <c r="E266" s="6">
        <v>46056.384398148097</v>
      </c>
      <c r="G266" s="5" t="s">
        <v>397</v>
      </c>
      <c r="H266" t="s">
        <v>309</v>
      </c>
      <c r="I26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255</v>
      </c>
      <c r="M266" s="7" t="str">
        <f>IFERROR(IF(OR(LINEA24[[#This Row],[Fecha_Informe]]="",LINEA24[[#This Row],[FechaRecepcion]]=""),"",INT(LINEA24[[#This Row],[Fecha_Informe]])-INT(LINEA24[[#This Row],[FechaRecepcion]])),"")</f>
        <v/>
      </c>
      <c r="O266" s="6"/>
      <c r="P266" s="6"/>
    </row>
    <row r="267" spans="1:16">
      <c r="A267" s="25"/>
      <c r="B267" s="27" t="s">
        <v>794</v>
      </c>
      <c r="C267" t="s">
        <v>795</v>
      </c>
      <c r="D267" t="s">
        <v>796</v>
      </c>
      <c r="E267" s="6">
        <v>46056.393310185202</v>
      </c>
      <c r="G267" s="5" t="s">
        <v>397</v>
      </c>
      <c r="H267" t="s">
        <v>309</v>
      </c>
      <c r="I26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255</v>
      </c>
      <c r="M267" s="7" t="str">
        <f>IFERROR(IF(OR(LINEA24[[#This Row],[Fecha_Informe]]="",LINEA24[[#This Row],[FechaRecepcion]]=""),"",INT(LINEA24[[#This Row],[Fecha_Informe]])-INT(LINEA24[[#This Row],[FechaRecepcion]])),"")</f>
        <v/>
      </c>
      <c r="O267" s="6"/>
      <c r="P267" s="6"/>
    </row>
    <row r="268" spans="1:16">
      <c r="A268" s="25"/>
      <c r="B268" s="26" t="s">
        <v>797</v>
      </c>
      <c r="C268" t="s">
        <v>798</v>
      </c>
      <c r="D268" t="s">
        <v>799</v>
      </c>
      <c r="E268" s="6">
        <v>46056.543715277803</v>
      </c>
      <c r="G268" s="5" t="s">
        <v>397</v>
      </c>
      <c r="H268" t="s">
        <v>309</v>
      </c>
      <c r="I26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255</v>
      </c>
      <c r="M268" s="7" t="str">
        <f>IFERROR(IF(OR(LINEA24[[#This Row],[Fecha_Informe]]="",LINEA24[[#This Row],[FechaRecepcion]]=""),"",INT(LINEA24[[#This Row],[Fecha_Informe]])-INT(LINEA24[[#This Row],[FechaRecepcion]])),"")</f>
        <v/>
      </c>
      <c r="O268" s="6"/>
      <c r="P268" s="6"/>
    </row>
    <row r="269" spans="1:16">
      <c r="A269" s="25"/>
      <c r="B269" s="26" t="s">
        <v>800</v>
      </c>
      <c r="C269" t="s">
        <v>801</v>
      </c>
      <c r="D269" t="s">
        <v>802</v>
      </c>
      <c r="E269" s="6">
        <v>46056.582997685196</v>
      </c>
      <c r="G269" s="5" t="s">
        <v>397</v>
      </c>
      <c r="H269" t="s">
        <v>309</v>
      </c>
      <c r="I26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255</v>
      </c>
      <c r="M269" s="7" t="str">
        <f>IFERROR(IF(OR(LINEA24[[#This Row],[Fecha_Informe]]="",LINEA24[[#This Row],[FechaRecepcion]]=""),"",INT(LINEA24[[#This Row],[Fecha_Informe]])-INT(LINEA24[[#This Row],[FechaRecepcion]])),"")</f>
        <v/>
      </c>
      <c r="O269" s="6"/>
      <c r="P269" s="6"/>
    </row>
    <row r="270" spans="1:16">
      <c r="A270" s="25"/>
      <c r="B270" s="26" t="s">
        <v>803</v>
      </c>
      <c r="C270" t="s">
        <v>804</v>
      </c>
      <c r="D270" t="s">
        <v>805</v>
      </c>
      <c r="E270" s="6">
        <v>46057.394699074102</v>
      </c>
      <c r="G270" s="5" t="s">
        <v>397</v>
      </c>
      <c r="H270" t="s">
        <v>309</v>
      </c>
      <c r="I27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254</v>
      </c>
      <c r="M270" s="7" t="str">
        <f>IFERROR(IF(OR(LINEA24[[#This Row],[Fecha_Informe]]="",LINEA24[[#This Row],[FechaRecepcion]]=""),"",INT(LINEA24[[#This Row],[Fecha_Informe]])-INT(LINEA24[[#This Row],[FechaRecepcion]])),"")</f>
        <v/>
      </c>
      <c r="O270" s="6"/>
      <c r="P270" s="6"/>
    </row>
    <row r="271" spans="1:16">
      <c r="A271" s="25"/>
      <c r="B271" s="26" t="s">
        <v>806</v>
      </c>
      <c r="C271" t="s">
        <v>807</v>
      </c>
      <c r="D271" t="s">
        <v>808</v>
      </c>
      <c r="E271" s="6">
        <v>46057.397280092599</v>
      </c>
      <c r="G271" s="5" t="s">
        <v>397</v>
      </c>
      <c r="H271" t="s">
        <v>309</v>
      </c>
      <c r="I27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254</v>
      </c>
      <c r="M271" s="7" t="str">
        <f>IFERROR(IF(OR(LINEA24[[#This Row],[Fecha_Informe]]="",LINEA24[[#This Row],[FechaRecepcion]]=""),"",INT(LINEA24[[#This Row],[Fecha_Informe]])-INT(LINEA24[[#This Row],[FechaRecepcion]])),"")</f>
        <v/>
      </c>
      <c r="O271" s="6"/>
      <c r="P271" s="6"/>
    </row>
    <row r="272" spans="1:16">
      <c r="A272" s="25"/>
      <c r="B272" s="27" t="s">
        <v>809</v>
      </c>
      <c r="C272" t="s">
        <v>810</v>
      </c>
      <c r="D272" t="s">
        <v>811</v>
      </c>
      <c r="E272" s="6">
        <v>46057.4307638889</v>
      </c>
      <c r="G272" s="5" t="s">
        <v>397</v>
      </c>
      <c r="H272" t="s">
        <v>309</v>
      </c>
      <c r="I27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254</v>
      </c>
      <c r="M272" s="7" t="str">
        <f>IFERROR(IF(OR(LINEA24[[#This Row],[Fecha_Informe]]="",LINEA24[[#This Row],[FechaRecepcion]]=""),"",INT(LINEA24[[#This Row],[Fecha_Informe]])-INT(LINEA24[[#This Row],[FechaRecepcion]])),"")</f>
        <v/>
      </c>
      <c r="O272" s="6"/>
      <c r="P272" s="6"/>
    </row>
    <row r="273" spans="1:16">
      <c r="A273" s="25"/>
      <c r="B273" s="26" t="s">
        <v>812</v>
      </c>
      <c r="C273" t="s">
        <v>813</v>
      </c>
      <c r="D273" t="s">
        <v>814</v>
      </c>
      <c r="E273" s="6">
        <v>46058.427893518499</v>
      </c>
      <c r="G273" s="5" t="s">
        <v>397</v>
      </c>
      <c r="H273" t="s">
        <v>309</v>
      </c>
      <c r="I27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253</v>
      </c>
      <c r="M273" s="7" t="str">
        <f>IFERROR(IF(OR(LINEA24[[#This Row],[Fecha_Informe]]="",LINEA24[[#This Row],[FechaRecepcion]]=""),"",INT(LINEA24[[#This Row],[Fecha_Informe]])-INT(LINEA24[[#This Row],[FechaRecepcion]])),"")</f>
        <v/>
      </c>
      <c r="O273" s="6"/>
      <c r="P273" s="6"/>
    </row>
    <row r="274" spans="1:16">
      <c r="A274" s="25"/>
      <c r="B274" s="27" t="s">
        <v>815</v>
      </c>
      <c r="C274" t="s">
        <v>816</v>
      </c>
      <c r="D274" t="s">
        <v>817</v>
      </c>
      <c r="E274" s="6">
        <v>46058.519861111097</v>
      </c>
      <c r="G274" s="5" t="s">
        <v>397</v>
      </c>
      <c r="H274" t="s">
        <v>309</v>
      </c>
      <c r="I27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253</v>
      </c>
      <c r="M274" s="7" t="str">
        <f>IFERROR(IF(OR(LINEA24[[#This Row],[Fecha_Informe]]="",LINEA24[[#This Row],[FechaRecepcion]]=""),"",INT(LINEA24[[#This Row],[Fecha_Informe]])-INT(LINEA24[[#This Row],[FechaRecepcion]])),"")</f>
        <v/>
      </c>
      <c r="O274" s="6"/>
      <c r="P274" s="6"/>
    </row>
    <row r="275" spans="1:16">
      <c r="A275" s="25"/>
      <c r="B275" s="26" t="s">
        <v>818</v>
      </c>
      <c r="C275" t="s">
        <v>819</v>
      </c>
      <c r="D275" t="s">
        <v>820</v>
      </c>
      <c r="E275" s="6">
        <v>46059.3538541667</v>
      </c>
      <c r="G275" s="5" t="s">
        <v>397</v>
      </c>
      <c r="H275" t="s">
        <v>309</v>
      </c>
      <c r="I27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252</v>
      </c>
      <c r="M275" s="7" t="str">
        <f>IFERROR(IF(OR(LINEA24[[#This Row],[Fecha_Informe]]="",LINEA24[[#This Row],[FechaRecepcion]]=""),"",INT(LINEA24[[#This Row],[Fecha_Informe]])-INT(LINEA24[[#This Row],[FechaRecepcion]])),"")</f>
        <v/>
      </c>
      <c r="O275" s="6"/>
      <c r="P275" s="6"/>
    </row>
    <row r="276" spans="1:16">
      <c r="A276" s="25"/>
      <c r="B276" s="26" t="s">
        <v>821</v>
      </c>
      <c r="C276" t="s">
        <v>822</v>
      </c>
      <c r="E276" s="6">
        <v>46058.772743055597</v>
      </c>
      <c r="G276" s="5" t="s">
        <v>400</v>
      </c>
      <c r="H276" t="s">
        <v>309</v>
      </c>
      <c r="I27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253</v>
      </c>
      <c r="M276" s="7" t="str">
        <f>IFERROR(IF(OR(LINEA24[[#This Row],[Fecha_Informe]]="",LINEA24[[#This Row],[FechaRecepcion]]=""),"",INT(LINEA24[[#This Row],[Fecha_Informe]])-INT(LINEA24[[#This Row],[FechaRecepcion]])),"")</f>
        <v/>
      </c>
      <c r="O276" s="6"/>
      <c r="P276" s="6"/>
    </row>
    <row r="277" spans="1:16">
      <c r="A277" s="25"/>
      <c r="B277" s="26" t="s">
        <v>823</v>
      </c>
      <c r="C277" t="s">
        <v>824</v>
      </c>
      <c r="D277" t="s">
        <v>825</v>
      </c>
      <c r="E277" s="6">
        <v>46059.572534722203</v>
      </c>
      <c r="G277" s="5" t="s">
        <v>397</v>
      </c>
      <c r="H277" t="s">
        <v>309</v>
      </c>
      <c r="I27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252</v>
      </c>
      <c r="M277" s="7" t="str">
        <f>IFERROR(IF(OR(LINEA24[[#This Row],[Fecha_Informe]]="",LINEA24[[#This Row],[FechaRecepcion]]=""),"",INT(LINEA24[[#This Row],[Fecha_Informe]])-INT(LINEA24[[#This Row],[FechaRecepcion]])),"")</f>
        <v/>
      </c>
      <c r="O277" s="6"/>
      <c r="P277" s="6"/>
    </row>
    <row r="278" spans="1:16">
      <c r="A278" s="25"/>
      <c r="B278" s="26" t="s">
        <v>826</v>
      </c>
      <c r="C278" t="s">
        <v>827</v>
      </c>
      <c r="E278" s="6">
        <v>46060.440057870401</v>
      </c>
      <c r="G278" s="5" t="s">
        <v>400</v>
      </c>
      <c r="H278" t="s">
        <v>309</v>
      </c>
      <c r="I27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251</v>
      </c>
      <c r="M278" s="7" t="str">
        <f>IFERROR(IF(OR(LINEA24[[#This Row],[Fecha_Informe]]="",LINEA24[[#This Row],[FechaRecepcion]]=""),"",INT(LINEA24[[#This Row],[Fecha_Informe]])-INT(LINEA24[[#This Row],[FechaRecepcion]])),"")</f>
        <v/>
      </c>
      <c r="O278" s="6"/>
      <c r="P278" s="6"/>
    </row>
    <row r="279" spans="1:16">
      <c r="A279" s="25"/>
      <c r="B279" s="27" t="s">
        <v>828</v>
      </c>
      <c r="C279" t="s">
        <v>829</v>
      </c>
      <c r="D279" t="s">
        <v>830</v>
      </c>
      <c r="E279" s="6">
        <v>46062.597685185203</v>
      </c>
      <c r="G279" s="5" t="s">
        <v>397</v>
      </c>
      <c r="H279" t="s">
        <v>309</v>
      </c>
      <c r="I27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249</v>
      </c>
      <c r="M279" s="7" t="str">
        <f>IFERROR(IF(OR(LINEA24[[#This Row],[Fecha_Informe]]="",LINEA24[[#This Row],[FechaRecepcion]]=""),"",INT(LINEA24[[#This Row],[Fecha_Informe]])-INT(LINEA24[[#This Row],[FechaRecepcion]])),"")</f>
        <v/>
      </c>
      <c r="O279" s="6"/>
      <c r="P279" s="6"/>
    </row>
    <row r="280" spans="1:16">
      <c r="A280" s="25"/>
      <c r="B280" s="27" t="s">
        <v>831</v>
      </c>
      <c r="C280" t="s">
        <v>832</v>
      </c>
      <c r="E280" s="6">
        <v>46062.851759259298</v>
      </c>
      <c r="G280" s="5" t="s">
        <v>400</v>
      </c>
      <c r="H280" t="s">
        <v>309</v>
      </c>
      <c r="I28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249</v>
      </c>
      <c r="M280" s="7" t="str">
        <f>IFERROR(IF(OR(LINEA24[[#This Row],[Fecha_Informe]]="",LINEA24[[#This Row],[FechaRecepcion]]=""),"",INT(LINEA24[[#This Row],[Fecha_Informe]])-INT(LINEA24[[#This Row],[FechaRecepcion]])),"")</f>
        <v/>
      </c>
      <c r="O280" s="6"/>
      <c r="P280" s="6"/>
    </row>
    <row r="281" spans="1:16">
      <c r="A281" s="25"/>
      <c r="B281" s="26" t="s">
        <v>833</v>
      </c>
      <c r="C281" t="s">
        <v>834</v>
      </c>
      <c r="E281" s="6">
        <v>46062.866493055597</v>
      </c>
      <c r="G281" s="5" t="s">
        <v>400</v>
      </c>
      <c r="H281" t="s">
        <v>309</v>
      </c>
      <c r="I28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249</v>
      </c>
      <c r="M281" s="7" t="str">
        <f>IFERROR(IF(OR(LINEA24[[#This Row],[Fecha_Informe]]="",LINEA24[[#This Row],[FechaRecepcion]]=""),"",INT(LINEA24[[#This Row],[Fecha_Informe]])-INT(LINEA24[[#This Row],[FechaRecepcion]])),"")</f>
        <v/>
      </c>
      <c r="O281" s="6"/>
      <c r="P281" s="6"/>
    </row>
    <row r="282" spans="1:16">
      <c r="A282" s="25"/>
      <c r="B282" s="27" t="s">
        <v>835</v>
      </c>
      <c r="C282" t="s">
        <v>836</v>
      </c>
      <c r="D282" t="s">
        <v>837</v>
      </c>
      <c r="E282" s="6">
        <v>46063.467638888898</v>
      </c>
      <c r="G282" s="5" t="s">
        <v>397</v>
      </c>
      <c r="H282" t="s">
        <v>309</v>
      </c>
      <c r="I28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248</v>
      </c>
      <c r="M282" s="7" t="str">
        <f>IFERROR(IF(OR(LINEA24[[#This Row],[Fecha_Informe]]="",LINEA24[[#This Row],[FechaRecepcion]]=""),"",INT(LINEA24[[#This Row],[Fecha_Informe]])-INT(LINEA24[[#This Row],[FechaRecepcion]])),"")</f>
        <v/>
      </c>
      <c r="O282" s="6"/>
      <c r="P282" s="6"/>
    </row>
    <row r="283" spans="1:16">
      <c r="A283" s="25"/>
      <c r="B283" s="26" t="s">
        <v>838</v>
      </c>
      <c r="C283" t="s">
        <v>839</v>
      </c>
      <c r="D283" t="s">
        <v>840</v>
      </c>
      <c r="E283" s="6">
        <v>46063.485127314802</v>
      </c>
      <c r="G283" s="5" t="s">
        <v>397</v>
      </c>
      <c r="H283" t="s">
        <v>309</v>
      </c>
      <c r="I28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248</v>
      </c>
      <c r="M283" s="7" t="str">
        <f>IFERROR(IF(OR(LINEA24[[#This Row],[Fecha_Informe]]="",LINEA24[[#This Row],[FechaRecepcion]]=""),"",INT(LINEA24[[#This Row],[Fecha_Informe]])-INT(LINEA24[[#This Row],[FechaRecepcion]])),"")</f>
        <v/>
      </c>
      <c r="O283" s="6"/>
      <c r="P283" s="6"/>
    </row>
    <row r="284" spans="1:16">
      <c r="A284" s="25"/>
      <c r="B284" s="27" t="s">
        <v>841</v>
      </c>
      <c r="C284" t="s">
        <v>842</v>
      </c>
      <c r="D284" t="s">
        <v>843</v>
      </c>
      <c r="E284" s="6">
        <v>46064.485729166699</v>
      </c>
      <c r="G284" s="5" t="s">
        <v>397</v>
      </c>
      <c r="H284" t="s">
        <v>309</v>
      </c>
      <c r="I28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247</v>
      </c>
      <c r="M284" s="7" t="str">
        <f>IFERROR(IF(OR(LINEA24[[#This Row],[Fecha_Informe]]="",LINEA24[[#This Row],[FechaRecepcion]]=""),"",INT(LINEA24[[#This Row],[Fecha_Informe]])-INT(LINEA24[[#This Row],[FechaRecepcion]])),"")</f>
        <v/>
      </c>
      <c r="O284" s="6"/>
      <c r="P284" s="6"/>
    </row>
    <row r="285" spans="1:16">
      <c r="A285" s="25"/>
      <c r="B285" s="26" t="s">
        <v>844</v>
      </c>
      <c r="C285" t="s">
        <v>845</v>
      </c>
      <c r="D285" t="s">
        <v>846</v>
      </c>
      <c r="E285" s="6">
        <v>46064.548969907402</v>
      </c>
      <c r="G285" s="5" t="s">
        <v>397</v>
      </c>
      <c r="H285" t="s">
        <v>309</v>
      </c>
      <c r="I28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247</v>
      </c>
      <c r="M285" s="7" t="str">
        <f>IFERROR(IF(OR(LINEA24[[#This Row],[Fecha_Informe]]="",LINEA24[[#This Row],[FechaRecepcion]]=""),"",INT(LINEA24[[#This Row],[Fecha_Informe]])-INT(LINEA24[[#This Row],[FechaRecepcion]])),"")</f>
        <v/>
      </c>
      <c r="O285" s="6"/>
      <c r="P285" s="6"/>
    </row>
    <row r="286" spans="1:16">
      <c r="A286" s="25"/>
      <c r="B286" s="27" t="s">
        <v>847</v>
      </c>
      <c r="C286" t="s">
        <v>848</v>
      </c>
      <c r="D286" t="s">
        <v>849</v>
      </c>
      <c r="E286" s="6">
        <v>46065.3563194444</v>
      </c>
      <c r="G286" s="5" t="s">
        <v>397</v>
      </c>
      <c r="H286" t="s">
        <v>309</v>
      </c>
      <c r="I28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246</v>
      </c>
      <c r="M286" s="7" t="str">
        <f>IFERROR(IF(OR(LINEA24[[#This Row],[Fecha_Informe]]="",LINEA24[[#This Row],[FechaRecepcion]]=""),"",INT(LINEA24[[#This Row],[Fecha_Informe]])-INT(LINEA24[[#This Row],[FechaRecepcion]])),"")</f>
        <v/>
      </c>
      <c r="O286" s="6"/>
      <c r="P286" s="6"/>
    </row>
    <row r="287" spans="1:16">
      <c r="A287" s="25"/>
      <c r="B287" s="26" t="s">
        <v>850</v>
      </c>
      <c r="C287" t="s">
        <v>851</v>
      </c>
      <c r="D287" t="s">
        <v>852</v>
      </c>
      <c r="E287" s="6">
        <v>46065.5239814815</v>
      </c>
      <c r="G287" s="5" t="s">
        <v>397</v>
      </c>
      <c r="H287" t="s">
        <v>309</v>
      </c>
      <c r="I28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246</v>
      </c>
      <c r="M287" s="7" t="str">
        <f>IFERROR(IF(OR(LINEA24[[#This Row],[Fecha_Informe]]="",LINEA24[[#This Row],[FechaRecepcion]]=""),"",INT(LINEA24[[#This Row],[Fecha_Informe]])-INT(LINEA24[[#This Row],[FechaRecepcion]])),"")</f>
        <v/>
      </c>
      <c r="O287" s="6"/>
      <c r="P287" s="6"/>
    </row>
    <row r="288" spans="1:16">
      <c r="A288" s="25"/>
      <c r="B288" s="27" t="s">
        <v>853</v>
      </c>
      <c r="C288" t="s">
        <v>854</v>
      </c>
      <c r="D288" t="s">
        <v>855</v>
      </c>
      <c r="E288" s="6">
        <v>46066.390104166698</v>
      </c>
      <c r="G288" s="5" t="s">
        <v>397</v>
      </c>
      <c r="H288" t="s">
        <v>309</v>
      </c>
      <c r="I28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245</v>
      </c>
      <c r="M288" s="7" t="str">
        <f>IFERROR(IF(OR(LINEA24[[#This Row],[Fecha_Informe]]="",LINEA24[[#This Row],[FechaRecepcion]]=""),"",INT(LINEA24[[#This Row],[Fecha_Informe]])-INT(LINEA24[[#This Row],[FechaRecepcion]])),"")</f>
        <v/>
      </c>
      <c r="O288" s="6"/>
      <c r="P288" s="6"/>
    </row>
    <row r="289" spans="1:16">
      <c r="A289" s="25"/>
      <c r="B289" s="26" t="s">
        <v>856</v>
      </c>
      <c r="C289" t="s">
        <v>857</v>
      </c>
      <c r="D289" t="s">
        <v>858</v>
      </c>
      <c r="E289" s="6">
        <v>46066.402627314797</v>
      </c>
      <c r="G289" s="5" t="s">
        <v>397</v>
      </c>
      <c r="H289" t="s">
        <v>309</v>
      </c>
      <c r="I28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245</v>
      </c>
      <c r="M289" s="7" t="str">
        <f>IFERROR(IF(OR(LINEA24[[#This Row],[Fecha_Informe]]="",LINEA24[[#This Row],[FechaRecepcion]]=""),"",INT(LINEA24[[#This Row],[Fecha_Informe]])-INT(LINEA24[[#This Row],[FechaRecepcion]])),"")</f>
        <v/>
      </c>
      <c r="O289" s="6"/>
      <c r="P289" s="6"/>
    </row>
    <row r="290" spans="1:16">
      <c r="A290" s="25"/>
      <c r="B290" s="26" t="s">
        <v>859</v>
      </c>
      <c r="C290" t="s">
        <v>860</v>
      </c>
      <c r="D290" t="s">
        <v>861</v>
      </c>
      <c r="E290" s="6">
        <v>46066.456979166702</v>
      </c>
      <c r="G290" s="5" t="s">
        <v>397</v>
      </c>
      <c r="H290" t="s">
        <v>309</v>
      </c>
      <c r="I29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245</v>
      </c>
      <c r="M290" s="7" t="str">
        <f>IFERROR(IF(OR(LINEA24[[#This Row],[Fecha_Informe]]="",LINEA24[[#This Row],[FechaRecepcion]]=""),"",INT(LINEA24[[#This Row],[Fecha_Informe]])-INT(LINEA24[[#This Row],[FechaRecepcion]])),"")</f>
        <v/>
      </c>
      <c r="O290" s="6"/>
      <c r="P290" s="6"/>
    </row>
    <row r="291" spans="1:16">
      <c r="A291" s="25"/>
      <c r="B291" s="26" t="s">
        <v>862</v>
      </c>
      <c r="C291" t="s">
        <v>863</v>
      </c>
      <c r="E291" s="6">
        <v>46065.887002314797</v>
      </c>
      <c r="G291" s="5" t="s">
        <v>400</v>
      </c>
      <c r="H291" t="s">
        <v>309</v>
      </c>
      <c r="I29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246</v>
      </c>
      <c r="M291" s="7" t="str">
        <f>IFERROR(IF(OR(LINEA24[[#This Row],[Fecha_Informe]]="",LINEA24[[#This Row],[FechaRecepcion]]=""),"",INT(LINEA24[[#This Row],[Fecha_Informe]])-INT(LINEA24[[#This Row],[FechaRecepcion]])),"")</f>
        <v/>
      </c>
      <c r="O291" s="6"/>
      <c r="P291" s="6"/>
    </row>
    <row r="292" spans="1:16">
      <c r="A292" s="25"/>
      <c r="B292" s="26" t="s">
        <v>864</v>
      </c>
      <c r="C292" t="s">
        <v>865</v>
      </c>
      <c r="D292" t="s">
        <v>866</v>
      </c>
      <c r="E292" s="6">
        <v>46069.444687499999</v>
      </c>
      <c r="G292" s="5" t="s">
        <v>397</v>
      </c>
      <c r="H292" t="s">
        <v>309</v>
      </c>
      <c r="I29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242</v>
      </c>
      <c r="M292" s="7" t="str">
        <f>IFERROR(IF(OR(LINEA24[[#This Row],[Fecha_Informe]]="",LINEA24[[#This Row],[FechaRecepcion]]=""),"",INT(LINEA24[[#This Row],[Fecha_Informe]])-INT(LINEA24[[#This Row],[FechaRecepcion]])),"")</f>
        <v/>
      </c>
      <c r="O292" s="6"/>
      <c r="P292" s="6"/>
    </row>
    <row r="293" spans="1:16">
      <c r="A293" s="25"/>
      <c r="B293" s="26" t="s">
        <v>867</v>
      </c>
      <c r="C293" t="s">
        <v>868</v>
      </c>
      <c r="D293" t="s">
        <v>869</v>
      </c>
      <c r="E293" s="6">
        <v>46069.474155092597</v>
      </c>
      <c r="G293" s="5" t="s">
        <v>397</v>
      </c>
      <c r="H293" t="s">
        <v>309</v>
      </c>
      <c r="I29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242</v>
      </c>
      <c r="M293" s="7" t="str">
        <f>IFERROR(IF(OR(LINEA24[[#This Row],[Fecha_Informe]]="",LINEA24[[#This Row],[FechaRecepcion]]=""),"",INT(LINEA24[[#This Row],[Fecha_Informe]])-INT(LINEA24[[#This Row],[FechaRecepcion]])),"")</f>
        <v/>
      </c>
      <c r="O293" s="6"/>
      <c r="P293" s="6"/>
    </row>
    <row r="294" spans="1:16">
      <c r="A294" s="25"/>
      <c r="B294" s="27" t="s">
        <v>870</v>
      </c>
      <c r="C294" t="s">
        <v>851</v>
      </c>
      <c r="D294" t="s">
        <v>852</v>
      </c>
      <c r="E294" s="6">
        <v>46069.531597222202</v>
      </c>
      <c r="G294" s="5" t="s">
        <v>397</v>
      </c>
      <c r="H294" t="s">
        <v>309</v>
      </c>
      <c r="I29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242</v>
      </c>
      <c r="M294" s="7" t="str">
        <f>IFERROR(IF(OR(LINEA24[[#This Row],[Fecha_Informe]]="",LINEA24[[#This Row],[FechaRecepcion]]=""),"",INT(LINEA24[[#This Row],[Fecha_Informe]])-INT(LINEA24[[#This Row],[FechaRecepcion]])),"")</f>
        <v/>
      </c>
      <c r="O294" s="6"/>
      <c r="P294" s="6"/>
    </row>
    <row r="295" spans="1:16">
      <c r="A295" s="25"/>
      <c r="B295" s="26" t="s">
        <v>871</v>
      </c>
      <c r="C295" t="s">
        <v>839</v>
      </c>
      <c r="D295" t="s">
        <v>840</v>
      </c>
      <c r="E295" s="6">
        <v>46069.537789351903</v>
      </c>
      <c r="G295" s="5" t="s">
        <v>397</v>
      </c>
      <c r="H295" t="s">
        <v>309</v>
      </c>
      <c r="I29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242</v>
      </c>
      <c r="M295" s="7" t="str">
        <f>IFERROR(IF(OR(LINEA24[[#This Row],[Fecha_Informe]]="",LINEA24[[#This Row],[FechaRecepcion]]=""),"",INT(LINEA24[[#This Row],[Fecha_Informe]])-INT(LINEA24[[#This Row],[FechaRecepcion]])),"")</f>
        <v/>
      </c>
      <c r="O295" s="6"/>
      <c r="P295" s="6"/>
    </row>
    <row r="296" spans="1:16">
      <c r="A296" s="25"/>
      <c r="B296" s="26" t="s">
        <v>872</v>
      </c>
      <c r="C296" t="s">
        <v>873</v>
      </c>
      <c r="D296" t="s">
        <v>874</v>
      </c>
      <c r="E296" s="6">
        <v>46069.554375</v>
      </c>
      <c r="G296" s="5" t="s">
        <v>397</v>
      </c>
      <c r="H296" t="s">
        <v>309</v>
      </c>
      <c r="I29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242</v>
      </c>
      <c r="M296" s="7" t="str">
        <f>IFERROR(IF(OR(LINEA24[[#This Row],[Fecha_Informe]]="",LINEA24[[#This Row],[FechaRecepcion]]=""),"",INT(LINEA24[[#This Row],[Fecha_Informe]])-INT(LINEA24[[#This Row],[FechaRecepcion]])),"")</f>
        <v/>
      </c>
      <c r="O296" s="6"/>
      <c r="P296" s="6"/>
    </row>
    <row r="297" spans="1:16">
      <c r="A297" s="25"/>
      <c r="B297" s="26" t="s">
        <v>875</v>
      </c>
      <c r="C297" t="s">
        <v>876</v>
      </c>
      <c r="D297" t="s">
        <v>877</v>
      </c>
      <c r="E297" s="6">
        <v>46069.657789351899</v>
      </c>
      <c r="G297" s="5" t="s">
        <v>397</v>
      </c>
      <c r="H297" t="s">
        <v>309</v>
      </c>
      <c r="I29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242</v>
      </c>
      <c r="M297" s="7" t="str">
        <f>IFERROR(IF(OR(LINEA24[[#This Row],[Fecha_Informe]]="",LINEA24[[#This Row],[FechaRecepcion]]=""),"",INT(LINEA24[[#This Row],[Fecha_Informe]])-INT(LINEA24[[#This Row],[FechaRecepcion]])),"")</f>
        <v/>
      </c>
      <c r="O297" s="6"/>
      <c r="P297" s="6"/>
    </row>
    <row r="298" spans="1:16">
      <c r="A298" s="25"/>
      <c r="B298" s="26" t="s">
        <v>878</v>
      </c>
      <c r="C298" t="s">
        <v>879</v>
      </c>
      <c r="D298" t="s">
        <v>880</v>
      </c>
      <c r="E298" s="6">
        <v>46069.431828703702</v>
      </c>
      <c r="G298" s="5" t="s">
        <v>397</v>
      </c>
      <c r="H298" t="s">
        <v>309</v>
      </c>
      <c r="I29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242</v>
      </c>
      <c r="M298" s="7" t="str">
        <f>IFERROR(IF(OR(LINEA24[[#This Row],[Fecha_Informe]]="",LINEA24[[#This Row],[FechaRecepcion]]=""),"",INT(LINEA24[[#This Row],[Fecha_Informe]])-INT(LINEA24[[#This Row],[FechaRecepcion]])),"")</f>
        <v/>
      </c>
      <c r="O298" s="6"/>
      <c r="P298" s="6"/>
    </row>
    <row r="299" spans="1:16">
      <c r="A299" s="25"/>
      <c r="B299" s="26" t="s">
        <v>881</v>
      </c>
      <c r="C299" t="s">
        <v>882</v>
      </c>
      <c r="D299" t="s">
        <v>883</v>
      </c>
      <c r="E299" s="6">
        <v>46070.420983796299</v>
      </c>
      <c r="G299" s="5" t="s">
        <v>397</v>
      </c>
      <c r="H299" t="s">
        <v>309</v>
      </c>
      <c r="I29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241</v>
      </c>
      <c r="M299" s="7" t="str">
        <f>IFERROR(IF(OR(LINEA24[[#This Row],[Fecha_Informe]]="",LINEA24[[#This Row],[FechaRecepcion]]=""),"",INT(LINEA24[[#This Row],[Fecha_Informe]])-INT(LINEA24[[#This Row],[FechaRecepcion]])),"")</f>
        <v/>
      </c>
      <c r="O299" s="6"/>
      <c r="P299" s="6"/>
    </row>
    <row r="300" spans="1:16">
      <c r="A300" s="25"/>
      <c r="B300" s="26" t="s">
        <v>884</v>
      </c>
      <c r="C300" t="s">
        <v>885</v>
      </c>
      <c r="D300" t="s">
        <v>886</v>
      </c>
      <c r="E300" s="6">
        <v>46070.424606481502</v>
      </c>
      <c r="G300" s="5" t="s">
        <v>397</v>
      </c>
      <c r="H300" t="s">
        <v>309</v>
      </c>
      <c r="I30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241</v>
      </c>
      <c r="M300" s="7" t="str">
        <f>IFERROR(IF(OR(LINEA24[[#This Row],[Fecha_Informe]]="",LINEA24[[#This Row],[FechaRecepcion]]=""),"",INT(LINEA24[[#This Row],[Fecha_Informe]])-INT(LINEA24[[#This Row],[FechaRecepcion]])),"")</f>
        <v/>
      </c>
      <c r="O300" s="6"/>
      <c r="P300" s="6"/>
    </row>
    <row r="301" spans="1:16">
      <c r="A301" s="25"/>
      <c r="B301" s="26" t="s">
        <v>887</v>
      </c>
      <c r="C301" t="s">
        <v>888</v>
      </c>
      <c r="D301" t="s">
        <v>889</v>
      </c>
      <c r="E301" s="6">
        <v>46070.459178240701</v>
      </c>
      <c r="G301" s="5" t="s">
        <v>397</v>
      </c>
      <c r="H301" t="s">
        <v>309</v>
      </c>
      <c r="I30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241</v>
      </c>
      <c r="M301" s="7" t="str">
        <f>IFERROR(IF(OR(LINEA24[[#This Row],[Fecha_Informe]]="",LINEA24[[#This Row],[FechaRecepcion]]=""),"",INT(LINEA24[[#This Row],[Fecha_Informe]])-INT(LINEA24[[#This Row],[FechaRecepcion]])),"")</f>
        <v/>
      </c>
      <c r="O301" s="6"/>
      <c r="P301" s="6"/>
    </row>
    <row r="302" spans="1:16">
      <c r="A302" s="25"/>
      <c r="B302" s="26" t="s">
        <v>890</v>
      </c>
      <c r="C302" t="s">
        <v>891</v>
      </c>
      <c r="D302" t="s">
        <v>892</v>
      </c>
      <c r="E302" s="6">
        <v>46070.460763888899</v>
      </c>
      <c r="G302" s="5" t="s">
        <v>397</v>
      </c>
      <c r="H302" t="s">
        <v>309</v>
      </c>
      <c r="I30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241</v>
      </c>
      <c r="M302" s="7" t="str">
        <f>IFERROR(IF(OR(LINEA24[[#This Row],[Fecha_Informe]]="",LINEA24[[#This Row],[FechaRecepcion]]=""),"",INT(LINEA24[[#This Row],[Fecha_Informe]])-INT(LINEA24[[#This Row],[FechaRecepcion]])),"")</f>
        <v/>
      </c>
      <c r="O302" s="6"/>
      <c r="P302" s="6"/>
    </row>
    <row r="303" spans="1:16">
      <c r="A303" s="25"/>
      <c r="B303" s="26" t="s">
        <v>893</v>
      </c>
      <c r="C303" t="s">
        <v>894</v>
      </c>
      <c r="D303" t="s">
        <v>895</v>
      </c>
      <c r="E303" s="6">
        <v>46070.540856481501</v>
      </c>
      <c r="G303" s="5" t="s">
        <v>397</v>
      </c>
      <c r="H303" t="s">
        <v>309</v>
      </c>
      <c r="I30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241</v>
      </c>
      <c r="M303" s="7" t="str">
        <f>IFERROR(IF(OR(LINEA24[[#This Row],[Fecha_Informe]]="",LINEA24[[#This Row],[FechaRecepcion]]=""),"",INT(LINEA24[[#This Row],[Fecha_Informe]])-INT(LINEA24[[#This Row],[FechaRecepcion]])),"")</f>
        <v/>
      </c>
      <c r="O303" s="6"/>
      <c r="P303" s="6"/>
    </row>
    <row r="304" spans="1:16">
      <c r="A304" s="25"/>
      <c r="B304" s="26" t="s">
        <v>896</v>
      </c>
      <c r="C304" t="s">
        <v>897</v>
      </c>
      <c r="D304" t="s">
        <v>898</v>
      </c>
      <c r="E304" s="6">
        <v>46070.654166666704</v>
      </c>
      <c r="G304" s="5" t="s">
        <v>397</v>
      </c>
      <c r="H304" t="s">
        <v>309</v>
      </c>
      <c r="I30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241</v>
      </c>
      <c r="M304" s="7" t="str">
        <f>IFERROR(IF(OR(LINEA24[[#This Row],[Fecha_Informe]]="",LINEA24[[#This Row],[FechaRecepcion]]=""),"",INT(LINEA24[[#This Row],[Fecha_Informe]])-INT(LINEA24[[#This Row],[FechaRecepcion]])),"")</f>
        <v/>
      </c>
      <c r="O304" s="6"/>
      <c r="P304" s="6"/>
    </row>
    <row r="305" spans="1:16">
      <c r="A305" s="25"/>
      <c r="B305" s="26" t="s">
        <v>899</v>
      </c>
      <c r="C305" t="s">
        <v>900</v>
      </c>
      <c r="D305" t="s">
        <v>901</v>
      </c>
      <c r="E305" s="6">
        <v>46071.498506944401</v>
      </c>
      <c r="G305" s="5" t="s">
        <v>397</v>
      </c>
      <c r="H305" t="s">
        <v>309</v>
      </c>
      <c r="I30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240</v>
      </c>
      <c r="M305" s="7" t="str">
        <f>IFERROR(IF(OR(LINEA24[[#This Row],[Fecha_Informe]]="",LINEA24[[#This Row],[FechaRecepcion]]=""),"",INT(LINEA24[[#This Row],[Fecha_Informe]])-INT(LINEA24[[#This Row],[FechaRecepcion]])),"")</f>
        <v/>
      </c>
      <c r="O305" s="6"/>
      <c r="P305" s="6"/>
    </row>
    <row r="306" spans="1:16">
      <c r="A306" s="25"/>
      <c r="B306" s="26" t="s">
        <v>902</v>
      </c>
      <c r="C306" t="s">
        <v>903</v>
      </c>
      <c r="D306" t="s">
        <v>904</v>
      </c>
      <c r="E306" s="6">
        <v>46071.606458333299</v>
      </c>
      <c r="G306" s="5" t="s">
        <v>397</v>
      </c>
      <c r="H306" t="s">
        <v>309</v>
      </c>
      <c r="I30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240</v>
      </c>
      <c r="M306" s="7" t="str">
        <f>IFERROR(IF(OR(LINEA24[[#This Row],[Fecha_Informe]]="",LINEA24[[#This Row],[FechaRecepcion]]=""),"",INT(LINEA24[[#This Row],[Fecha_Informe]])-INT(LINEA24[[#This Row],[FechaRecepcion]])),"")</f>
        <v/>
      </c>
      <c r="O306" s="6"/>
      <c r="P306" s="6"/>
    </row>
    <row r="307" spans="1:16">
      <c r="A307" s="25"/>
      <c r="B307" s="26" t="s">
        <v>905</v>
      </c>
      <c r="C307" t="s">
        <v>906</v>
      </c>
      <c r="E307" s="6">
        <v>46070.751145833303</v>
      </c>
      <c r="G307" s="5" t="s">
        <v>400</v>
      </c>
      <c r="H307" t="s">
        <v>309</v>
      </c>
      <c r="I30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241</v>
      </c>
      <c r="M307" s="7" t="str">
        <f>IFERROR(IF(OR(LINEA24[[#This Row],[Fecha_Informe]]="",LINEA24[[#This Row],[FechaRecepcion]]=""),"",INT(LINEA24[[#This Row],[Fecha_Informe]])-INT(LINEA24[[#This Row],[FechaRecepcion]])),"")</f>
        <v/>
      </c>
      <c r="O307" s="6"/>
      <c r="P307" s="6"/>
    </row>
    <row r="308" spans="1:16">
      <c r="A308" s="25"/>
      <c r="B308" s="26" t="s">
        <v>907</v>
      </c>
      <c r="C308" t="s">
        <v>908</v>
      </c>
      <c r="E308" s="6">
        <v>46072.192071759302</v>
      </c>
      <c r="G308" s="5" t="s">
        <v>400</v>
      </c>
      <c r="H308" t="s">
        <v>309</v>
      </c>
      <c r="I30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239</v>
      </c>
      <c r="M308" s="7" t="str">
        <f>IFERROR(IF(OR(LINEA24[[#This Row],[Fecha_Informe]]="",LINEA24[[#This Row],[FechaRecepcion]]=""),"",INT(LINEA24[[#This Row],[Fecha_Informe]])-INT(LINEA24[[#This Row],[FechaRecepcion]])),"")</f>
        <v/>
      </c>
      <c r="O308" s="6"/>
      <c r="P308" s="6"/>
    </row>
    <row r="309" spans="1:16">
      <c r="A309" s="25"/>
      <c r="B309" s="26" t="s">
        <v>909</v>
      </c>
      <c r="C309" t="s">
        <v>910</v>
      </c>
      <c r="D309" t="s">
        <v>911</v>
      </c>
      <c r="E309" s="6">
        <v>46072.7053703704</v>
      </c>
      <c r="G309" s="5" t="s">
        <v>397</v>
      </c>
      <c r="H309" t="s">
        <v>309</v>
      </c>
      <c r="I30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239</v>
      </c>
      <c r="M309" s="7" t="str">
        <f>IFERROR(IF(OR(LINEA24[[#This Row],[Fecha_Informe]]="",LINEA24[[#This Row],[FechaRecepcion]]=""),"",INT(LINEA24[[#This Row],[Fecha_Informe]])-INT(LINEA24[[#This Row],[FechaRecepcion]])),"")</f>
        <v/>
      </c>
      <c r="O309" s="6"/>
      <c r="P309" s="6"/>
    </row>
    <row r="310" spans="1:16">
      <c r="A310" s="25"/>
      <c r="B310" s="26" t="s">
        <v>912</v>
      </c>
      <c r="C310" t="s">
        <v>879</v>
      </c>
      <c r="D310" t="s">
        <v>880</v>
      </c>
      <c r="E310" s="6">
        <v>46073.5281944444</v>
      </c>
      <c r="G310" s="5" t="s">
        <v>397</v>
      </c>
      <c r="H310" t="s">
        <v>309</v>
      </c>
      <c r="I31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238</v>
      </c>
      <c r="M310" s="7" t="str">
        <f>IFERROR(IF(OR(LINEA24[[#This Row],[Fecha_Informe]]="",LINEA24[[#This Row],[FechaRecepcion]]=""),"",INT(LINEA24[[#This Row],[Fecha_Informe]])-INT(LINEA24[[#This Row],[FechaRecepcion]])),"")</f>
        <v/>
      </c>
      <c r="O310" s="6"/>
      <c r="P310" s="6"/>
    </row>
    <row r="311" spans="1:16">
      <c r="A311" s="25"/>
      <c r="B311" s="26" t="s">
        <v>912</v>
      </c>
      <c r="C311" t="s">
        <v>879</v>
      </c>
      <c r="D311" t="s">
        <v>880</v>
      </c>
      <c r="E311" s="6">
        <v>46073.5281944444</v>
      </c>
      <c r="G311" s="5" t="s">
        <v>397</v>
      </c>
      <c r="H311" t="s">
        <v>309</v>
      </c>
      <c r="I31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238</v>
      </c>
      <c r="M311" s="7" t="str">
        <f>IFERROR(IF(OR(LINEA24[[#This Row],[Fecha_Informe]]="",LINEA24[[#This Row],[FechaRecepcion]]=""),"",INT(LINEA24[[#This Row],[Fecha_Informe]])-INT(LINEA24[[#This Row],[FechaRecepcion]])),"")</f>
        <v/>
      </c>
      <c r="O311" s="6"/>
      <c r="P311" s="6"/>
    </row>
    <row r="312" spans="1:16">
      <c r="A312" s="25"/>
      <c r="B312" s="26" t="s">
        <v>913</v>
      </c>
      <c r="C312" t="s">
        <v>914</v>
      </c>
      <c r="D312" t="s">
        <v>915</v>
      </c>
      <c r="E312" s="6">
        <v>46076.424895833297</v>
      </c>
      <c r="G312" s="5" t="s">
        <v>397</v>
      </c>
      <c r="H312" t="s">
        <v>309</v>
      </c>
      <c r="I31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235</v>
      </c>
      <c r="M312" s="7" t="str">
        <f>IFERROR(IF(OR(LINEA24[[#This Row],[Fecha_Informe]]="",LINEA24[[#This Row],[FechaRecepcion]]=""),"",INT(LINEA24[[#This Row],[Fecha_Informe]])-INT(LINEA24[[#This Row],[FechaRecepcion]])),"")</f>
        <v/>
      </c>
      <c r="O312" s="6"/>
      <c r="P312" s="6"/>
    </row>
    <row r="313" spans="1:16">
      <c r="A313" s="25"/>
      <c r="B313" s="26" t="s">
        <v>916</v>
      </c>
      <c r="C313" t="s">
        <v>917</v>
      </c>
      <c r="D313" t="s">
        <v>918</v>
      </c>
      <c r="E313" s="6">
        <v>46076.473483796297</v>
      </c>
      <c r="G313" s="5" t="s">
        <v>397</v>
      </c>
      <c r="H313" t="s">
        <v>309</v>
      </c>
      <c r="I31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235</v>
      </c>
      <c r="M313" s="7" t="str">
        <f>IFERROR(IF(OR(LINEA24[[#This Row],[Fecha_Informe]]="",LINEA24[[#This Row],[FechaRecepcion]]=""),"",INT(LINEA24[[#This Row],[Fecha_Informe]])-INT(LINEA24[[#This Row],[FechaRecepcion]])),"")</f>
        <v/>
      </c>
      <c r="O313" s="6"/>
      <c r="P313" s="6"/>
    </row>
    <row r="314" spans="1:16">
      <c r="A314" s="25"/>
      <c r="B314" s="26" t="s">
        <v>919</v>
      </c>
      <c r="C314" t="s">
        <v>920</v>
      </c>
      <c r="E314" s="6">
        <v>46074.581886574102</v>
      </c>
      <c r="G314" s="5" t="s">
        <v>400</v>
      </c>
      <c r="H314" t="s">
        <v>309</v>
      </c>
      <c r="I31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237</v>
      </c>
      <c r="M314" s="7" t="str">
        <f>IFERROR(IF(OR(LINEA24[[#This Row],[Fecha_Informe]]="",LINEA24[[#This Row],[FechaRecepcion]]=""),"",INT(LINEA24[[#This Row],[Fecha_Informe]])-INT(LINEA24[[#This Row],[FechaRecepcion]])),"")</f>
        <v/>
      </c>
      <c r="O314" s="6"/>
      <c r="P314" s="6"/>
    </row>
    <row r="315" spans="1:16">
      <c r="A315" s="25"/>
      <c r="B315" s="27" t="s">
        <v>921</v>
      </c>
      <c r="C315" t="s">
        <v>922</v>
      </c>
      <c r="E315" s="6">
        <v>46074.783310185201</v>
      </c>
      <c r="G315" s="5" t="s">
        <v>400</v>
      </c>
      <c r="H315" t="s">
        <v>309</v>
      </c>
      <c r="I31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237</v>
      </c>
      <c r="M315" s="7" t="str">
        <f>IFERROR(IF(OR(LINEA24[[#This Row],[Fecha_Informe]]="",LINEA24[[#This Row],[FechaRecepcion]]=""),"",INT(LINEA24[[#This Row],[Fecha_Informe]])-INT(LINEA24[[#This Row],[FechaRecepcion]])),"")</f>
        <v/>
      </c>
      <c r="O315" s="6"/>
      <c r="P315" s="6"/>
    </row>
    <row r="316" spans="1:16">
      <c r="A316" s="25"/>
      <c r="B316" s="27" t="s">
        <v>921</v>
      </c>
      <c r="C316" t="s">
        <v>922</v>
      </c>
      <c r="E316" s="6">
        <v>46074.784143518496</v>
      </c>
      <c r="G316" s="5" t="s">
        <v>400</v>
      </c>
      <c r="H316" t="s">
        <v>309</v>
      </c>
      <c r="I31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237</v>
      </c>
      <c r="M316" s="7" t="str">
        <f>IFERROR(IF(OR(LINEA24[[#This Row],[Fecha_Informe]]="",LINEA24[[#This Row],[FechaRecepcion]]=""),"",INT(LINEA24[[#This Row],[Fecha_Informe]])-INT(LINEA24[[#This Row],[FechaRecepcion]])),"")</f>
        <v/>
      </c>
      <c r="O316" s="6"/>
      <c r="P316" s="6"/>
    </row>
    <row r="317" spans="1:16">
      <c r="A317" s="25"/>
      <c r="B317" s="26" t="s">
        <v>921</v>
      </c>
      <c r="C317" t="s">
        <v>923</v>
      </c>
      <c r="E317" s="6">
        <v>46074.717141203699</v>
      </c>
      <c r="G317" s="5" t="s">
        <v>400</v>
      </c>
      <c r="H317" t="s">
        <v>309</v>
      </c>
      <c r="I31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237</v>
      </c>
      <c r="M317" s="7" t="str">
        <f>IFERROR(IF(OR(LINEA24[[#This Row],[Fecha_Informe]]="",LINEA24[[#This Row],[FechaRecepcion]]=""),"",INT(LINEA24[[#This Row],[Fecha_Informe]])-INT(LINEA24[[#This Row],[FechaRecepcion]])),"")</f>
        <v/>
      </c>
      <c r="O317" s="6"/>
      <c r="P317" s="6"/>
    </row>
    <row r="318" spans="1:16">
      <c r="A318" s="25"/>
      <c r="B318" s="26" t="s">
        <v>924</v>
      </c>
      <c r="C318" t="s">
        <v>599</v>
      </c>
      <c r="D318" t="s">
        <v>600</v>
      </c>
      <c r="E318" s="6">
        <v>46077.441319444399</v>
      </c>
      <c r="G318" s="5" t="s">
        <v>397</v>
      </c>
      <c r="H318" t="s">
        <v>309</v>
      </c>
      <c r="I31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234</v>
      </c>
      <c r="M318" s="7" t="str">
        <f>IFERROR(IF(OR(LINEA24[[#This Row],[Fecha_Informe]]="",LINEA24[[#This Row],[FechaRecepcion]]=""),"",INT(LINEA24[[#This Row],[Fecha_Informe]])-INT(LINEA24[[#This Row],[FechaRecepcion]])),"")</f>
        <v/>
      </c>
      <c r="O318" s="6"/>
      <c r="P318" s="6"/>
    </row>
    <row r="319" spans="1:16">
      <c r="A319" s="25"/>
      <c r="B319" s="26" t="s">
        <v>925</v>
      </c>
      <c r="C319" t="s">
        <v>926</v>
      </c>
      <c r="D319" t="s">
        <v>927</v>
      </c>
      <c r="E319" s="6">
        <v>46077.5059259259</v>
      </c>
      <c r="G319" s="5" t="s">
        <v>397</v>
      </c>
      <c r="H319" t="s">
        <v>309</v>
      </c>
      <c r="I31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234</v>
      </c>
      <c r="M319" s="7" t="str">
        <f>IFERROR(IF(OR(LINEA24[[#This Row],[Fecha_Informe]]="",LINEA24[[#This Row],[FechaRecepcion]]=""),"",INT(LINEA24[[#This Row],[Fecha_Informe]])-INT(LINEA24[[#This Row],[FechaRecepcion]])),"")</f>
        <v/>
      </c>
      <c r="O319" s="6"/>
      <c r="P319" s="6"/>
    </row>
    <row r="320" spans="1:16">
      <c r="A320" s="25"/>
      <c r="B320" s="26" t="s">
        <v>928</v>
      </c>
      <c r="C320" t="s">
        <v>929</v>
      </c>
      <c r="D320" t="s">
        <v>930</v>
      </c>
      <c r="E320" s="6">
        <v>46077.645902777796</v>
      </c>
      <c r="G320" s="5" t="s">
        <v>397</v>
      </c>
      <c r="H320" t="s">
        <v>309</v>
      </c>
      <c r="I32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234</v>
      </c>
      <c r="M320" s="7" t="str">
        <f>IFERROR(IF(OR(LINEA24[[#This Row],[Fecha_Informe]]="",LINEA24[[#This Row],[FechaRecepcion]]=""),"",INT(LINEA24[[#This Row],[Fecha_Informe]])-INT(LINEA24[[#This Row],[FechaRecepcion]])),"")</f>
        <v/>
      </c>
      <c r="O320" s="6"/>
      <c r="P320" s="6"/>
    </row>
    <row r="321" spans="1:16">
      <c r="A321" s="25"/>
      <c r="B321" s="26" t="s">
        <v>931</v>
      </c>
      <c r="C321" t="s">
        <v>932</v>
      </c>
      <c r="D321" t="s">
        <v>933</v>
      </c>
      <c r="E321" s="6">
        <v>46078.488217592603</v>
      </c>
      <c r="G321" s="5" t="s">
        <v>397</v>
      </c>
      <c r="H321" t="s">
        <v>309</v>
      </c>
      <c r="I32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233</v>
      </c>
      <c r="M321" s="7" t="str">
        <f>IFERROR(IF(OR(LINEA24[[#This Row],[Fecha_Informe]]="",LINEA24[[#This Row],[FechaRecepcion]]=""),"",INT(LINEA24[[#This Row],[Fecha_Informe]])-INT(LINEA24[[#This Row],[FechaRecepcion]])),"")</f>
        <v/>
      </c>
      <c r="O321" s="6"/>
      <c r="P321" s="6"/>
    </row>
    <row r="322" spans="1:16">
      <c r="A322" s="25"/>
      <c r="B322" s="26" t="s">
        <v>934</v>
      </c>
      <c r="C322" t="s">
        <v>935</v>
      </c>
      <c r="D322" t="s">
        <v>936</v>
      </c>
      <c r="E322" s="6">
        <v>46079.479155092602</v>
      </c>
      <c r="G322" s="5" t="s">
        <v>397</v>
      </c>
      <c r="H322" t="s">
        <v>309</v>
      </c>
      <c r="I32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232</v>
      </c>
      <c r="M322" s="7" t="str">
        <f>IFERROR(IF(OR(LINEA24[[#This Row],[Fecha_Informe]]="",LINEA24[[#This Row],[FechaRecepcion]]=""),"",INT(LINEA24[[#This Row],[Fecha_Informe]])-INT(LINEA24[[#This Row],[FechaRecepcion]])),"")</f>
        <v/>
      </c>
      <c r="O322" s="6"/>
      <c r="P322" s="6"/>
    </row>
    <row r="323" spans="1:16">
      <c r="A323" s="25"/>
      <c r="B323" s="26" t="s">
        <v>937</v>
      </c>
      <c r="C323" t="s">
        <v>938</v>
      </c>
      <c r="D323" t="s">
        <v>939</v>
      </c>
      <c r="E323" s="6">
        <v>46079.479884259301</v>
      </c>
      <c r="G323" s="5" t="s">
        <v>397</v>
      </c>
      <c r="H323" t="s">
        <v>309</v>
      </c>
      <c r="I32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232</v>
      </c>
      <c r="M323" s="7" t="str">
        <f>IFERROR(IF(OR(LINEA24[[#This Row],[Fecha_Informe]]="",LINEA24[[#This Row],[FechaRecepcion]]=""),"",INT(LINEA24[[#This Row],[Fecha_Informe]])-INT(LINEA24[[#This Row],[FechaRecepcion]])),"")</f>
        <v/>
      </c>
      <c r="O323" s="6"/>
      <c r="P323" s="6"/>
    </row>
    <row r="324" spans="1:16">
      <c r="A324" s="25"/>
      <c r="B324" s="26" t="s">
        <v>940</v>
      </c>
      <c r="C324" t="s">
        <v>941</v>
      </c>
      <c r="E324" s="6">
        <v>46079.446990740696</v>
      </c>
      <c r="G324" s="5" t="s">
        <v>400</v>
      </c>
      <c r="H324" t="s">
        <v>309</v>
      </c>
      <c r="I32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232</v>
      </c>
      <c r="M324" s="7" t="str">
        <f>IFERROR(IF(OR(LINEA24[[#This Row],[Fecha_Informe]]="",LINEA24[[#This Row],[FechaRecepcion]]=""),"",INT(LINEA24[[#This Row],[Fecha_Informe]])-INT(LINEA24[[#This Row],[FechaRecepcion]])),"")</f>
        <v/>
      </c>
      <c r="O324" s="6"/>
      <c r="P324" s="6"/>
    </row>
    <row r="325" spans="1:16">
      <c r="A325" s="25"/>
      <c r="B325" s="26" t="s">
        <v>942</v>
      </c>
      <c r="C325" t="s">
        <v>943</v>
      </c>
      <c r="D325" t="s">
        <v>944</v>
      </c>
      <c r="E325" s="6">
        <v>46080.428692129601</v>
      </c>
      <c r="G325" s="5" t="s">
        <v>397</v>
      </c>
      <c r="H325" t="s">
        <v>309</v>
      </c>
      <c r="I32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231</v>
      </c>
      <c r="M325" s="7" t="str">
        <f>IFERROR(IF(OR(LINEA24[[#This Row],[Fecha_Informe]]="",LINEA24[[#This Row],[FechaRecepcion]]=""),"",INT(LINEA24[[#This Row],[Fecha_Informe]])-INT(LINEA24[[#This Row],[FechaRecepcion]])),"")</f>
        <v/>
      </c>
      <c r="O325" s="6"/>
      <c r="P325" s="6"/>
    </row>
    <row r="326" spans="1:16">
      <c r="A326" s="25"/>
      <c r="B326" s="26" t="s">
        <v>945</v>
      </c>
      <c r="C326" t="s">
        <v>946</v>
      </c>
      <c r="D326" t="s">
        <v>947</v>
      </c>
      <c r="E326" s="6">
        <v>46080.542280092603</v>
      </c>
      <c r="G326" s="5" t="s">
        <v>397</v>
      </c>
      <c r="H326" t="s">
        <v>309</v>
      </c>
      <c r="I32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231</v>
      </c>
      <c r="M326" s="7" t="str">
        <f>IFERROR(IF(OR(LINEA24[[#This Row],[Fecha_Informe]]="",LINEA24[[#This Row],[FechaRecepcion]]=""),"",INT(LINEA24[[#This Row],[Fecha_Informe]])-INT(LINEA24[[#This Row],[FechaRecepcion]])),"")</f>
        <v/>
      </c>
      <c r="O326" s="6"/>
      <c r="P326" s="6"/>
    </row>
    <row r="327" spans="1:16">
      <c r="A327" s="25"/>
      <c r="B327" s="26" t="s">
        <v>948</v>
      </c>
      <c r="C327" t="s">
        <v>949</v>
      </c>
      <c r="E327" s="6">
        <v>46083.5782638889</v>
      </c>
      <c r="G327" s="5" t="s">
        <v>400</v>
      </c>
      <c r="H327" t="s">
        <v>309</v>
      </c>
      <c r="I32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228</v>
      </c>
      <c r="M327" s="7" t="str">
        <f>IFERROR(IF(OR(LINEA24[[#This Row],[Fecha_Informe]]="",LINEA24[[#This Row],[FechaRecepcion]]=""),"",INT(LINEA24[[#This Row],[Fecha_Informe]])-INT(LINEA24[[#This Row],[FechaRecepcion]])),"")</f>
        <v/>
      </c>
      <c r="O327" s="6"/>
      <c r="P327" s="6"/>
    </row>
    <row r="328" spans="1:16">
      <c r="A328" s="25"/>
      <c r="B328" s="26" t="s">
        <v>950</v>
      </c>
      <c r="C328" t="s">
        <v>951</v>
      </c>
      <c r="D328" t="s">
        <v>952</v>
      </c>
      <c r="E328" s="6">
        <v>46084.432442129597</v>
      </c>
      <c r="G328" s="5" t="s">
        <v>397</v>
      </c>
      <c r="H328" t="s">
        <v>309</v>
      </c>
      <c r="I32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227</v>
      </c>
      <c r="M328" s="7" t="str">
        <f>IFERROR(IF(OR(LINEA24[[#This Row],[Fecha_Informe]]="",LINEA24[[#This Row],[FechaRecepcion]]=""),"",INT(LINEA24[[#This Row],[Fecha_Informe]])-INT(LINEA24[[#This Row],[FechaRecepcion]])),"")</f>
        <v/>
      </c>
      <c r="O328" s="6"/>
      <c r="P328" s="6"/>
    </row>
    <row r="329" spans="1:16">
      <c r="A329" s="25"/>
      <c r="B329" s="26" t="s">
        <v>953</v>
      </c>
      <c r="C329" t="s">
        <v>954</v>
      </c>
      <c r="E329" s="6">
        <v>46084.098611111098</v>
      </c>
      <c r="G329" s="5" t="s">
        <v>400</v>
      </c>
      <c r="H329" t="s">
        <v>309</v>
      </c>
      <c r="I32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227</v>
      </c>
      <c r="M329" s="7" t="str">
        <f>IFERROR(IF(OR(LINEA24[[#This Row],[Fecha_Informe]]="",LINEA24[[#This Row],[FechaRecepcion]]=""),"",INT(LINEA24[[#This Row],[Fecha_Informe]])-INT(LINEA24[[#This Row],[FechaRecepcion]])),"")</f>
        <v/>
      </c>
      <c r="O329" s="6"/>
      <c r="P329" s="6"/>
    </row>
    <row r="330" spans="1:16">
      <c r="A330" s="25"/>
      <c r="B330" s="26" t="s">
        <v>955</v>
      </c>
      <c r="C330" t="s">
        <v>956</v>
      </c>
      <c r="D330" t="s">
        <v>957</v>
      </c>
      <c r="E330" s="6">
        <v>46084.639525462997</v>
      </c>
      <c r="G330" s="5" t="s">
        <v>397</v>
      </c>
      <c r="H330" t="s">
        <v>309</v>
      </c>
      <c r="I33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227</v>
      </c>
      <c r="M330" s="7" t="str">
        <f>IFERROR(IF(OR(LINEA24[[#This Row],[Fecha_Informe]]="",LINEA24[[#This Row],[FechaRecepcion]]=""),"",INT(LINEA24[[#This Row],[Fecha_Informe]])-INT(LINEA24[[#This Row],[FechaRecepcion]])),"")</f>
        <v/>
      </c>
      <c r="O330" s="6"/>
      <c r="P330" s="6"/>
    </row>
    <row r="331" spans="1:16">
      <c r="A331" s="25"/>
      <c r="B331" s="26" t="s">
        <v>958</v>
      </c>
      <c r="C331" t="s">
        <v>959</v>
      </c>
      <c r="E331" s="6">
        <v>46084.7408796296</v>
      </c>
      <c r="G331" s="5" t="s">
        <v>400</v>
      </c>
      <c r="H331" t="s">
        <v>309</v>
      </c>
      <c r="I33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227</v>
      </c>
      <c r="M331" s="7" t="str">
        <f>IFERROR(IF(OR(LINEA24[[#This Row],[Fecha_Informe]]="",LINEA24[[#This Row],[FechaRecepcion]]=""),"",INT(LINEA24[[#This Row],[Fecha_Informe]])-INT(LINEA24[[#This Row],[FechaRecepcion]])),"")</f>
        <v/>
      </c>
      <c r="O331" s="6"/>
      <c r="P331" s="6"/>
    </row>
    <row r="332" spans="1:16">
      <c r="A332" s="25"/>
      <c r="B332" s="26" t="s">
        <v>960</v>
      </c>
      <c r="C332" t="s">
        <v>961</v>
      </c>
      <c r="E332" s="6">
        <v>46084.784826388903</v>
      </c>
      <c r="G332" s="5" t="s">
        <v>400</v>
      </c>
      <c r="H332" t="s">
        <v>309</v>
      </c>
      <c r="I33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227</v>
      </c>
      <c r="M332" s="7" t="str">
        <f>IFERROR(IF(OR(LINEA24[[#This Row],[Fecha_Informe]]="",LINEA24[[#This Row],[FechaRecepcion]]=""),"",INT(LINEA24[[#This Row],[Fecha_Informe]])-INT(LINEA24[[#This Row],[FechaRecepcion]])),"")</f>
        <v/>
      </c>
      <c r="O332" s="6"/>
      <c r="P332" s="6"/>
    </row>
    <row r="333" spans="1:16">
      <c r="A333" s="25"/>
      <c r="B333" s="26" t="s">
        <v>962</v>
      </c>
      <c r="C333" t="s">
        <v>963</v>
      </c>
      <c r="D333" t="s">
        <v>964</v>
      </c>
      <c r="E333" s="6">
        <v>46085.383206018501</v>
      </c>
      <c r="G333" s="5" t="s">
        <v>397</v>
      </c>
      <c r="H333" t="s">
        <v>309</v>
      </c>
      <c r="I33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226</v>
      </c>
      <c r="M333" s="7" t="str">
        <f>IFERROR(IF(OR(LINEA24[[#This Row],[Fecha_Informe]]="",LINEA24[[#This Row],[FechaRecepcion]]=""),"",INT(LINEA24[[#This Row],[Fecha_Informe]])-INT(LINEA24[[#This Row],[FechaRecepcion]])),"")</f>
        <v/>
      </c>
      <c r="O333" s="6"/>
      <c r="P333" s="6"/>
    </row>
    <row r="334" spans="1:16">
      <c r="A334" s="25"/>
      <c r="B334" s="26" t="s">
        <v>965</v>
      </c>
      <c r="C334" t="s">
        <v>932</v>
      </c>
      <c r="D334" t="s">
        <v>933</v>
      </c>
      <c r="E334" s="6">
        <v>46085.457210648201</v>
      </c>
      <c r="G334" s="5" t="s">
        <v>397</v>
      </c>
      <c r="H334" t="s">
        <v>309</v>
      </c>
      <c r="I33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226</v>
      </c>
      <c r="M334" s="7" t="str">
        <f>IFERROR(IF(OR(LINEA24[[#This Row],[Fecha_Informe]]="",LINEA24[[#This Row],[FechaRecepcion]]=""),"",INT(LINEA24[[#This Row],[Fecha_Informe]])-INT(LINEA24[[#This Row],[FechaRecepcion]])),"")</f>
        <v/>
      </c>
      <c r="O334" s="6"/>
      <c r="P334" s="6"/>
    </row>
    <row r="335" spans="1:16">
      <c r="A335" s="25"/>
      <c r="B335" s="26" t="s">
        <v>966</v>
      </c>
      <c r="C335" t="s">
        <v>967</v>
      </c>
      <c r="D335" t="s">
        <v>968</v>
      </c>
      <c r="E335" s="6">
        <v>46087.473599536999</v>
      </c>
      <c r="G335" s="5" t="s">
        <v>397</v>
      </c>
      <c r="H335" t="s">
        <v>309</v>
      </c>
      <c r="I33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224</v>
      </c>
      <c r="M335" s="7" t="str">
        <f>IFERROR(IF(OR(LINEA24[[#This Row],[Fecha_Informe]]="",LINEA24[[#This Row],[FechaRecepcion]]=""),"",INT(LINEA24[[#This Row],[Fecha_Informe]])-INT(LINEA24[[#This Row],[FechaRecepcion]])),"")</f>
        <v/>
      </c>
      <c r="O335" s="6"/>
      <c r="P335" s="6"/>
    </row>
    <row r="336" spans="1:16">
      <c r="A336" s="25"/>
      <c r="B336" s="26" t="s">
        <v>969</v>
      </c>
      <c r="C336" t="s">
        <v>970</v>
      </c>
      <c r="D336" t="s">
        <v>971</v>
      </c>
      <c r="E336" s="6">
        <v>46090.356377314798</v>
      </c>
      <c r="G336" s="5" t="s">
        <v>397</v>
      </c>
      <c r="H336" t="s">
        <v>309</v>
      </c>
      <c r="I33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221</v>
      </c>
      <c r="M336" s="7" t="str">
        <f>IFERROR(IF(OR(LINEA24[[#This Row],[Fecha_Informe]]="",LINEA24[[#This Row],[FechaRecepcion]]=""),"",INT(LINEA24[[#This Row],[Fecha_Informe]])-INT(LINEA24[[#This Row],[FechaRecepcion]])),"")</f>
        <v/>
      </c>
      <c r="O336" s="6"/>
      <c r="P336" s="6"/>
    </row>
    <row r="337" spans="1:16">
      <c r="A337" s="25"/>
      <c r="B337" s="26" t="s">
        <v>972</v>
      </c>
      <c r="C337" t="s">
        <v>973</v>
      </c>
      <c r="D337" t="s">
        <v>974</v>
      </c>
      <c r="E337" s="6">
        <v>46090.425370370402</v>
      </c>
      <c r="G337" s="5" t="s">
        <v>397</v>
      </c>
      <c r="H337" t="s">
        <v>309</v>
      </c>
      <c r="I33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221</v>
      </c>
      <c r="M337" s="7" t="str">
        <f>IFERROR(IF(OR(LINEA24[[#This Row],[Fecha_Informe]]="",LINEA24[[#This Row],[FechaRecepcion]]=""),"",INT(LINEA24[[#This Row],[Fecha_Informe]])-INT(LINEA24[[#This Row],[FechaRecepcion]])),"")</f>
        <v/>
      </c>
      <c r="O337" s="6"/>
      <c r="P337" s="6"/>
    </row>
    <row r="338" spans="1:16">
      <c r="A338" s="25"/>
      <c r="B338" s="26" t="s">
        <v>975</v>
      </c>
      <c r="C338" t="s">
        <v>976</v>
      </c>
      <c r="D338" t="s">
        <v>977</v>
      </c>
      <c r="E338" s="6">
        <v>46090.543043981503</v>
      </c>
      <c r="G338" s="5" t="s">
        <v>397</v>
      </c>
      <c r="H338" t="s">
        <v>309</v>
      </c>
      <c r="I33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221</v>
      </c>
      <c r="M338" s="7" t="str">
        <f>IFERROR(IF(OR(LINEA24[[#This Row],[Fecha_Informe]]="",LINEA24[[#This Row],[FechaRecepcion]]=""),"",INT(LINEA24[[#This Row],[Fecha_Informe]])-INT(LINEA24[[#This Row],[FechaRecepcion]])),"")</f>
        <v/>
      </c>
      <c r="O338" s="6"/>
      <c r="P338" s="6"/>
    </row>
    <row r="339" spans="1:16">
      <c r="A339" s="25"/>
      <c r="B339" s="26" t="s">
        <v>978</v>
      </c>
      <c r="C339" t="s">
        <v>979</v>
      </c>
      <c r="D339" t="s">
        <v>980</v>
      </c>
      <c r="E339" s="6">
        <v>46090.730173611097</v>
      </c>
      <c r="G339" s="5" t="s">
        <v>397</v>
      </c>
      <c r="H339" t="s">
        <v>309</v>
      </c>
      <c r="I33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221</v>
      </c>
      <c r="M339" s="7" t="str">
        <f>IFERROR(IF(OR(LINEA24[[#This Row],[Fecha_Informe]]="",LINEA24[[#This Row],[FechaRecepcion]]=""),"",INT(LINEA24[[#This Row],[Fecha_Informe]])-INT(LINEA24[[#This Row],[FechaRecepcion]])),"")</f>
        <v/>
      </c>
      <c r="O339" s="6"/>
      <c r="P339" s="6"/>
    </row>
    <row r="340" spans="1:16">
      <c r="A340" s="25"/>
      <c r="B340" s="27" t="s">
        <v>981</v>
      </c>
      <c r="C340" t="s">
        <v>982</v>
      </c>
      <c r="D340" t="s">
        <v>983</v>
      </c>
      <c r="E340" s="6">
        <v>46091.453599537002</v>
      </c>
      <c r="G340" s="5" t="s">
        <v>397</v>
      </c>
      <c r="H340" t="s">
        <v>309</v>
      </c>
      <c r="I34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220</v>
      </c>
      <c r="M340" s="7" t="str">
        <f>IFERROR(IF(OR(LINEA24[[#This Row],[Fecha_Informe]]="",LINEA24[[#This Row],[FechaRecepcion]]=""),"",INT(LINEA24[[#This Row],[Fecha_Informe]])-INT(LINEA24[[#This Row],[FechaRecepcion]])),"")</f>
        <v/>
      </c>
      <c r="O340" s="6"/>
      <c r="P340" s="6"/>
    </row>
    <row r="341" spans="1:16">
      <c r="A341" s="25"/>
      <c r="B341" s="26" t="s">
        <v>981</v>
      </c>
      <c r="C341" t="s">
        <v>982</v>
      </c>
      <c r="D341" t="s">
        <v>983</v>
      </c>
      <c r="E341" s="6">
        <v>46091.453599537002</v>
      </c>
      <c r="G341" s="5" t="s">
        <v>397</v>
      </c>
      <c r="H341" t="s">
        <v>309</v>
      </c>
      <c r="I34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220</v>
      </c>
      <c r="M341" s="7" t="str">
        <f>IFERROR(IF(OR(LINEA24[[#This Row],[Fecha_Informe]]="",LINEA24[[#This Row],[FechaRecepcion]]=""),"",INT(LINEA24[[#This Row],[Fecha_Informe]])-INT(LINEA24[[#This Row],[FechaRecepcion]])),"")</f>
        <v/>
      </c>
      <c r="O341" s="6"/>
      <c r="P341" s="6"/>
    </row>
    <row r="342" spans="1:16">
      <c r="A342" s="25"/>
      <c r="B342" s="26" t="s">
        <v>984</v>
      </c>
      <c r="C342" t="s">
        <v>985</v>
      </c>
      <c r="D342" t="s">
        <v>986</v>
      </c>
      <c r="E342" s="6">
        <v>46091.667789351799</v>
      </c>
      <c r="G342" s="5" t="s">
        <v>397</v>
      </c>
      <c r="H342" t="s">
        <v>309</v>
      </c>
      <c r="I34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220</v>
      </c>
      <c r="M342" s="7" t="str">
        <f>IFERROR(IF(OR(LINEA24[[#This Row],[Fecha_Informe]]="",LINEA24[[#This Row],[FechaRecepcion]]=""),"",INT(LINEA24[[#This Row],[Fecha_Informe]])-INT(LINEA24[[#This Row],[FechaRecepcion]])),"")</f>
        <v/>
      </c>
      <c r="O342" s="6"/>
      <c r="P342" s="6"/>
    </row>
    <row r="343" spans="1:16">
      <c r="A343" s="25"/>
      <c r="B343" s="26" t="s">
        <v>987</v>
      </c>
      <c r="C343" t="s">
        <v>988</v>
      </c>
      <c r="D343" t="s">
        <v>989</v>
      </c>
      <c r="E343" s="6">
        <v>46093.498101851903</v>
      </c>
      <c r="G343" s="5" t="s">
        <v>397</v>
      </c>
      <c r="H343" t="s">
        <v>309</v>
      </c>
      <c r="I34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218</v>
      </c>
      <c r="M343" s="7" t="str">
        <f>IFERROR(IF(OR(LINEA24[[#This Row],[Fecha_Informe]]="",LINEA24[[#This Row],[FechaRecepcion]]=""),"",INT(LINEA24[[#This Row],[Fecha_Informe]])-INT(LINEA24[[#This Row],[FechaRecepcion]])),"")</f>
        <v/>
      </c>
      <c r="O343" s="6"/>
      <c r="P343" s="6"/>
    </row>
    <row r="344" spans="1:16">
      <c r="A344" s="25"/>
      <c r="B344" s="26" t="s">
        <v>990</v>
      </c>
      <c r="C344" t="s">
        <v>991</v>
      </c>
      <c r="E344" s="6">
        <v>46092.811122685198</v>
      </c>
      <c r="G344" s="5" t="s">
        <v>400</v>
      </c>
      <c r="H344" t="s">
        <v>309</v>
      </c>
      <c r="I34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219</v>
      </c>
      <c r="M344" s="7" t="str">
        <f>IFERROR(IF(OR(LINEA24[[#This Row],[Fecha_Informe]]="",LINEA24[[#This Row],[FechaRecepcion]]=""),"",INT(LINEA24[[#This Row],[Fecha_Informe]])-INT(LINEA24[[#This Row],[FechaRecepcion]])),"")</f>
        <v/>
      </c>
      <c r="O344" s="6"/>
      <c r="P344" s="6"/>
    </row>
    <row r="345" spans="1:16">
      <c r="A345" s="25"/>
      <c r="B345" s="26" t="s">
        <v>992</v>
      </c>
      <c r="C345" t="s">
        <v>993</v>
      </c>
      <c r="D345" t="s">
        <v>994</v>
      </c>
      <c r="E345" s="6">
        <v>46093.538819444402</v>
      </c>
      <c r="G345" s="5" t="s">
        <v>397</v>
      </c>
      <c r="H345" t="s">
        <v>309</v>
      </c>
      <c r="I34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218</v>
      </c>
      <c r="M345" s="7" t="str">
        <f>IFERROR(IF(OR(LINEA24[[#This Row],[Fecha_Informe]]="",LINEA24[[#This Row],[FechaRecepcion]]=""),"",INT(LINEA24[[#This Row],[Fecha_Informe]])-INT(LINEA24[[#This Row],[FechaRecepcion]])),"")</f>
        <v/>
      </c>
      <c r="O345" s="6"/>
      <c r="P345" s="6"/>
    </row>
    <row r="346" spans="1:16">
      <c r="A346" s="25"/>
      <c r="B346" s="26" t="s">
        <v>995</v>
      </c>
      <c r="C346" t="s">
        <v>996</v>
      </c>
      <c r="D346" t="s">
        <v>997</v>
      </c>
      <c r="E346" s="6">
        <v>46094.405497685198</v>
      </c>
      <c r="G346" s="5" t="s">
        <v>397</v>
      </c>
      <c r="H346" t="s">
        <v>309</v>
      </c>
      <c r="I34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217</v>
      </c>
      <c r="M346" s="7" t="str">
        <f>IFERROR(IF(OR(LINEA24[[#This Row],[Fecha_Informe]]="",LINEA24[[#This Row],[FechaRecepcion]]=""),"",INT(LINEA24[[#This Row],[Fecha_Informe]])-INT(LINEA24[[#This Row],[FechaRecepcion]])),"")</f>
        <v/>
      </c>
      <c r="O346" s="6"/>
      <c r="P346" s="6"/>
    </row>
    <row r="347" spans="1:16">
      <c r="A347" s="25"/>
      <c r="B347" s="27" t="s">
        <v>998</v>
      </c>
      <c r="C347" t="s">
        <v>999</v>
      </c>
      <c r="D347" t="s">
        <v>1000</v>
      </c>
      <c r="E347" s="6">
        <v>46094.527361111097</v>
      </c>
      <c r="G347" s="5" t="s">
        <v>397</v>
      </c>
      <c r="H347" t="s">
        <v>309</v>
      </c>
      <c r="I34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217</v>
      </c>
      <c r="M347" s="7" t="str">
        <f>IFERROR(IF(OR(LINEA24[[#This Row],[Fecha_Informe]]="",LINEA24[[#This Row],[FechaRecepcion]]=""),"",INT(LINEA24[[#This Row],[Fecha_Informe]])-INT(LINEA24[[#This Row],[FechaRecepcion]])),"")</f>
        <v/>
      </c>
      <c r="O347" s="6"/>
      <c r="P347" s="6"/>
    </row>
    <row r="348" spans="1:16">
      <c r="A348" s="25"/>
      <c r="B348" s="26" t="s">
        <v>998</v>
      </c>
      <c r="C348" t="s">
        <v>999</v>
      </c>
      <c r="D348" t="s">
        <v>1000</v>
      </c>
      <c r="E348" s="6">
        <v>46094.527361111097</v>
      </c>
      <c r="G348" s="5" t="s">
        <v>397</v>
      </c>
      <c r="H348" t="s">
        <v>309</v>
      </c>
      <c r="I34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217</v>
      </c>
      <c r="M348" s="7" t="str">
        <f>IFERROR(IF(OR(LINEA24[[#This Row],[Fecha_Informe]]="",LINEA24[[#This Row],[FechaRecepcion]]=""),"",INT(LINEA24[[#This Row],[Fecha_Informe]])-INT(LINEA24[[#This Row],[FechaRecepcion]])),"")</f>
        <v/>
      </c>
      <c r="O348" s="6"/>
      <c r="P348" s="6"/>
    </row>
    <row r="349" spans="1:16">
      <c r="A349" s="25"/>
      <c r="B349" s="26" t="s">
        <v>1001</v>
      </c>
      <c r="C349" t="s">
        <v>1002</v>
      </c>
      <c r="E349" s="6">
        <v>46097.4620601852</v>
      </c>
      <c r="G349" s="5" t="s">
        <v>400</v>
      </c>
      <c r="H349" t="s">
        <v>309</v>
      </c>
      <c r="I34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214</v>
      </c>
      <c r="M349" s="7" t="str">
        <f>IFERROR(IF(OR(LINEA24[[#This Row],[Fecha_Informe]]="",LINEA24[[#This Row],[FechaRecepcion]]=""),"",INT(LINEA24[[#This Row],[Fecha_Informe]])-INT(LINEA24[[#This Row],[FechaRecepcion]])),"")</f>
        <v/>
      </c>
      <c r="O349" s="6"/>
      <c r="P349" s="6"/>
    </row>
    <row r="350" spans="1:16">
      <c r="A350" s="25"/>
      <c r="B350" s="26" t="s">
        <v>1003</v>
      </c>
      <c r="C350" t="s">
        <v>1004</v>
      </c>
      <c r="D350" t="s">
        <v>1005</v>
      </c>
      <c r="E350" s="6">
        <v>46098.582523148201</v>
      </c>
      <c r="G350" s="5" t="s">
        <v>397</v>
      </c>
      <c r="H350" t="s">
        <v>309</v>
      </c>
      <c r="I35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213</v>
      </c>
      <c r="M350" s="7" t="str">
        <f>IFERROR(IF(OR(LINEA24[[#This Row],[Fecha_Informe]]="",LINEA24[[#This Row],[FechaRecepcion]]=""),"",INT(LINEA24[[#This Row],[Fecha_Informe]])-INT(LINEA24[[#This Row],[FechaRecepcion]])),"")</f>
        <v/>
      </c>
      <c r="O350" s="6"/>
      <c r="P350" s="6"/>
    </row>
    <row r="351" spans="1:16">
      <c r="A351" s="25"/>
      <c r="B351" s="27" t="s">
        <v>1006</v>
      </c>
      <c r="C351" t="s">
        <v>1007</v>
      </c>
      <c r="E351" s="6">
        <v>46098.544930555603</v>
      </c>
      <c r="G351" s="5" t="s">
        <v>400</v>
      </c>
      <c r="H351" t="s">
        <v>309</v>
      </c>
      <c r="I35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213</v>
      </c>
      <c r="M351" s="7" t="str">
        <f>IFERROR(IF(OR(LINEA24[[#This Row],[Fecha_Informe]]="",LINEA24[[#This Row],[FechaRecepcion]]=""),"",INT(LINEA24[[#This Row],[Fecha_Informe]])-INT(LINEA24[[#This Row],[FechaRecepcion]])),"")</f>
        <v/>
      </c>
      <c r="O351" s="6"/>
      <c r="P351" s="6"/>
    </row>
    <row r="352" spans="1:16">
      <c r="A352" s="25"/>
      <c r="B352" s="26" t="s">
        <v>1006</v>
      </c>
      <c r="C352" t="s">
        <v>1008</v>
      </c>
      <c r="E352" s="6">
        <v>46098.700011574103</v>
      </c>
      <c r="G352" s="5" t="s">
        <v>400</v>
      </c>
      <c r="H352" t="s">
        <v>309</v>
      </c>
      <c r="I35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213</v>
      </c>
      <c r="M352" s="7" t="str">
        <f>IFERROR(IF(OR(LINEA24[[#This Row],[Fecha_Informe]]="",LINEA24[[#This Row],[FechaRecepcion]]=""),"",INT(LINEA24[[#This Row],[Fecha_Informe]])-INT(LINEA24[[#This Row],[FechaRecepcion]])),"")</f>
        <v/>
      </c>
      <c r="O352" s="6"/>
      <c r="P352" s="6"/>
    </row>
    <row r="353" spans="1:16">
      <c r="A353" s="25"/>
      <c r="B353" s="26" t="s">
        <v>1009</v>
      </c>
      <c r="C353" t="s">
        <v>1010</v>
      </c>
      <c r="D353" t="s">
        <v>1011</v>
      </c>
      <c r="E353" s="6">
        <v>46099.449861111098</v>
      </c>
      <c r="G353" s="5" t="s">
        <v>397</v>
      </c>
      <c r="H353" t="s">
        <v>309</v>
      </c>
      <c r="I35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212</v>
      </c>
      <c r="M353" s="7" t="str">
        <f>IFERROR(IF(OR(LINEA24[[#This Row],[Fecha_Informe]]="",LINEA24[[#This Row],[FechaRecepcion]]=""),"",INT(LINEA24[[#This Row],[Fecha_Informe]])-INT(LINEA24[[#This Row],[FechaRecepcion]])),"")</f>
        <v/>
      </c>
      <c r="O353" s="6"/>
      <c r="P353" s="6"/>
    </row>
    <row r="354" spans="1:16">
      <c r="A354" s="25"/>
      <c r="B354" s="26" t="s">
        <v>1012</v>
      </c>
      <c r="C354" t="s">
        <v>1013</v>
      </c>
      <c r="D354" t="s">
        <v>1014</v>
      </c>
      <c r="E354" s="6">
        <v>46099.458668981497</v>
      </c>
      <c r="G354" s="5" t="s">
        <v>397</v>
      </c>
      <c r="H354" t="s">
        <v>309</v>
      </c>
      <c r="I35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212</v>
      </c>
      <c r="M354" s="7" t="str">
        <f>IFERROR(IF(OR(LINEA24[[#This Row],[Fecha_Informe]]="",LINEA24[[#This Row],[FechaRecepcion]]=""),"",INT(LINEA24[[#This Row],[Fecha_Informe]])-INT(LINEA24[[#This Row],[FechaRecepcion]])),"")</f>
        <v/>
      </c>
      <c r="O354" s="6"/>
      <c r="P354" s="6"/>
    </row>
    <row r="355" spans="1:16">
      <c r="A355" s="25"/>
      <c r="B355" s="26" t="s">
        <v>1015</v>
      </c>
      <c r="C355" t="s">
        <v>1016</v>
      </c>
      <c r="D355" t="s">
        <v>1017</v>
      </c>
      <c r="E355" s="6">
        <v>46099.4832986111</v>
      </c>
      <c r="G355" s="5" t="s">
        <v>397</v>
      </c>
      <c r="H355" t="s">
        <v>309</v>
      </c>
      <c r="I35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212</v>
      </c>
      <c r="M355" s="7" t="str">
        <f>IFERROR(IF(OR(LINEA24[[#This Row],[Fecha_Informe]]="",LINEA24[[#This Row],[FechaRecepcion]]=""),"",INT(LINEA24[[#This Row],[Fecha_Informe]])-INT(LINEA24[[#This Row],[FechaRecepcion]])),"")</f>
        <v/>
      </c>
      <c r="O355" s="6"/>
      <c r="P355" s="6"/>
    </row>
    <row r="356" spans="1:16">
      <c r="A356" s="25"/>
      <c r="B356" s="26" t="s">
        <v>1018</v>
      </c>
      <c r="C356" t="s">
        <v>1019</v>
      </c>
      <c r="E356" s="6">
        <v>46099.699398148201</v>
      </c>
      <c r="G356" s="5" t="s">
        <v>400</v>
      </c>
      <c r="H356" t="s">
        <v>309</v>
      </c>
      <c r="I35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212</v>
      </c>
      <c r="M356" s="7" t="str">
        <f>IFERROR(IF(OR(LINEA24[[#This Row],[Fecha_Informe]]="",LINEA24[[#This Row],[FechaRecepcion]]=""),"",INT(LINEA24[[#This Row],[Fecha_Informe]])-INT(LINEA24[[#This Row],[FechaRecepcion]])),"")</f>
        <v/>
      </c>
      <c r="O356" s="6"/>
      <c r="P356" s="6"/>
    </row>
    <row r="357" spans="1:16">
      <c r="A357" s="25"/>
      <c r="B357" s="26" t="s">
        <v>1020</v>
      </c>
      <c r="C357" t="s">
        <v>1021</v>
      </c>
      <c r="E357" s="6">
        <v>46099.700486111098</v>
      </c>
      <c r="G357" s="5" t="s">
        <v>400</v>
      </c>
      <c r="H357" t="s">
        <v>309</v>
      </c>
      <c r="I35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212</v>
      </c>
      <c r="M357" s="7" t="str">
        <f>IFERROR(IF(OR(LINEA24[[#This Row],[Fecha_Informe]]="",LINEA24[[#This Row],[FechaRecepcion]]=""),"",INT(LINEA24[[#This Row],[Fecha_Informe]])-INT(LINEA24[[#This Row],[FechaRecepcion]])),"")</f>
        <v/>
      </c>
      <c r="O357" s="6"/>
      <c r="P357" s="6"/>
    </row>
    <row r="358" spans="1:16">
      <c r="A358" s="25"/>
      <c r="B358" s="26" t="s">
        <v>1022</v>
      </c>
      <c r="C358" t="s">
        <v>1023</v>
      </c>
      <c r="D358" t="s">
        <v>1024</v>
      </c>
      <c r="E358" s="6">
        <v>46100.457199074102</v>
      </c>
      <c r="G358" s="5" t="s">
        <v>397</v>
      </c>
      <c r="H358" t="s">
        <v>309</v>
      </c>
      <c r="I35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211</v>
      </c>
      <c r="M358" s="7" t="str">
        <f>IFERROR(IF(OR(LINEA24[[#This Row],[Fecha_Informe]]="",LINEA24[[#This Row],[FechaRecepcion]]=""),"",INT(LINEA24[[#This Row],[Fecha_Informe]])-INT(LINEA24[[#This Row],[FechaRecepcion]])),"")</f>
        <v/>
      </c>
      <c r="O358" s="6"/>
      <c r="P358" s="6"/>
    </row>
    <row r="359" spans="1:16">
      <c r="A359" s="25"/>
      <c r="B359" s="26" t="s">
        <v>1025</v>
      </c>
      <c r="C359" t="s">
        <v>1026</v>
      </c>
      <c r="D359" t="s">
        <v>1027</v>
      </c>
      <c r="E359" s="6">
        <v>46100.480960648201</v>
      </c>
      <c r="G359" s="5" t="s">
        <v>397</v>
      </c>
      <c r="H359" t="s">
        <v>309</v>
      </c>
      <c r="I35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211</v>
      </c>
      <c r="M359" s="7" t="str">
        <f>IFERROR(IF(OR(LINEA24[[#This Row],[Fecha_Informe]]="",LINEA24[[#This Row],[FechaRecepcion]]=""),"",INT(LINEA24[[#This Row],[Fecha_Informe]])-INT(LINEA24[[#This Row],[FechaRecepcion]])),"")</f>
        <v/>
      </c>
      <c r="O359" s="6"/>
      <c r="P359" s="6"/>
    </row>
    <row r="360" spans="1:16">
      <c r="A360" s="25"/>
      <c r="B360" s="26" t="s">
        <v>1028</v>
      </c>
      <c r="C360" t="s">
        <v>1029</v>
      </c>
      <c r="D360" t="s">
        <v>1030</v>
      </c>
      <c r="E360" s="6">
        <v>46100.707430555602</v>
      </c>
      <c r="G360" s="5" t="s">
        <v>397</v>
      </c>
      <c r="H360" t="s">
        <v>309</v>
      </c>
      <c r="I36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211</v>
      </c>
      <c r="M360" s="7" t="str">
        <f>IFERROR(IF(OR(LINEA24[[#This Row],[Fecha_Informe]]="",LINEA24[[#This Row],[FechaRecepcion]]=""),"",INT(LINEA24[[#This Row],[Fecha_Informe]])-INT(LINEA24[[#This Row],[FechaRecepcion]])),"")</f>
        <v/>
      </c>
      <c r="O360" s="6"/>
      <c r="P360" s="6"/>
    </row>
    <row r="361" spans="1:16">
      <c r="A361" s="25"/>
      <c r="B361" s="26" t="s">
        <v>1031</v>
      </c>
      <c r="C361" t="s">
        <v>1032</v>
      </c>
      <c r="D361" t="s">
        <v>1033</v>
      </c>
      <c r="E361" s="6">
        <v>46101.524884259299</v>
      </c>
      <c r="G361" s="5" t="s">
        <v>397</v>
      </c>
      <c r="H361" t="s">
        <v>309</v>
      </c>
      <c r="I36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210</v>
      </c>
      <c r="M361" s="7" t="str">
        <f>IFERROR(IF(OR(LINEA24[[#This Row],[Fecha_Informe]]="",LINEA24[[#This Row],[FechaRecepcion]]=""),"",INT(LINEA24[[#This Row],[Fecha_Informe]])-INT(LINEA24[[#This Row],[FechaRecepcion]])),"")</f>
        <v/>
      </c>
      <c r="O361" s="6"/>
      <c r="P361" s="6"/>
    </row>
    <row r="362" spans="1:16">
      <c r="A362" s="25"/>
      <c r="B362" s="26" t="s">
        <v>1034</v>
      </c>
      <c r="C362" t="s">
        <v>1035</v>
      </c>
      <c r="D362" t="s">
        <v>1036</v>
      </c>
      <c r="E362" s="6">
        <v>46101.546215277798</v>
      </c>
      <c r="G362" s="5" t="s">
        <v>397</v>
      </c>
      <c r="H362" t="s">
        <v>309</v>
      </c>
      <c r="I36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210</v>
      </c>
      <c r="M362" s="7" t="str">
        <f>IFERROR(IF(OR(LINEA24[[#This Row],[Fecha_Informe]]="",LINEA24[[#This Row],[FechaRecepcion]]=""),"",INT(LINEA24[[#This Row],[Fecha_Informe]])-INT(LINEA24[[#This Row],[FechaRecepcion]])),"")</f>
        <v/>
      </c>
      <c r="O362" s="6"/>
      <c r="P362" s="6"/>
    </row>
    <row r="363" spans="1:16">
      <c r="A363" s="25"/>
      <c r="B363" s="26" t="s">
        <v>1037</v>
      </c>
      <c r="C363" t="s">
        <v>1038</v>
      </c>
      <c r="D363" t="s">
        <v>1039</v>
      </c>
      <c r="E363" s="6">
        <v>46105.684780092597</v>
      </c>
      <c r="G363" s="5" t="s">
        <v>397</v>
      </c>
      <c r="H363" t="s">
        <v>309</v>
      </c>
      <c r="I36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206</v>
      </c>
      <c r="M363" s="7" t="str">
        <f>IFERROR(IF(OR(LINEA24[[#This Row],[Fecha_Informe]]="",LINEA24[[#This Row],[FechaRecepcion]]=""),"",INT(LINEA24[[#This Row],[Fecha_Informe]])-INT(LINEA24[[#This Row],[FechaRecepcion]])),"")</f>
        <v/>
      </c>
      <c r="O363" s="6"/>
      <c r="P363" s="6"/>
    </row>
    <row r="364" spans="1:16">
      <c r="A364" s="25"/>
      <c r="B364" s="26" t="s">
        <v>1040</v>
      </c>
      <c r="C364" t="s">
        <v>1041</v>
      </c>
      <c r="E364" s="6">
        <v>46100.875995370399</v>
      </c>
      <c r="G364" s="5" t="s">
        <v>400</v>
      </c>
      <c r="H364" t="s">
        <v>309</v>
      </c>
      <c r="I36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211</v>
      </c>
      <c r="M364" s="7" t="str">
        <f>IFERROR(IF(OR(LINEA24[[#This Row],[Fecha_Informe]]="",LINEA24[[#This Row],[FechaRecepcion]]=""),"",INT(LINEA24[[#This Row],[Fecha_Informe]])-INT(LINEA24[[#This Row],[FechaRecepcion]])),"")</f>
        <v/>
      </c>
      <c r="O364" s="6"/>
      <c r="P364" s="6"/>
    </row>
    <row r="365" spans="1:16">
      <c r="A365" s="25"/>
      <c r="B365" s="27" t="s">
        <v>1042</v>
      </c>
      <c r="C365" t="s">
        <v>1043</v>
      </c>
      <c r="D365" t="s">
        <v>1044</v>
      </c>
      <c r="E365" s="6">
        <v>46106.438344907401</v>
      </c>
      <c r="G365" s="5" t="s">
        <v>397</v>
      </c>
      <c r="H365" t="s">
        <v>309</v>
      </c>
      <c r="I36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205</v>
      </c>
      <c r="M365" s="7" t="str">
        <f>IFERROR(IF(OR(LINEA24[[#This Row],[Fecha_Informe]]="",LINEA24[[#This Row],[FechaRecepcion]]=""),"",INT(LINEA24[[#This Row],[Fecha_Informe]])-INT(LINEA24[[#This Row],[FechaRecepcion]])),"")</f>
        <v/>
      </c>
      <c r="O365" s="6"/>
      <c r="P365" s="6"/>
    </row>
    <row r="366" spans="1:16">
      <c r="A366" s="25"/>
      <c r="B366" s="27" t="s">
        <v>1045</v>
      </c>
      <c r="C366" t="s">
        <v>1046</v>
      </c>
      <c r="D366" s="12" t="s">
        <v>1047</v>
      </c>
      <c r="E366" s="6">
        <v>46106.764432870397</v>
      </c>
      <c r="G366" s="5" t="s">
        <v>397</v>
      </c>
      <c r="H366" t="s">
        <v>309</v>
      </c>
      <c r="I36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205</v>
      </c>
      <c r="M366" s="7" t="str">
        <f>IFERROR(IF(OR(LINEA24[[#This Row],[Fecha_Informe]]="",LINEA24[[#This Row],[FechaRecepcion]]=""),"",INT(LINEA24[[#This Row],[Fecha_Informe]])-INT(LINEA24[[#This Row],[FechaRecepcion]])),"")</f>
        <v/>
      </c>
      <c r="O366" s="6"/>
      <c r="P366" s="6"/>
    </row>
    <row r="367" spans="1:16">
      <c r="A367" s="25"/>
      <c r="B367" s="27" t="s">
        <v>1045</v>
      </c>
      <c r="C367" t="s">
        <v>1046</v>
      </c>
      <c r="D367" t="s">
        <v>1047</v>
      </c>
      <c r="E367" s="6">
        <v>46106.764432870397</v>
      </c>
      <c r="G367" s="5" t="s">
        <v>397</v>
      </c>
      <c r="H367" t="s">
        <v>309</v>
      </c>
      <c r="I36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205</v>
      </c>
      <c r="M367" s="7" t="str">
        <f>IFERROR(IF(OR(LINEA24[[#This Row],[Fecha_Informe]]="",LINEA24[[#This Row],[FechaRecepcion]]=""),"",INT(LINEA24[[#This Row],[Fecha_Informe]])-INT(LINEA24[[#This Row],[FechaRecepcion]])),"")</f>
        <v/>
      </c>
      <c r="O367" s="6"/>
      <c r="P367" s="6"/>
    </row>
    <row r="368" spans="1:16">
      <c r="A368" s="25"/>
      <c r="B368" s="26" t="s">
        <v>1048</v>
      </c>
      <c r="C368" t="s">
        <v>1049</v>
      </c>
      <c r="D368" t="s">
        <v>1050</v>
      </c>
      <c r="E368" s="6">
        <v>46106.443321759303</v>
      </c>
      <c r="G368" s="5" t="s">
        <v>397</v>
      </c>
      <c r="H368" t="s">
        <v>309</v>
      </c>
      <c r="I36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205</v>
      </c>
      <c r="M368" s="7" t="str">
        <f>IFERROR(IF(OR(LINEA24[[#This Row],[Fecha_Informe]]="",LINEA24[[#This Row],[FechaRecepcion]]=""),"",INT(LINEA24[[#This Row],[Fecha_Informe]])-INT(LINEA24[[#This Row],[FechaRecepcion]])),"")</f>
        <v/>
      </c>
      <c r="O368" s="6"/>
      <c r="P368" s="6"/>
    </row>
    <row r="369" spans="1:16">
      <c r="A369" s="25"/>
      <c r="B369" s="26" t="s">
        <v>1051</v>
      </c>
      <c r="C369" t="s">
        <v>1052</v>
      </c>
      <c r="E369" s="6">
        <v>46106.932928240698</v>
      </c>
      <c r="G369" s="5" t="s">
        <v>400</v>
      </c>
      <c r="H369" t="s">
        <v>309</v>
      </c>
      <c r="I36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205</v>
      </c>
      <c r="M369" s="7" t="str">
        <f>IFERROR(IF(OR(LINEA24[[#This Row],[Fecha_Informe]]="",LINEA24[[#This Row],[FechaRecepcion]]=""),"",INT(LINEA24[[#This Row],[Fecha_Informe]])-INT(LINEA24[[#This Row],[FechaRecepcion]])),"")</f>
        <v/>
      </c>
      <c r="O369" s="6"/>
      <c r="P369" s="6"/>
    </row>
    <row r="370" spans="1:16">
      <c r="A370" s="25"/>
      <c r="B370" s="27" t="s">
        <v>1053</v>
      </c>
      <c r="C370" t="s">
        <v>1054</v>
      </c>
      <c r="D370" t="s">
        <v>1055</v>
      </c>
      <c r="E370" s="6">
        <v>46111.386516203696</v>
      </c>
      <c r="G370" s="5" t="s">
        <v>397</v>
      </c>
      <c r="H370" t="s">
        <v>309</v>
      </c>
      <c r="I37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200</v>
      </c>
      <c r="M370" s="7" t="str">
        <f>IFERROR(IF(OR(LINEA24[[#This Row],[Fecha_Informe]]="",LINEA24[[#This Row],[FechaRecepcion]]=""),"",INT(LINEA24[[#This Row],[Fecha_Informe]])-INT(LINEA24[[#This Row],[FechaRecepcion]])),"")</f>
        <v/>
      </c>
      <c r="O370" s="6"/>
      <c r="P370" s="6"/>
    </row>
    <row r="371" spans="1:16">
      <c r="A371" s="25"/>
      <c r="B371" s="26" t="s">
        <v>1056</v>
      </c>
      <c r="C371" t="s">
        <v>1057</v>
      </c>
      <c r="D371" t="s">
        <v>1058</v>
      </c>
      <c r="E371" s="6">
        <v>46111.459467592598</v>
      </c>
      <c r="G371" s="5" t="s">
        <v>397</v>
      </c>
      <c r="H371" t="s">
        <v>309</v>
      </c>
      <c r="I37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200</v>
      </c>
      <c r="M371" s="7" t="str">
        <f>IFERROR(IF(OR(LINEA24[[#This Row],[Fecha_Informe]]="",LINEA24[[#This Row],[FechaRecepcion]]=""),"",INT(LINEA24[[#This Row],[Fecha_Informe]])-INT(LINEA24[[#This Row],[FechaRecepcion]])),"")</f>
        <v/>
      </c>
      <c r="O371" s="6"/>
      <c r="P371" s="6"/>
    </row>
    <row r="372" spans="1:16">
      <c r="A372" s="25"/>
      <c r="B372" s="26" t="s">
        <v>1059</v>
      </c>
      <c r="C372" t="s">
        <v>1060</v>
      </c>
      <c r="D372" t="s">
        <v>1061</v>
      </c>
      <c r="E372" s="6">
        <v>46111.739976851903</v>
      </c>
      <c r="G372" s="5" t="s">
        <v>397</v>
      </c>
      <c r="H372" t="s">
        <v>309</v>
      </c>
      <c r="I37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200</v>
      </c>
      <c r="M372" s="7" t="str">
        <f>IFERROR(IF(OR(LINEA24[[#This Row],[Fecha_Informe]]="",LINEA24[[#This Row],[FechaRecepcion]]=""),"",INT(LINEA24[[#This Row],[Fecha_Informe]])-INT(LINEA24[[#This Row],[FechaRecepcion]])),"")</f>
        <v/>
      </c>
      <c r="O372" s="6"/>
      <c r="P372" s="6"/>
    </row>
    <row r="373" spans="1:16">
      <c r="A373" s="25"/>
      <c r="B373" s="26" t="s">
        <v>1062</v>
      </c>
      <c r="C373" t="s">
        <v>1063</v>
      </c>
      <c r="D373" t="s">
        <v>1064</v>
      </c>
      <c r="E373" s="6">
        <v>46112.488900463002</v>
      </c>
      <c r="G373" s="5" t="s">
        <v>397</v>
      </c>
      <c r="H373" t="s">
        <v>309</v>
      </c>
      <c r="I37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199</v>
      </c>
      <c r="M373" s="7" t="str">
        <f>IFERROR(IF(OR(LINEA24[[#This Row],[Fecha_Informe]]="",LINEA24[[#This Row],[FechaRecepcion]]=""),"",INT(LINEA24[[#This Row],[Fecha_Informe]])-INT(LINEA24[[#This Row],[FechaRecepcion]])),"")</f>
        <v/>
      </c>
      <c r="O373" s="6"/>
      <c r="P373" s="6"/>
    </row>
    <row r="374" spans="1:16">
      <c r="A374" s="25"/>
      <c r="B374" s="26" t="s">
        <v>1065</v>
      </c>
      <c r="C374" t="s">
        <v>1066</v>
      </c>
      <c r="D374" t="s">
        <v>1067</v>
      </c>
      <c r="E374" s="6">
        <v>46112.560057870403</v>
      </c>
      <c r="G374" s="5" t="s">
        <v>397</v>
      </c>
      <c r="H374" t="s">
        <v>309</v>
      </c>
      <c r="I37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199</v>
      </c>
      <c r="M374" s="7" t="str">
        <f>IFERROR(IF(OR(LINEA24[[#This Row],[Fecha_Informe]]="",LINEA24[[#This Row],[FechaRecepcion]]=""),"",INT(LINEA24[[#This Row],[Fecha_Informe]])-INT(LINEA24[[#This Row],[FechaRecepcion]])),"")</f>
        <v/>
      </c>
      <c r="O374" s="6"/>
      <c r="P374" s="6"/>
    </row>
    <row r="375" spans="1:16">
      <c r="A375" s="25"/>
      <c r="B375" s="26" t="s">
        <v>1068</v>
      </c>
      <c r="C375" t="s">
        <v>1069</v>
      </c>
      <c r="E375" s="6">
        <v>46111.767164351899</v>
      </c>
      <c r="G375" s="5" t="s">
        <v>400</v>
      </c>
      <c r="H375" t="s">
        <v>309</v>
      </c>
      <c r="I37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200</v>
      </c>
      <c r="M375" s="7" t="str">
        <f>IFERROR(IF(OR(LINEA24[[#This Row],[Fecha_Informe]]="",LINEA24[[#This Row],[FechaRecepcion]]=""),"",INT(LINEA24[[#This Row],[Fecha_Informe]])-INT(LINEA24[[#This Row],[FechaRecepcion]])),"")</f>
        <v/>
      </c>
      <c r="O375" s="6"/>
      <c r="P375" s="6"/>
    </row>
    <row r="376" spans="1:16" s="12" customFormat="1">
      <c r="A376" s="28"/>
      <c r="B376" s="29" t="s">
        <v>1070</v>
      </c>
      <c r="C376" s="12" t="s">
        <v>1071</v>
      </c>
      <c r="D376" s="12" t="s">
        <v>1072</v>
      </c>
      <c r="E376" s="13">
        <v>46112.705706018503</v>
      </c>
      <c r="F376" s="13"/>
      <c r="G376" s="14" t="s">
        <v>397</v>
      </c>
      <c r="H376" s="12" t="s">
        <v>309</v>
      </c>
      <c r="I376" s="15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199</v>
      </c>
      <c r="J376" s="13"/>
      <c r="K376" s="13"/>
      <c r="L376" s="13"/>
      <c r="M376" s="16" t="str">
        <f>IFERROR(IF(OR(LINEA24[[#This Row],[Fecha_Informe]]="",LINEA24[[#This Row],[FechaRecepcion]]=""),"",INT(LINEA24[[#This Row],[Fecha_Informe]])-INT(LINEA24[[#This Row],[FechaRecepcion]])),"")</f>
        <v/>
      </c>
      <c r="O376" s="13"/>
      <c r="P376" s="13"/>
    </row>
    <row r="377" spans="1:16">
      <c r="A377" s="25"/>
      <c r="B377" s="26" t="s">
        <v>1073</v>
      </c>
      <c r="C377" t="s">
        <v>1074</v>
      </c>
      <c r="D377" t="s">
        <v>1075</v>
      </c>
      <c r="E377" s="6">
        <v>46120.364618055602</v>
      </c>
      <c r="G377" s="5" t="s">
        <v>400</v>
      </c>
      <c r="H377" t="s">
        <v>5</v>
      </c>
      <c r="I37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</v>
      </c>
      <c r="J377" s="6">
        <v>46120</v>
      </c>
      <c r="K377" s="6">
        <v>46126</v>
      </c>
      <c r="L377" s="6">
        <v>46134</v>
      </c>
      <c r="M377" s="7">
        <f>IFERROR(IF(OR(LINEA24[[#This Row],[Fecha_Informe]]="",LINEA24[[#This Row],[FechaRecepcion]]=""),"",INT(LINEA24[[#This Row],[Fecha_Informe]])-INT(LINEA24[[#This Row],[FechaRecepcion]])),"")</f>
        <v>14</v>
      </c>
      <c r="N377" t="s">
        <v>1076</v>
      </c>
      <c r="O377" s="17">
        <v>0</v>
      </c>
      <c r="P377" s="17">
        <v>590</v>
      </c>
    </row>
    <row r="378" spans="1:16">
      <c r="A378" s="25"/>
      <c r="B378" s="27" t="s">
        <v>1077</v>
      </c>
      <c r="C378" t="s">
        <v>1078</v>
      </c>
      <c r="D378" t="s">
        <v>1079</v>
      </c>
      <c r="E378" s="6">
        <v>46120.527465277803</v>
      </c>
      <c r="G378" s="5" t="s">
        <v>397</v>
      </c>
      <c r="H378" t="s">
        <v>5</v>
      </c>
      <c r="I37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12</v>
      </c>
      <c r="J378" s="6">
        <v>46120</v>
      </c>
      <c r="K378" s="6">
        <v>46121</v>
      </c>
      <c r="L378" s="6">
        <v>46132</v>
      </c>
      <c r="M378" s="7">
        <f>IFERROR(IF(OR(LINEA24[[#This Row],[Fecha_Informe]]="",LINEA24[[#This Row],[FechaRecepcion]]=""),"",INT(LINEA24[[#This Row],[Fecha_Informe]])-INT(LINEA24[[#This Row],[FechaRecepcion]])),"")</f>
        <v>12</v>
      </c>
      <c r="N378" t="s">
        <v>1080</v>
      </c>
      <c r="O378" s="17">
        <v>0</v>
      </c>
      <c r="P378" s="17">
        <v>590</v>
      </c>
    </row>
    <row r="379" spans="1:16">
      <c r="A379" s="25"/>
      <c r="B379" s="26" t="s">
        <v>1081</v>
      </c>
      <c r="C379" t="s">
        <v>1082</v>
      </c>
      <c r="D379" t="s">
        <v>1083</v>
      </c>
      <c r="E379" s="6">
        <v>46120.504178240699</v>
      </c>
      <c r="G379" s="5" t="s">
        <v>397</v>
      </c>
      <c r="H379" t="s">
        <v>5</v>
      </c>
      <c r="I37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</v>
      </c>
      <c r="J379" s="6">
        <v>46120</v>
      </c>
      <c r="K379" s="6">
        <v>46120</v>
      </c>
      <c r="L379" s="6">
        <v>46125</v>
      </c>
      <c r="M379" s="7">
        <f>IFERROR(IF(OR(LINEA24[[#This Row],[Fecha_Informe]]="",LINEA24[[#This Row],[FechaRecepcion]]=""),"",INT(LINEA24[[#This Row],[Fecha_Informe]])-INT(LINEA24[[#This Row],[FechaRecepcion]])),"")</f>
        <v>5</v>
      </c>
      <c r="N379" t="s">
        <v>1076</v>
      </c>
      <c r="O379" s="17">
        <v>0</v>
      </c>
      <c r="P379" s="17">
        <v>826</v>
      </c>
    </row>
    <row r="380" spans="1:16">
      <c r="A380" s="25"/>
      <c r="B380" s="26" t="s">
        <v>1084</v>
      </c>
      <c r="C380" t="s">
        <v>1085</v>
      </c>
      <c r="D380" t="s">
        <v>1086</v>
      </c>
      <c r="E380" s="6">
        <v>46120.672743055598</v>
      </c>
      <c r="G380" s="5" t="s">
        <v>397</v>
      </c>
      <c r="H380" t="s">
        <v>5</v>
      </c>
      <c r="I38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12</v>
      </c>
      <c r="J380" s="6">
        <v>46121</v>
      </c>
      <c r="K380" s="6">
        <v>46125</v>
      </c>
      <c r="L380" s="6">
        <v>46132</v>
      </c>
      <c r="M380" s="7">
        <f>IFERROR(IF(OR(LINEA24[[#This Row],[Fecha_Informe]]="",LINEA24[[#This Row],[FechaRecepcion]]=""),"",INT(LINEA24[[#This Row],[Fecha_Informe]])-INT(LINEA24[[#This Row],[FechaRecepcion]])),"")</f>
        <v>12</v>
      </c>
      <c r="N380" t="s">
        <v>1080</v>
      </c>
      <c r="O380" s="17">
        <v>0</v>
      </c>
      <c r="P380" s="17">
        <v>590</v>
      </c>
    </row>
    <row r="381" spans="1:16">
      <c r="A381" s="25"/>
      <c r="B381" s="26" t="s">
        <v>1087</v>
      </c>
      <c r="C381" t="s">
        <v>1088</v>
      </c>
      <c r="D381" t="s">
        <v>1089</v>
      </c>
      <c r="E381" s="6">
        <v>46121.713032407402</v>
      </c>
      <c r="G381" s="5" t="s">
        <v>397</v>
      </c>
      <c r="H381" t="s">
        <v>309</v>
      </c>
      <c r="I38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</v>
      </c>
      <c r="J381" s="6">
        <v>46122</v>
      </c>
      <c r="L381" s="6">
        <v>46122</v>
      </c>
      <c r="M381" s="7">
        <f>IFERROR(IF(OR(LINEA24[[#This Row],[Fecha_Informe]]="",LINEA24[[#This Row],[FechaRecepcion]]=""),"",INT(LINEA24[[#This Row],[Fecha_Informe]])-INT(LINEA24[[#This Row],[FechaRecepcion]])),"")</f>
        <v>1</v>
      </c>
      <c r="N381" t="s">
        <v>1080</v>
      </c>
      <c r="O381" s="17">
        <v>0</v>
      </c>
      <c r="P381" s="17">
        <v>170</v>
      </c>
    </row>
    <row r="382" spans="1:16">
      <c r="A382" s="25"/>
      <c r="B382" s="26" t="s">
        <v>1090</v>
      </c>
      <c r="C382" t="s">
        <v>1091</v>
      </c>
      <c r="D382" t="s">
        <v>1092</v>
      </c>
      <c r="E382" s="6">
        <v>46121.480868055602</v>
      </c>
      <c r="G382" s="5" t="s">
        <v>400</v>
      </c>
      <c r="H382" t="s">
        <v>5</v>
      </c>
      <c r="I38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40</v>
      </c>
      <c r="J382" s="6">
        <v>46122</v>
      </c>
      <c r="K382" s="6">
        <v>46126</v>
      </c>
      <c r="L382" s="6">
        <v>46161</v>
      </c>
      <c r="M382" s="7">
        <f>IFERROR(IF(OR(LINEA24[[#This Row],[Fecha_Informe]]="",LINEA24[[#This Row],[FechaRecepcion]]=""),"",INT(LINEA24[[#This Row],[Fecha_Informe]])-INT(LINEA24[[#This Row],[FechaRecepcion]])),"")</f>
        <v>40</v>
      </c>
      <c r="N382" t="s">
        <v>1080</v>
      </c>
      <c r="O382" s="17">
        <v>0</v>
      </c>
      <c r="P382" s="17">
        <v>590</v>
      </c>
    </row>
    <row r="383" spans="1:16">
      <c r="A383" s="25"/>
      <c r="B383" s="26" t="s">
        <v>1093</v>
      </c>
      <c r="C383" t="s">
        <v>1094</v>
      </c>
      <c r="D383" t="s">
        <v>1095</v>
      </c>
      <c r="E383" s="6">
        <v>46124.141597222202</v>
      </c>
      <c r="G383" s="5" t="s">
        <v>400</v>
      </c>
      <c r="H383" t="s">
        <v>5</v>
      </c>
      <c r="I38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</v>
      </c>
      <c r="J383" s="6">
        <v>46125</v>
      </c>
      <c r="K383" s="6">
        <v>46132</v>
      </c>
      <c r="L383" s="6">
        <v>46146</v>
      </c>
      <c r="M383" s="7">
        <f>IFERROR(IF(OR(LINEA24[[#This Row],[Fecha_Informe]]="",LINEA24[[#This Row],[FechaRecepcion]]=""),"",INT(LINEA24[[#This Row],[Fecha_Informe]])-INT(LINEA24[[#This Row],[FechaRecepcion]])),"")</f>
        <v>22</v>
      </c>
      <c r="N383" t="s">
        <v>1076</v>
      </c>
      <c r="O383" s="17">
        <v>0</v>
      </c>
      <c r="P383" s="17">
        <v>590</v>
      </c>
    </row>
    <row r="384" spans="1:16">
      <c r="A384" s="25"/>
      <c r="B384" s="26" t="s">
        <v>1096</v>
      </c>
      <c r="C384" t="s">
        <v>1097</v>
      </c>
      <c r="D384" t="s">
        <v>1098</v>
      </c>
      <c r="E384" s="6">
        <v>46127.6222569444</v>
      </c>
      <c r="G384" s="5" t="s">
        <v>397</v>
      </c>
      <c r="H384" t="s">
        <v>5</v>
      </c>
      <c r="I38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</v>
      </c>
      <c r="J384" s="6">
        <v>46127</v>
      </c>
      <c r="L384" s="6">
        <v>46148</v>
      </c>
      <c r="M384" s="7">
        <f>IFERROR(IF(OR(LINEA24[[#This Row],[Fecha_Informe]]="",LINEA24[[#This Row],[FechaRecepcion]]=""),"",INT(LINEA24[[#This Row],[Fecha_Informe]])-INT(LINEA24[[#This Row],[FechaRecepcion]])),"")</f>
        <v>21</v>
      </c>
      <c r="N384" t="s">
        <v>1080</v>
      </c>
      <c r="O384" s="17">
        <v>0</v>
      </c>
      <c r="P384" s="17">
        <v>0</v>
      </c>
    </row>
    <row r="385" spans="1:16">
      <c r="A385" s="25"/>
      <c r="B385" s="26" t="s">
        <v>1099</v>
      </c>
      <c r="C385" t="s">
        <v>1100</v>
      </c>
      <c r="D385" t="s">
        <v>1101</v>
      </c>
      <c r="E385" s="6">
        <v>46127.640613425901</v>
      </c>
      <c r="G385" s="5" t="s">
        <v>397</v>
      </c>
      <c r="H385" t="s">
        <v>5</v>
      </c>
      <c r="I38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7</v>
      </c>
      <c r="J385" s="6">
        <v>46127</v>
      </c>
      <c r="K385" s="6">
        <v>46128</v>
      </c>
      <c r="L385" s="6">
        <v>46134</v>
      </c>
      <c r="M385" s="7">
        <f>IFERROR(IF(OR(LINEA24[[#This Row],[Fecha_Informe]]="",LINEA24[[#This Row],[FechaRecepcion]]=""),"",INT(LINEA24[[#This Row],[Fecha_Informe]])-INT(LINEA24[[#This Row],[FechaRecepcion]])),"")</f>
        <v>7</v>
      </c>
      <c r="N385" t="s">
        <v>1076</v>
      </c>
      <c r="O385" s="17">
        <v>0</v>
      </c>
      <c r="P385" s="17">
        <v>590</v>
      </c>
    </row>
    <row r="386" spans="1:16">
      <c r="A386" s="25"/>
      <c r="B386" s="26" t="s">
        <v>1102</v>
      </c>
      <c r="C386" t="s">
        <v>1103</v>
      </c>
      <c r="D386" t="s">
        <v>1104</v>
      </c>
      <c r="E386" s="6">
        <v>46127.643541666701</v>
      </c>
      <c r="G386" s="5" t="s">
        <v>397</v>
      </c>
      <c r="H386" t="s">
        <v>309</v>
      </c>
      <c r="I38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J386" s="6">
        <v>46127</v>
      </c>
      <c r="L386" s="6">
        <v>46127</v>
      </c>
      <c r="M386" s="7">
        <f>IFERROR(IF(OR(LINEA24[[#This Row],[Fecha_Informe]]="",LINEA24[[#This Row],[FechaRecepcion]]=""),"",INT(LINEA24[[#This Row],[Fecha_Informe]])-INT(LINEA24[[#This Row],[FechaRecepcion]])),"")</f>
        <v>0</v>
      </c>
      <c r="N386" t="s">
        <v>1080</v>
      </c>
      <c r="O386" s="17">
        <v>0</v>
      </c>
      <c r="P386" s="17">
        <v>170</v>
      </c>
    </row>
    <row r="387" spans="1:16">
      <c r="A387" s="25"/>
      <c r="B387" s="26" t="s">
        <v>1105</v>
      </c>
      <c r="C387" t="s">
        <v>1106</v>
      </c>
      <c r="D387" t="s">
        <v>1107</v>
      </c>
      <c r="E387" s="6">
        <v>46128.445706018501</v>
      </c>
      <c r="G387" s="5" t="s">
        <v>400</v>
      </c>
      <c r="H387" t="s">
        <v>5</v>
      </c>
      <c r="I38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J387" s="6">
        <v>46128</v>
      </c>
      <c r="K387" s="6">
        <v>46129</v>
      </c>
      <c r="L387" s="6">
        <v>46136</v>
      </c>
      <c r="M387" s="7">
        <f>IFERROR(IF(OR(LINEA24[[#This Row],[Fecha_Informe]]="",LINEA24[[#This Row],[FechaRecepcion]]=""),"",INT(LINEA24[[#This Row],[Fecha_Informe]])-INT(LINEA24[[#This Row],[FechaRecepcion]])),"")</f>
        <v>8</v>
      </c>
      <c r="N387" t="s">
        <v>1080</v>
      </c>
      <c r="O387" s="17">
        <v>0</v>
      </c>
      <c r="P387" s="17">
        <v>826</v>
      </c>
    </row>
    <row r="388" spans="1:16">
      <c r="A388" s="25"/>
      <c r="B388" s="27" t="s">
        <v>1108</v>
      </c>
      <c r="C388" t="s">
        <v>1109</v>
      </c>
      <c r="D388" t="s">
        <v>1110</v>
      </c>
      <c r="E388" s="6">
        <v>46128.478599536997</v>
      </c>
      <c r="G388" s="5" t="s">
        <v>397</v>
      </c>
      <c r="H388" t="s">
        <v>5</v>
      </c>
      <c r="I38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19</v>
      </c>
      <c r="J388" s="6">
        <v>46128</v>
      </c>
      <c r="K388" s="6">
        <v>46134</v>
      </c>
      <c r="L388" s="6">
        <v>46147</v>
      </c>
      <c r="M388" s="7">
        <f>IFERROR(IF(OR(LINEA24[[#This Row],[Fecha_Informe]]="",LINEA24[[#This Row],[FechaRecepcion]]=""),"",INT(LINEA24[[#This Row],[Fecha_Informe]])-INT(LINEA24[[#This Row],[FechaRecepcion]])),"")</f>
        <v>19</v>
      </c>
      <c r="N388" t="s">
        <v>1080</v>
      </c>
      <c r="O388" s="17">
        <v>0</v>
      </c>
      <c r="P388" s="17">
        <v>590</v>
      </c>
    </row>
    <row r="389" spans="1:16">
      <c r="A389" s="25"/>
      <c r="B389" s="26" t="s">
        <v>1111</v>
      </c>
      <c r="C389" t="s">
        <v>1112</v>
      </c>
      <c r="D389" t="s">
        <v>1113</v>
      </c>
      <c r="E389" s="6">
        <v>46128.683472222197</v>
      </c>
      <c r="G389" s="5" t="s">
        <v>397</v>
      </c>
      <c r="H389" t="s">
        <v>5</v>
      </c>
      <c r="I38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</v>
      </c>
      <c r="J389" s="6">
        <v>46128</v>
      </c>
      <c r="K389" s="6">
        <v>46132</v>
      </c>
      <c r="L389" s="6">
        <v>46133</v>
      </c>
      <c r="M389" s="7">
        <f>IFERROR(IF(OR(LINEA24[[#This Row],[Fecha_Informe]]="",LINEA24[[#This Row],[FechaRecepcion]]=""),"",INT(LINEA24[[#This Row],[Fecha_Informe]])-INT(LINEA24[[#This Row],[FechaRecepcion]])),"")</f>
        <v>5</v>
      </c>
      <c r="N389" t="s">
        <v>1080</v>
      </c>
      <c r="O389" s="17">
        <v>0</v>
      </c>
      <c r="P389" s="17">
        <v>826</v>
      </c>
    </row>
    <row r="390" spans="1:16">
      <c r="A390" s="25"/>
      <c r="B390" s="26" t="s">
        <v>1114</v>
      </c>
      <c r="C390" t="s">
        <v>1115</v>
      </c>
      <c r="D390" t="s">
        <v>1116</v>
      </c>
      <c r="E390" s="6">
        <v>46132.4217361111</v>
      </c>
      <c r="G390" s="5" t="s">
        <v>397</v>
      </c>
      <c r="H390" t="s">
        <v>309</v>
      </c>
      <c r="I39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J390" s="6">
        <v>46132</v>
      </c>
      <c r="L390" s="6">
        <v>46132</v>
      </c>
      <c r="M390" s="7">
        <f>IFERROR(IF(OR(LINEA24[[#This Row],[Fecha_Informe]]="",LINEA24[[#This Row],[FechaRecepcion]]=""),"",INT(LINEA24[[#This Row],[Fecha_Informe]])-INT(LINEA24[[#This Row],[FechaRecepcion]])),"")</f>
        <v>0</v>
      </c>
      <c r="N390" t="s">
        <v>1080</v>
      </c>
      <c r="O390" s="17">
        <v>0</v>
      </c>
      <c r="P390" s="17">
        <v>170</v>
      </c>
    </row>
    <row r="391" spans="1:16">
      <c r="A391" s="25"/>
      <c r="B391" s="27" t="s">
        <v>1117</v>
      </c>
      <c r="C391" t="s">
        <v>1118</v>
      </c>
      <c r="D391" t="s">
        <v>1119</v>
      </c>
      <c r="E391" s="6">
        <v>46133.5847685185</v>
      </c>
      <c r="G391" s="5" t="s">
        <v>397</v>
      </c>
      <c r="H391" t="s">
        <v>5</v>
      </c>
      <c r="I39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</v>
      </c>
      <c r="J391" s="6">
        <v>46133</v>
      </c>
      <c r="L391" s="6">
        <v>46139</v>
      </c>
      <c r="M391" s="7">
        <f>IFERROR(IF(OR(LINEA24[[#This Row],[Fecha_Informe]]="",LINEA24[[#This Row],[FechaRecepcion]]=""),"",INT(LINEA24[[#This Row],[Fecha_Informe]])-INT(LINEA24[[#This Row],[FechaRecepcion]])),"")</f>
        <v>6</v>
      </c>
      <c r="N391" t="s">
        <v>1120</v>
      </c>
      <c r="O391" s="17">
        <v>0</v>
      </c>
      <c r="P391" s="17">
        <v>0</v>
      </c>
    </row>
    <row r="392" spans="1:16">
      <c r="A392" s="25"/>
      <c r="B392" s="26" t="s">
        <v>1121</v>
      </c>
      <c r="C392" t="s">
        <v>1122</v>
      </c>
      <c r="D392" t="s">
        <v>1123</v>
      </c>
      <c r="E392" s="6">
        <v>46133.5010763889</v>
      </c>
      <c r="G392" s="5" t="s">
        <v>397</v>
      </c>
      <c r="H392" t="s">
        <v>5</v>
      </c>
      <c r="I39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J392" s="6">
        <v>46133</v>
      </c>
      <c r="L392" s="6">
        <v>46146</v>
      </c>
      <c r="M392" s="7">
        <f>IFERROR(IF(OR(LINEA24[[#This Row],[Fecha_Informe]]="",LINEA24[[#This Row],[FechaRecepcion]]=""),"",INT(LINEA24[[#This Row],[Fecha_Informe]])-INT(LINEA24[[#This Row],[FechaRecepcion]])),"")</f>
        <v>13</v>
      </c>
      <c r="N392" t="s">
        <v>1080</v>
      </c>
      <c r="O392" s="17">
        <v>0</v>
      </c>
      <c r="P392" s="17">
        <v>826</v>
      </c>
    </row>
    <row r="393" spans="1:16">
      <c r="A393" s="25"/>
      <c r="B393" s="26" t="s">
        <v>1124</v>
      </c>
      <c r="C393" t="s">
        <v>1125</v>
      </c>
      <c r="D393" t="s">
        <v>1126</v>
      </c>
      <c r="E393" s="6">
        <v>46133.5718402778</v>
      </c>
      <c r="G393" s="5" t="s">
        <v>400</v>
      </c>
      <c r="H393" t="s">
        <v>5</v>
      </c>
      <c r="I39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</v>
      </c>
      <c r="J393" s="6">
        <v>46134</v>
      </c>
      <c r="L393" s="6">
        <v>46154</v>
      </c>
      <c r="M393" s="7">
        <f>IFERROR(IF(OR(LINEA24[[#This Row],[Fecha_Informe]]="",LINEA24[[#This Row],[FechaRecepcion]]=""),"",INT(LINEA24[[#This Row],[Fecha_Informe]])-INT(LINEA24[[#This Row],[FechaRecepcion]])),"")</f>
        <v>21</v>
      </c>
      <c r="N393" t="s">
        <v>1080</v>
      </c>
      <c r="O393" s="17">
        <v>0</v>
      </c>
      <c r="P393" s="17">
        <v>0</v>
      </c>
    </row>
    <row r="394" spans="1:16">
      <c r="A394" s="25"/>
      <c r="B394" s="26" t="s">
        <v>1127</v>
      </c>
      <c r="C394" t="s">
        <v>1128</v>
      </c>
      <c r="D394" s="18" t="s">
        <v>1129</v>
      </c>
      <c r="E394" s="6">
        <v>46137.4532175926</v>
      </c>
      <c r="G394" s="5" t="s">
        <v>400</v>
      </c>
      <c r="H394" t="s">
        <v>5</v>
      </c>
      <c r="I39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19</v>
      </c>
      <c r="J394" s="6">
        <v>46139</v>
      </c>
      <c r="K394" s="6">
        <v>46139</v>
      </c>
      <c r="L394" s="6">
        <v>46156</v>
      </c>
      <c r="M394" s="7">
        <f>IFERROR(IF(OR(LINEA24[[#This Row],[Fecha_Informe]]="",LINEA24[[#This Row],[FechaRecepcion]]=""),"",INT(LINEA24[[#This Row],[Fecha_Informe]])-INT(LINEA24[[#This Row],[FechaRecepcion]])),"")</f>
        <v>19</v>
      </c>
      <c r="N394" t="s">
        <v>1076</v>
      </c>
      <c r="O394" s="17">
        <v>0</v>
      </c>
      <c r="P394" s="17">
        <v>590</v>
      </c>
    </row>
    <row r="395" spans="1:16">
      <c r="A395" s="25"/>
      <c r="B395" s="26" t="s">
        <v>1130</v>
      </c>
      <c r="C395" t="s">
        <v>1131</v>
      </c>
      <c r="D395" t="s">
        <v>1132</v>
      </c>
      <c r="E395" s="6">
        <v>46139.533090277801</v>
      </c>
      <c r="G395" s="5" t="s">
        <v>397</v>
      </c>
      <c r="H395" t="s">
        <v>5</v>
      </c>
      <c r="I39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27</v>
      </c>
      <c r="J395" s="6">
        <v>46139</v>
      </c>
      <c r="K395" s="6">
        <v>46140</v>
      </c>
      <c r="L395" s="6">
        <v>46166</v>
      </c>
      <c r="M395" s="7">
        <f>IFERROR(IF(OR(LINEA24[[#This Row],[Fecha_Informe]]="",LINEA24[[#This Row],[FechaRecepcion]]=""),"",INT(LINEA24[[#This Row],[Fecha_Informe]])-INT(LINEA24[[#This Row],[FechaRecepcion]])),"")</f>
        <v>27</v>
      </c>
      <c r="N395" t="s">
        <v>1076</v>
      </c>
      <c r="O395" s="17">
        <v>0</v>
      </c>
      <c r="P395" s="17">
        <v>826</v>
      </c>
    </row>
    <row r="396" spans="1:16">
      <c r="A396" s="25"/>
      <c r="B396" s="26" t="s">
        <v>1133</v>
      </c>
      <c r="C396" t="s">
        <v>1134</v>
      </c>
      <c r="D396" t="s">
        <v>1135</v>
      </c>
      <c r="E396" s="6">
        <v>46139.552627314799</v>
      </c>
      <c r="G396" s="5" t="s">
        <v>397</v>
      </c>
      <c r="H396" t="s">
        <v>5</v>
      </c>
      <c r="I39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J396" s="6">
        <v>46139</v>
      </c>
      <c r="K396" s="6">
        <v>46139</v>
      </c>
      <c r="L396" s="6">
        <v>46147</v>
      </c>
      <c r="M396" s="7">
        <f>IFERROR(IF(OR(LINEA24[[#This Row],[Fecha_Informe]]="",LINEA24[[#This Row],[FechaRecepcion]]=""),"",INT(LINEA24[[#This Row],[Fecha_Informe]])-INT(LINEA24[[#This Row],[FechaRecepcion]])),"")</f>
        <v>8</v>
      </c>
      <c r="N396" t="s">
        <v>1076</v>
      </c>
      <c r="O396" s="17">
        <v>0</v>
      </c>
      <c r="P396" s="17">
        <v>826</v>
      </c>
    </row>
    <row r="397" spans="1:16">
      <c r="A397" s="25"/>
      <c r="B397" s="26" t="s">
        <v>1136</v>
      </c>
      <c r="C397" t="s">
        <v>1137</v>
      </c>
      <c r="D397" t="s">
        <v>1138</v>
      </c>
      <c r="E397" s="6">
        <v>46139.684861111098</v>
      </c>
      <c r="G397" s="5" t="s">
        <v>400</v>
      </c>
      <c r="H397" t="s">
        <v>5</v>
      </c>
      <c r="I39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7</v>
      </c>
      <c r="J397" s="6">
        <v>46139</v>
      </c>
      <c r="K397" s="6">
        <v>46140</v>
      </c>
      <c r="L397" s="6">
        <v>46146</v>
      </c>
      <c r="M397" s="7">
        <f>IFERROR(IF(OR(LINEA24[[#This Row],[Fecha_Informe]]="",LINEA24[[#This Row],[FechaRecepcion]]=""),"",INT(LINEA24[[#This Row],[Fecha_Informe]])-INT(LINEA24[[#This Row],[FechaRecepcion]])),"")</f>
        <v>7</v>
      </c>
      <c r="N397" t="s">
        <v>1080</v>
      </c>
      <c r="O397" s="17">
        <v>0</v>
      </c>
      <c r="P397" s="17">
        <v>826</v>
      </c>
    </row>
    <row r="398" spans="1:16">
      <c r="A398" s="25"/>
      <c r="B398" s="26" t="s">
        <v>1139</v>
      </c>
      <c r="C398" t="s">
        <v>1140</v>
      </c>
      <c r="D398" t="s">
        <v>1141</v>
      </c>
      <c r="E398" s="6">
        <v>46141.153124999997</v>
      </c>
      <c r="G398" s="5" t="s">
        <v>400</v>
      </c>
      <c r="H398" t="s">
        <v>5</v>
      </c>
      <c r="I39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</v>
      </c>
      <c r="J398" s="6">
        <v>46141</v>
      </c>
      <c r="K398" s="6">
        <v>46142</v>
      </c>
      <c r="L398" s="6">
        <v>46146</v>
      </c>
      <c r="M398" s="7">
        <f>IFERROR(IF(OR(LINEA24[[#This Row],[Fecha_Informe]]="",LINEA24[[#This Row],[FechaRecepcion]]=""),"",INT(LINEA24[[#This Row],[Fecha_Informe]])-INT(LINEA24[[#This Row],[FechaRecepcion]])),"")</f>
        <v>5</v>
      </c>
      <c r="N398" t="s">
        <v>1080</v>
      </c>
      <c r="O398" s="17">
        <v>0</v>
      </c>
      <c r="P398" s="17">
        <v>826</v>
      </c>
    </row>
    <row r="399" spans="1:16">
      <c r="A399" s="30"/>
      <c r="B399" s="31" t="s">
        <v>1142</v>
      </c>
      <c r="C399" t="s">
        <v>1143</v>
      </c>
      <c r="D399" t="s">
        <v>1144</v>
      </c>
      <c r="E399" s="6">
        <v>46141.489826388897</v>
      </c>
      <c r="G399" s="5" t="s">
        <v>397</v>
      </c>
      <c r="H399" t="s">
        <v>5</v>
      </c>
      <c r="I39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35</v>
      </c>
      <c r="J399" s="6">
        <v>46141</v>
      </c>
      <c r="K399" s="6">
        <v>46146</v>
      </c>
      <c r="L399" s="6">
        <v>46176</v>
      </c>
      <c r="M399" s="7">
        <f>IFERROR(IF(OR(LINEA24[[#This Row],[Fecha_Informe]]="",LINEA24[[#This Row],[FechaRecepcion]]=""),"",INT(LINEA24[[#This Row],[Fecha_Informe]])-INT(LINEA24[[#This Row],[FechaRecepcion]])),"")</f>
        <v>35</v>
      </c>
      <c r="N399" t="s">
        <v>1080</v>
      </c>
      <c r="O399" s="17">
        <v>0</v>
      </c>
      <c r="P399" s="17">
        <v>0</v>
      </c>
    </row>
    <row r="400" spans="1:16">
      <c r="A400" s="25"/>
      <c r="B400" s="26" t="s">
        <v>1145</v>
      </c>
      <c r="C400" t="s">
        <v>1146</v>
      </c>
      <c r="D400" t="s">
        <v>1147</v>
      </c>
      <c r="E400" s="6">
        <v>46146.537326388898</v>
      </c>
      <c r="G400" s="5" t="s">
        <v>397</v>
      </c>
      <c r="H400" t="s">
        <v>5</v>
      </c>
      <c r="I40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0</v>
      </c>
      <c r="J400" s="6">
        <v>46146</v>
      </c>
      <c r="L400" s="6">
        <v>46146</v>
      </c>
      <c r="M400" s="7">
        <f>IFERROR(IF(OR(LINEA24[[#This Row],[Fecha_Informe]]="",LINEA24[[#This Row],[FechaRecepcion]]=""),"",INT(LINEA24[[#This Row],[Fecha_Informe]])-INT(LINEA24[[#This Row],[FechaRecepcion]])),"")</f>
        <v>0</v>
      </c>
      <c r="N400" t="s">
        <v>1080</v>
      </c>
      <c r="O400" s="17">
        <v>0</v>
      </c>
      <c r="P400" s="17">
        <v>590</v>
      </c>
    </row>
    <row r="401" spans="1:16">
      <c r="A401" s="25"/>
      <c r="B401" s="26" t="s">
        <v>1148</v>
      </c>
      <c r="C401" t="s">
        <v>1149</v>
      </c>
      <c r="D401" t="s">
        <v>1150</v>
      </c>
      <c r="E401" s="6">
        <v>46146.556238425903</v>
      </c>
      <c r="G401" s="5" t="s">
        <v>397</v>
      </c>
      <c r="H401" t="s">
        <v>5</v>
      </c>
      <c r="I40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</v>
      </c>
      <c r="J401" s="6">
        <v>46146</v>
      </c>
      <c r="L401" s="6">
        <v>46167</v>
      </c>
      <c r="M401" s="7">
        <f>IFERROR(IF(OR(LINEA24[[#This Row],[Fecha_Informe]]="",LINEA24[[#This Row],[FechaRecepcion]]=""),"",INT(LINEA24[[#This Row],[Fecha_Informe]])-INT(LINEA24[[#This Row],[FechaRecepcion]])),"")</f>
        <v>21</v>
      </c>
      <c r="N401" t="s">
        <v>1080</v>
      </c>
      <c r="O401" s="17">
        <v>0</v>
      </c>
      <c r="P401" s="17">
        <v>826</v>
      </c>
    </row>
    <row r="402" spans="1:16">
      <c r="A402" s="25" t="s">
        <v>1151</v>
      </c>
      <c r="B402" s="26" t="s">
        <v>1152</v>
      </c>
      <c r="C402" t="s">
        <v>1153</v>
      </c>
      <c r="D402" t="s">
        <v>1154</v>
      </c>
      <c r="E402" s="6">
        <v>46147</v>
      </c>
      <c r="G402" s="5" t="s">
        <v>397</v>
      </c>
      <c r="H402" t="s">
        <v>5</v>
      </c>
      <c r="I40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J402" s="6">
        <v>46147</v>
      </c>
      <c r="K402" s="6">
        <v>46147</v>
      </c>
      <c r="L402" s="6">
        <v>46155</v>
      </c>
      <c r="M402" s="7">
        <f>IFERROR(IF(OR(LINEA24[[#This Row],[Fecha_Informe]]="",LINEA24[[#This Row],[FechaRecepcion]]=""),"",INT(LINEA24[[#This Row],[Fecha_Informe]])-INT(LINEA24[[#This Row],[FechaRecepcion]])),"")</f>
        <v>8</v>
      </c>
      <c r="N402" t="s">
        <v>1076</v>
      </c>
      <c r="O402" s="17">
        <v>0</v>
      </c>
      <c r="P402" s="17">
        <v>826</v>
      </c>
    </row>
    <row r="403" spans="1:16">
      <c r="A403" s="25" t="s">
        <v>1155</v>
      </c>
      <c r="B403" s="26" t="s">
        <v>1156</v>
      </c>
      <c r="C403" t="s">
        <v>1157</v>
      </c>
      <c r="D403" t="s">
        <v>1158</v>
      </c>
      <c r="E403" s="6">
        <v>46149</v>
      </c>
      <c r="G403" s="5" t="s">
        <v>397</v>
      </c>
      <c r="H403" t="s">
        <v>5</v>
      </c>
      <c r="I40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20</v>
      </c>
      <c r="J403" s="6">
        <v>46149</v>
      </c>
      <c r="L403" s="6">
        <v>46169</v>
      </c>
      <c r="M403" s="7">
        <f>IFERROR(IF(OR(LINEA24[[#This Row],[Fecha_Informe]]="",LINEA24[[#This Row],[FechaRecepcion]]=""),"",INT(LINEA24[[#This Row],[Fecha_Informe]])-INT(LINEA24[[#This Row],[FechaRecepcion]])),"")</f>
        <v>20</v>
      </c>
      <c r="N403" t="s">
        <v>1080</v>
      </c>
      <c r="O403" s="17">
        <v>0</v>
      </c>
      <c r="P403" s="17">
        <v>826</v>
      </c>
    </row>
    <row r="404" spans="1:16">
      <c r="A404" s="25" t="s">
        <v>1159</v>
      </c>
      <c r="B404" s="26" t="s">
        <v>1160</v>
      </c>
      <c r="C404" t="s">
        <v>1161</v>
      </c>
      <c r="D404" t="s">
        <v>1162</v>
      </c>
      <c r="E404" s="6">
        <v>46149</v>
      </c>
      <c r="G404" s="5" t="s">
        <v>397</v>
      </c>
      <c r="H404" t="s">
        <v>5</v>
      </c>
      <c r="I40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</v>
      </c>
      <c r="J404" s="6">
        <v>46149</v>
      </c>
      <c r="L404" s="6">
        <v>46150</v>
      </c>
      <c r="M404" s="7">
        <f>IFERROR(IF(OR(LINEA24[[#This Row],[Fecha_Informe]]="",LINEA24[[#This Row],[FechaRecepcion]]=""),"",INT(LINEA24[[#This Row],[Fecha_Informe]])-INT(LINEA24[[#This Row],[FechaRecepcion]])),"")</f>
        <v>1</v>
      </c>
      <c r="N404" t="s">
        <v>1120</v>
      </c>
      <c r="O404" s="17">
        <v>11800</v>
      </c>
      <c r="P404" s="17">
        <v>826</v>
      </c>
    </row>
    <row r="405" spans="1:16">
      <c r="A405" s="25" t="s">
        <v>1163</v>
      </c>
      <c r="B405" s="26" t="s">
        <v>1164</v>
      </c>
      <c r="C405" t="s">
        <v>1165</v>
      </c>
      <c r="D405" t="s">
        <v>1166</v>
      </c>
      <c r="E405" s="6">
        <v>46149</v>
      </c>
      <c r="G405" s="5" t="s">
        <v>397</v>
      </c>
      <c r="H405" t="s">
        <v>5</v>
      </c>
      <c r="I40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J405" s="6">
        <v>46149</v>
      </c>
      <c r="L405" s="6">
        <v>46157</v>
      </c>
      <c r="M405" s="7">
        <f>IFERROR(IF(OR(LINEA24[[#This Row],[Fecha_Informe]]="",LINEA24[[#This Row],[FechaRecepcion]]=""),"",INT(LINEA24[[#This Row],[Fecha_Informe]])-INT(LINEA24[[#This Row],[FechaRecepcion]])),"")</f>
        <v>8</v>
      </c>
      <c r="N405" t="s">
        <v>1076</v>
      </c>
      <c r="O405" s="17">
        <v>0</v>
      </c>
      <c r="P405" s="17">
        <v>826</v>
      </c>
    </row>
    <row r="406" spans="1:16">
      <c r="A406" s="25" t="s">
        <v>1167</v>
      </c>
      <c r="B406" s="26" t="s">
        <v>1168</v>
      </c>
      <c r="C406" t="s">
        <v>1169</v>
      </c>
      <c r="D406" t="s">
        <v>1170</v>
      </c>
      <c r="E406" s="6">
        <v>46149</v>
      </c>
      <c r="G406" s="5" t="s">
        <v>400</v>
      </c>
      <c r="H406" t="s">
        <v>5</v>
      </c>
      <c r="I40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12</v>
      </c>
      <c r="J406" s="6">
        <v>46149</v>
      </c>
      <c r="K406" s="6">
        <v>46150</v>
      </c>
      <c r="L406" s="6">
        <v>46161</v>
      </c>
      <c r="M406" s="7">
        <f>IFERROR(IF(OR(LINEA24[[#This Row],[Fecha_Informe]]="",LINEA24[[#This Row],[FechaRecepcion]]=""),"",INT(LINEA24[[#This Row],[Fecha_Informe]])-INT(LINEA24[[#This Row],[FechaRecepcion]])),"")</f>
        <v>12</v>
      </c>
      <c r="N406" t="s">
        <v>1080</v>
      </c>
      <c r="O406" s="17">
        <v>0</v>
      </c>
      <c r="P406" s="17">
        <v>590</v>
      </c>
    </row>
    <row r="407" spans="1:16">
      <c r="A407" s="25" t="s">
        <v>1171</v>
      </c>
      <c r="B407" s="26" t="s">
        <v>1172</v>
      </c>
      <c r="C407" t="s">
        <v>1173</v>
      </c>
      <c r="D407" t="s">
        <v>1174</v>
      </c>
      <c r="E407" s="6">
        <v>46150.380798611099</v>
      </c>
      <c r="G407" s="5" t="s">
        <v>397</v>
      </c>
      <c r="H407" t="s">
        <v>5</v>
      </c>
      <c r="I40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</v>
      </c>
      <c r="J407" s="6">
        <v>46150</v>
      </c>
      <c r="K407" s="6">
        <v>46154</v>
      </c>
      <c r="L407" s="6">
        <v>46176</v>
      </c>
      <c r="M407" s="7">
        <f>IFERROR(IF(OR(LINEA24[[#This Row],[Fecha_Informe]]="",LINEA24[[#This Row],[FechaRecepcion]]=""),"",INT(LINEA24[[#This Row],[Fecha_Informe]])-INT(LINEA24[[#This Row],[FechaRecepcion]])),"")</f>
        <v>26</v>
      </c>
      <c r="N407" t="s">
        <v>1080</v>
      </c>
      <c r="O407" s="17">
        <v>0</v>
      </c>
      <c r="P407" s="17">
        <v>590</v>
      </c>
    </row>
    <row r="408" spans="1:16">
      <c r="A408" s="25" t="s">
        <v>1175</v>
      </c>
      <c r="B408" s="27" t="s">
        <v>1176</v>
      </c>
      <c r="C408" t="s">
        <v>1177</v>
      </c>
      <c r="D408" t="s">
        <v>1178</v>
      </c>
      <c r="E408" s="6">
        <v>46150</v>
      </c>
      <c r="G408" s="5" t="s">
        <v>397</v>
      </c>
      <c r="H408" t="s">
        <v>5</v>
      </c>
      <c r="I40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11</v>
      </c>
      <c r="J408" s="6">
        <v>46150</v>
      </c>
      <c r="K408" s="6">
        <v>46153</v>
      </c>
      <c r="L408" s="6">
        <v>46161</v>
      </c>
      <c r="M408" s="7">
        <f>IFERROR(IF(OR(LINEA24[[#This Row],[Fecha_Informe]]="",LINEA24[[#This Row],[FechaRecepcion]]=""),"",INT(LINEA24[[#This Row],[Fecha_Informe]])-INT(LINEA24[[#This Row],[FechaRecepcion]])),"")</f>
        <v>11</v>
      </c>
      <c r="N408" t="s">
        <v>1080</v>
      </c>
      <c r="O408" s="17">
        <v>0</v>
      </c>
      <c r="P408" s="17">
        <v>590</v>
      </c>
    </row>
    <row r="409" spans="1:16">
      <c r="A409" s="25" t="s">
        <v>1179</v>
      </c>
      <c r="B409" s="26" t="s">
        <v>1180</v>
      </c>
      <c r="C409" t="s">
        <v>1181</v>
      </c>
      <c r="D409" t="s">
        <v>1182</v>
      </c>
      <c r="E409" s="6">
        <v>46153</v>
      </c>
      <c r="G409" s="5" t="s">
        <v>397</v>
      </c>
      <c r="H409" t="s">
        <v>5</v>
      </c>
      <c r="I40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8</v>
      </c>
      <c r="J409" s="6">
        <v>46153</v>
      </c>
      <c r="K409" s="6">
        <v>46154</v>
      </c>
      <c r="L409" s="6">
        <v>46161</v>
      </c>
      <c r="M409" s="7">
        <f>IFERROR(IF(OR(LINEA24[[#This Row],[Fecha_Informe]]="",LINEA24[[#This Row],[FechaRecepcion]]=""),"",INT(LINEA24[[#This Row],[Fecha_Informe]])-INT(LINEA24[[#This Row],[FechaRecepcion]])),"")</f>
        <v>8</v>
      </c>
      <c r="N409" t="s">
        <v>1080</v>
      </c>
      <c r="O409" s="17">
        <v>0</v>
      </c>
      <c r="P409" s="17">
        <v>590</v>
      </c>
    </row>
    <row r="410" spans="1:16">
      <c r="A410" s="25"/>
      <c r="B410" s="26" t="s">
        <v>1183</v>
      </c>
      <c r="C410" t="s">
        <v>1184</v>
      </c>
      <c r="D410" t="s">
        <v>1185</v>
      </c>
      <c r="E410" s="6">
        <v>46150.802384259303</v>
      </c>
      <c r="G410" s="5" t="s">
        <v>400</v>
      </c>
      <c r="H410" t="s">
        <v>5</v>
      </c>
      <c r="I41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</v>
      </c>
      <c r="J410" s="6">
        <v>46155</v>
      </c>
      <c r="K410" s="6">
        <v>46156</v>
      </c>
      <c r="L410" s="6">
        <v>46171</v>
      </c>
      <c r="M410" s="7">
        <f>IFERROR(IF(OR(LINEA24[[#This Row],[Fecha_Informe]]="",LINEA24[[#This Row],[FechaRecepcion]]=""),"",INT(LINEA24[[#This Row],[Fecha_Informe]])-INT(LINEA24[[#This Row],[FechaRecepcion]])),"")</f>
        <v>21</v>
      </c>
      <c r="N410" t="s">
        <v>1080</v>
      </c>
      <c r="O410" s="17">
        <v>0</v>
      </c>
      <c r="P410" s="17">
        <v>826</v>
      </c>
    </row>
    <row r="411" spans="1:16">
      <c r="A411" s="25"/>
      <c r="B411" s="26" t="s">
        <v>1186</v>
      </c>
      <c r="C411" t="s">
        <v>1187</v>
      </c>
      <c r="D411" t="s">
        <v>1188</v>
      </c>
      <c r="E411" s="6">
        <v>46151.214953703697</v>
      </c>
      <c r="G411" s="5" t="s">
        <v>400</v>
      </c>
      <c r="H411" t="s">
        <v>5</v>
      </c>
      <c r="I41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</v>
      </c>
      <c r="J411" s="6">
        <v>46155</v>
      </c>
      <c r="K411" s="6">
        <v>46161</v>
      </c>
      <c r="L411" s="6">
        <v>46184</v>
      </c>
      <c r="M411" s="7">
        <f>IFERROR(IF(OR(LINEA24[[#This Row],[Fecha_Informe]]="",LINEA24[[#This Row],[FechaRecepcion]]=""),"",INT(LINEA24[[#This Row],[Fecha_Informe]])-INT(LINEA24[[#This Row],[FechaRecepcion]])),"")</f>
        <v>33</v>
      </c>
      <c r="N411" t="s">
        <v>1080</v>
      </c>
      <c r="O411" s="17">
        <v>0</v>
      </c>
      <c r="P411" s="17">
        <v>590</v>
      </c>
    </row>
    <row r="412" spans="1:16">
      <c r="A412" s="25" t="s">
        <v>1189</v>
      </c>
      <c r="B412" s="26" t="s">
        <v>1190</v>
      </c>
      <c r="C412" t="s">
        <v>1191</v>
      </c>
      <c r="D412" t="s">
        <v>1192</v>
      </c>
      <c r="E412" s="6">
        <v>46155</v>
      </c>
      <c r="G412" s="5" t="s">
        <v>397</v>
      </c>
      <c r="H412" t="s">
        <v>5</v>
      </c>
      <c r="I41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</v>
      </c>
      <c r="J412" s="6">
        <v>46155</v>
      </c>
      <c r="L412" s="6">
        <v>46177</v>
      </c>
      <c r="M412" s="7">
        <f>IFERROR(IF(OR(LINEA24[[#This Row],[Fecha_Informe]]="",LINEA24[[#This Row],[FechaRecepcion]]=""),"",INT(LINEA24[[#This Row],[Fecha_Informe]])-INT(LINEA24[[#This Row],[FechaRecepcion]])),"")</f>
        <v>22</v>
      </c>
      <c r="N412" t="s">
        <v>1080</v>
      </c>
      <c r="O412" s="17">
        <v>0</v>
      </c>
      <c r="P412" s="17">
        <v>590</v>
      </c>
    </row>
    <row r="413" spans="1:16">
      <c r="A413" s="25" t="s">
        <v>1193</v>
      </c>
      <c r="B413" s="26" t="s">
        <v>1194</v>
      </c>
      <c r="C413" t="s">
        <v>1195</v>
      </c>
      <c r="D413" t="s">
        <v>1196</v>
      </c>
      <c r="E413" s="6">
        <v>46155</v>
      </c>
      <c r="G413" s="5" t="s">
        <v>397</v>
      </c>
      <c r="H413" t="s">
        <v>3</v>
      </c>
      <c r="I41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156</v>
      </c>
      <c r="J413" s="6">
        <v>46155</v>
      </c>
      <c r="M413" s="7" t="str">
        <f>IFERROR(IF(OR(LINEA24[[#This Row],[Fecha_Informe]]="",LINEA24[[#This Row],[FechaRecepcion]]=""),"",INT(LINEA24[[#This Row],[Fecha_Informe]])-INT(LINEA24[[#This Row],[FechaRecepcion]])),"")</f>
        <v/>
      </c>
      <c r="O413" s="17">
        <v>0</v>
      </c>
      <c r="P413" s="17">
        <v>0</v>
      </c>
    </row>
    <row r="414" spans="1:16">
      <c r="A414" s="25" t="s">
        <v>1197</v>
      </c>
      <c r="B414" s="26" t="s">
        <v>1198</v>
      </c>
      <c r="C414" t="s">
        <v>1199</v>
      </c>
      <c r="D414" t="s">
        <v>1200</v>
      </c>
      <c r="E414" s="6">
        <v>46155</v>
      </c>
      <c r="G414" s="5" t="s">
        <v>397</v>
      </c>
      <c r="H414" t="s">
        <v>5</v>
      </c>
      <c r="I41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</v>
      </c>
      <c r="J414" s="6">
        <v>46155</v>
      </c>
      <c r="K414" s="6">
        <v>46160</v>
      </c>
      <c r="L414" s="6">
        <v>46161</v>
      </c>
      <c r="M414" s="7">
        <f>IFERROR(IF(OR(LINEA24[[#This Row],[Fecha_Informe]]="",LINEA24[[#This Row],[FechaRecepcion]]=""),"",INT(LINEA24[[#This Row],[Fecha_Informe]])-INT(LINEA24[[#This Row],[FechaRecepcion]])),"")</f>
        <v>6</v>
      </c>
      <c r="N414" t="s">
        <v>1080</v>
      </c>
      <c r="O414" s="17">
        <v>0</v>
      </c>
      <c r="P414" s="17">
        <v>400</v>
      </c>
    </row>
    <row r="415" spans="1:16">
      <c r="A415" s="25" t="s">
        <v>1201</v>
      </c>
      <c r="B415" s="26" t="s">
        <v>1202</v>
      </c>
      <c r="C415" t="s">
        <v>1203</v>
      </c>
      <c r="D415" t="s">
        <v>1204</v>
      </c>
      <c r="E415" s="6">
        <v>46156</v>
      </c>
      <c r="G415" s="5" t="s">
        <v>397</v>
      </c>
      <c r="H415" t="s">
        <v>5</v>
      </c>
      <c r="I41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</v>
      </c>
      <c r="J415" s="6">
        <v>46156</v>
      </c>
      <c r="K415" s="6">
        <v>46162</v>
      </c>
      <c r="L415" s="6">
        <v>46189</v>
      </c>
      <c r="M415" s="7">
        <f>IFERROR(IF(OR(LINEA24[[#This Row],[Fecha_Informe]]="",LINEA24[[#This Row],[FechaRecepcion]]=""),"",INT(LINEA24[[#This Row],[Fecha_Informe]])-INT(LINEA24[[#This Row],[FechaRecepcion]])),"")</f>
        <v>33</v>
      </c>
      <c r="N415" t="s">
        <v>1120</v>
      </c>
      <c r="O415" s="17">
        <v>0</v>
      </c>
      <c r="P415" s="17">
        <v>826</v>
      </c>
    </row>
    <row r="416" spans="1:16">
      <c r="A416" s="25" t="s">
        <v>1205</v>
      </c>
      <c r="B416" s="26" t="s">
        <v>1206</v>
      </c>
      <c r="C416" t="s">
        <v>1207</v>
      </c>
      <c r="D416" t="s">
        <v>1208</v>
      </c>
      <c r="E416" s="6">
        <v>46156</v>
      </c>
      <c r="G416" s="5" t="s">
        <v>397</v>
      </c>
      <c r="H416" t="s">
        <v>3</v>
      </c>
      <c r="I41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155</v>
      </c>
      <c r="J416" s="6">
        <v>46156</v>
      </c>
      <c r="M416" s="7" t="str">
        <f>IFERROR(IF(OR(LINEA24[[#This Row],[Fecha_Informe]]="",LINEA24[[#This Row],[FechaRecepcion]]=""),"",INT(LINEA24[[#This Row],[Fecha_Informe]])-INT(LINEA24[[#This Row],[FechaRecepcion]])),"")</f>
        <v/>
      </c>
      <c r="O416" s="17">
        <v>0</v>
      </c>
      <c r="P416" s="17">
        <v>590</v>
      </c>
    </row>
    <row r="417" spans="1:16">
      <c r="A417" s="25" t="s">
        <v>1209</v>
      </c>
      <c r="B417" s="26" t="s">
        <v>1210</v>
      </c>
      <c r="C417" t="s">
        <v>1211</v>
      </c>
      <c r="D417" t="s">
        <v>1212</v>
      </c>
      <c r="E417" s="6">
        <v>46156</v>
      </c>
      <c r="G417" s="5" t="s">
        <v>397</v>
      </c>
      <c r="H417" t="s">
        <v>5</v>
      </c>
      <c r="I41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43</v>
      </c>
      <c r="J417" s="6">
        <v>46156</v>
      </c>
      <c r="L417" s="6">
        <v>46199</v>
      </c>
      <c r="M417" s="7">
        <f>IFERROR(IF(OR(LINEA24[[#This Row],[Fecha_Informe]]="",LINEA24[[#This Row],[FechaRecepcion]]=""),"",INT(LINEA24[[#This Row],[Fecha_Informe]])-INT(LINEA24[[#This Row],[FechaRecepcion]])),"")</f>
        <v>43</v>
      </c>
      <c r="N417" t="s">
        <v>1080</v>
      </c>
      <c r="O417" s="17">
        <v>0</v>
      </c>
      <c r="P417" s="17">
        <v>590</v>
      </c>
    </row>
    <row r="418" spans="1:16">
      <c r="A418" s="25"/>
      <c r="B418" s="26" t="s">
        <v>1213</v>
      </c>
      <c r="C418" t="s">
        <v>1214</v>
      </c>
      <c r="D418" t="s">
        <v>1215</v>
      </c>
      <c r="E418" s="6">
        <v>46157.469166666699</v>
      </c>
      <c r="G418" s="5" t="s">
        <v>400</v>
      </c>
      <c r="H418" t="s">
        <v>5</v>
      </c>
      <c r="I41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J418" s="6">
        <v>46157</v>
      </c>
      <c r="K418" s="6">
        <v>46161</v>
      </c>
      <c r="L418" s="6">
        <v>46170</v>
      </c>
      <c r="M418" s="7">
        <f>IFERROR(IF(OR(LINEA24[[#This Row],[Fecha_Informe]]="",LINEA24[[#This Row],[FechaRecepcion]]=""),"",INT(LINEA24[[#This Row],[Fecha_Informe]])-INT(LINEA24[[#This Row],[FechaRecepcion]])),"")</f>
        <v>13</v>
      </c>
      <c r="N418" t="s">
        <v>1080</v>
      </c>
      <c r="O418" s="17">
        <v>0</v>
      </c>
      <c r="P418" s="17">
        <v>590</v>
      </c>
    </row>
    <row r="419" spans="1:16">
      <c r="A419" s="25"/>
      <c r="B419" s="26" t="s">
        <v>1216</v>
      </c>
      <c r="C419" t="s">
        <v>1217</v>
      </c>
      <c r="D419" t="s">
        <v>1218</v>
      </c>
      <c r="E419" s="6">
        <v>46158.448460648098</v>
      </c>
      <c r="G419" s="5" t="s">
        <v>400</v>
      </c>
      <c r="H419" t="s">
        <v>5</v>
      </c>
      <c r="I41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16</v>
      </c>
      <c r="J419" s="6">
        <v>46160</v>
      </c>
      <c r="K419" s="6">
        <v>46161</v>
      </c>
      <c r="L419" s="6">
        <v>46174</v>
      </c>
      <c r="M419" s="7">
        <f>IFERROR(IF(OR(LINEA24[[#This Row],[Fecha_Informe]]="",LINEA24[[#This Row],[FechaRecepcion]]=""),"",INT(LINEA24[[#This Row],[Fecha_Informe]])-INT(LINEA24[[#This Row],[FechaRecepcion]])),"")</f>
        <v>16</v>
      </c>
      <c r="N419" t="s">
        <v>1076</v>
      </c>
      <c r="O419" s="17">
        <v>0</v>
      </c>
      <c r="P419" s="17">
        <v>590</v>
      </c>
    </row>
    <row r="420" spans="1:16">
      <c r="A420" s="25"/>
      <c r="B420" s="26" t="s">
        <v>1219</v>
      </c>
      <c r="C420" t="s">
        <v>1220</v>
      </c>
      <c r="D420" t="s">
        <v>1221</v>
      </c>
      <c r="E420" s="6">
        <v>46160.312743055598</v>
      </c>
      <c r="G420" s="5" t="s">
        <v>400</v>
      </c>
      <c r="H420" t="s">
        <v>5</v>
      </c>
      <c r="I42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</v>
      </c>
      <c r="J420" s="6">
        <v>46160</v>
      </c>
      <c r="K420" s="6">
        <v>46160</v>
      </c>
      <c r="L420" s="6">
        <v>46182</v>
      </c>
      <c r="M420" s="7">
        <f>IFERROR(IF(OR(LINEA24[[#This Row],[Fecha_Informe]]="",LINEA24[[#This Row],[FechaRecepcion]]=""),"",INT(LINEA24[[#This Row],[Fecha_Informe]])-INT(LINEA24[[#This Row],[FechaRecepcion]])),"")</f>
        <v>22</v>
      </c>
      <c r="N420" t="s">
        <v>1080</v>
      </c>
      <c r="O420" s="17">
        <v>0</v>
      </c>
      <c r="P420" s="17">
        <v>590</v>
      </c>
    </row>
    <row r="421" spans="1:16">
      <c r="A421" s="25" t="s">
        <v>1222</v>
      </c>
      <c r="B421" s="26" t="s">
        <v>1223</v>
      </c>
      <c r="C421" t="s">
        <v>1224</v>
      </c>
      <c r="D421" t="s">
        <v>1225</v>
      </c>
      <c r="E421" s="6">
        <v>46160</v>
      </c>
      <c r="G421" s="5" t="s">
        <v>397</v>
      </c>
      <c r="H421" t="s">
        <v>5</v>
      </c>
      <c r="I42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16</v>
      </c>
      <c r="J421" s="6">
        <v>46160</v>
      </c>
      <c r="K421" s="6">
        <v>46163</v>
      </c>
      <c r="L421" s="6">
        <v>46176</v>
      </c>
      <c r="M421" s="7">
        <f>IFERROR(IF(OR(LINEA24[[#This Row],[Fecha_Informe]]="",LINEA24[[#This Row],[FechaRecepcion]]=""),"",INT(LINEA24[[#This Row],[Fecha_Informe]])-INT(LINEA24[[#This Row],[FechaRecepcion]])),"")</f>
        <v>16</v>
      </c>
      <c r="N421" t="s">
        <v>1080</v>
      </c>
      <c r="O421" s="17">
        <v>0</v>
      </c>
      <c r="P421" s="17">
        <v>170</v>
      </c>
    </row>
    <row r="422" spans="1:16">
      <c r="A422" s="25" t="s">
        <v>1226</v>
      </c>
      <c r="B422" s="26" t="s">
        <v>1227</v>
      </c>
      <c r="C422" t="s">
        <v>1228</v>
      </c>
      <c r="D422" t="s">
        <v>1229</v>
      </c>
      <c r="E422" s="6">
        <v>46160</v>
      </c>
      <c r="G422" s="5" t="s">
        <v>397</v>
      </c>
      <c r="H422" t="s">
        <v>3</v>
      </c>
      <c r="I42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35</v>
      </c>
      <c r="J422" s="6">
        <v>46160</v>
      </c>
      <c r="K422" s="6">
        <v>46160</v>
      </c>
      <c r="L422" s="6">
        <v>46195</v>
      </c>
      <c r="M422" s="7">
        <f>IFERROR(IF(OR(LINEA24[[#This Row],[Fecha_Informe]]="",LINEA24[[#This Row],[FechaRecepcion]]=""),"",INT(LINEA24[[#This Row],[Fecha_Informe]])-INT(LINEA24[[#This Row],[FechaRecepcion]])),"")</f>
        <v>35</v>
      </c>
      <c r="N422" t="s">
        <v>1080</v>
      </c>
      <c r="O422" s="17">
        <v>0</v>
      </c>
      <c r="P422" s="17">
        <v>590</v>
      </c>
    </row>
    <row r="423" spans="1:16">
      <c r="A423" s="25"/>
      <c r="B423" s="27" t="s">
        <v>1230</v>
      </c>
      <c r="C423" t="s">
        <v>1231</v>
      </c>
      <c r="D423" t="s">
        <v>1232</v>
      </c>
      <c r="E423" s="6">
        <v>46161.728773148097</v>
      </c>
      <c r="G423" s="5" t="s">
        <v>400</v>
      </c>
      <c r="H423" t="s">
        <v>309</v>
      </c>
      <c r="I42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34</v>
      </c>
      <c r="J423" s="6">
        <v>46162</v>
      </c>
      <c r="L423" s="6">
        <v>46195</v>
      </c>
      <c r="M423" s="7">
        <f>IFERROR(IF(OR(LINEA24[[#This Row],[Fecha_Informe]]="",LINEA24[[#This Row],[FechaRecepcion]]=""),"",INT(LINEA24[[#This Row],[Fecha_Informe]])-INT(LINEA24[[#This Row],[FechaRecepcion]])),"")</f>
        <v>34</v>
      </c>
      <c r="N423" t="s">
        <v>1120</v>
      </c>
      <c r="O423" s="17">
        <v>50000</v>
      </c>
      <c r="P423" s="17">
        <v>590</v>
      </c>
    </row>
    <row r="424" spans="1:16">
      <c r="A424" s="25" t="s">
        <v>1233</v>
      </c>
      <c r="B424" s="26" t="s">
        <v>1234</v>
      </c>
      <c r="C424" t="s">
        <v>1235</v>
      </c>
      <c r="D424" t="s">
        <v>1236</v>
      </c>
      <c r="E424" s="6">
        <v>46162</v>
      </c>
      <c r="G424" s="5" t="s">
        <v>397</v>
      </c>
      <c r="H424" t="s">
        <v>3</v>
      </c>
      <c r="I42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33</v>
      </c>
      <c r="J424" s="6">
        <v>46162</v>
      </c>
      <c r="K424" s="6">
        <v>46164</v>
      </c>
      <c r="L424" s="6">
        <v>46195</v>
      </c>
      <c r="M424" s="7">
        <f>IFERROR(IF(OR(LINEA24[[#This Row],[Fecha_Informe]]="",LINEA24[[#This Row],[FechaRecepcion]]=""),"",INT(LINEA24[[#This Row],[Fecha_Informe]])-INT(LINEA24[[#This Row],[FechaRecepcion]])),"")</f>
        <v>33</v>
      </c>
      <c r="N424" t="s">
        <v>1080</v>
      </c>
      <c r="O424" s="17">
        <v>0</v>
      </c>
      <c r="P424" s="17">
        <v>590</v>
      </c>
    </row>
    <row r="425" spans="1:16">
      <c r="A425" s="25"/>
      <c r="B425" s="26" t="s">
        <v>1237</v>
      </c>
      <c r="C425" t="s">
        <v>1238</v>
      </c>
      <c r="D425" t="s">
        <v>1239</v>
      </c>
      <c r="E425" s="6">
        <v>46162.8210300926</v>
      </c>
      <c r="G425" s="5" t="s">
        <v>400</v>
      </c>
      <c r="H425" t="s">
        <v>309</v>
      </c>
      <c r="I42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149</v>
      </c>
      <c r="J425" s="6">
        <v>46162</v>
      </c>
      <c r="K425" s="6">
        <v>46163</v>
      </c>
      <c r="M425" s="7" t="str">
        <f>IFERROR(IF(OR(LINEA24[[#This Row],[Fecha_Informe]]="",LINEA24[[#This Row],[FechaRecepcion]]=""),"",INT(LINEA24[[#This Row],[Fecha_Informe]])-INT(LINEA24[[#This Row],[FechaRecepcion]])),"")</f>
        <v/>
      </c>
      <c r="O425" s="17">
        <v>0</v>
      </c>
      <c r="P425" s="17">
        <v>590</v>
      </c>
    </row>
    <row r="426" spans="1:16">
      <c r="A426" s="25" t="s">
        <v>1240</v>
      </c>
      <c r="B426" s="26" t="s">
        <v>1241</v>
      </c>
      <c r="C426" t="s">
        <v>1242</v>
      </c>
      <c r="D426" t="s">
        <v>1243</v>
      </c>
      <c r="E426" s="6">
        <v>46163</v>
      </c>
      <c r="G426" s="5" t="s">
        <v>397</v>
      </c>
      <c r="H426" t="s">
        <v>5</v>
      </c>
      <c r="I42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7</v>
      </c>
      <c r="J426" s="6">
        <v>46163</v>
      </c>
      <c r="K426" s="6">
        <v>46164</v>
      </c>
      <c r="L426" s="6">
        <v>46170</v>
      </c>
      <c r="M426" s="7">
        <f>IFERROR(IF(OR(LINEA24[[#This Row],[Fecha_Informe]]="",LINEA24[[#This Row],[FechaRecepcion]]=""),"",INT(LINEA24[[#This Row],[Fecha_Informe]])-INT(LINEA24[[#This Row],[FechaRecepcion]])),"")</f>
        <v>7</v>
      </c>
      <c r="O426" s="17">
        <v>0</v>
      </c>
      <c r="P426" s="17">
        <v>0</v>
      </c>
    </row>
    <row r="427" spans="1:16">
      <c r="A427" s="25" t="s">
        <v>1244</v>
      </c>
      <c r="B427" s="26" t="s">
        <v>1245</v>
      </c>
      <c r="C427" t="s">
        <v>1246</v>
      </c>
      <c r="D427" t="s">
        <v>1247</v>
      </c>
      <c r="E427" s="6">
        <v>46163</v>
      </c>
      <c r="G427" s="5" t="s">
        <v>397</v>
      </c>
      <c r="H427" t="s">
        <v>3</v>
      </c>
      <c r="I42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148</v>
      </c>
      <c r="J427" s="6">
        <v>46163</v>
      </c>
      <c r="M427" s="7" t="str">
        <f>IFERROR(IF(OR(LINEA24[[#This Row],[Fecha_Informe]]="",LINEA24[[#This Row],[FechaRecepcion]]=""),"",INT(LINEA24[[#This Row],[Fecha_Informe]])-INT(LINEA24[[#This Row],[FechaRecepcion]])),"")</f>
        <v/>
      </c>
      <c r="O427" s="17">
        <v>0</v>
      </c>
      <c r="P427" s="17">
        <v>0</v>
      </c>
    </row>
    <row r="428" spans="1:16">
      <c r="A428" s="25" t="s">
        <v>1248</v>
      </c>
      <c r="B428" s="26" t="s">
        <v>1249</v>
      </c>
      <c r="C428" t="s">
        <v>1250</v>
      </c>
      <c r="D428" t="s">
        <v>1251</v>
      </c>
      <c r="E428" s="6">
        <v>46167</v>
      </c>
      <c r="G428" s="5" t="s">
        <v>397</v>
      </c>
      <c r="H428" t="s">
        <v>5</v>
      </c>
      <c r="I42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</v>
      </c>
      <c r="J428" s="6">
        <v>46167</v>
      </c>
      <c r="K428" s="6">
        <v>46167</v>
      </c>
      <c r="L428" s="6">
        <v>46199</v>
      </c>
      <c r="M428" s="7">
        <f>IFERROR(IF(OR(LINEA24[[#This Row],[Fecha_Informe]]="",LINEA24[[#This Row],[FechaRecepcion]]=""),"",INT(LINEA24[[#This Row],[Fecha_Informe]])-INT(LINEA24[[#This Row],[FechaRecepcion]])),"")</f>
        <v>32</v>
      </c>
      <c r="O428" s="17">
        <v>0</v>
      </c>
      <c r="P428" s="17">
        <v>0</v>
      </c>
    </row>
    <row r="429" spans="1:16">
      <c r="A429" s="25" t="s">
        <v>1252</v>
      </c>
      <c r="B429" s="26" t="s">
        <v>1253</v>
      </c>
      <c r="C429" t="s">
        <v>1254</v>
      </c>
      <c r="D429" t="s">
        <v>1255</v>
      </c>
      <c r="E429" s="6">
        <v>46167</v>
      </c>
      <c r="G429" s="5" t="s">
        <v>397</v>
      </c>
      <c r="H429" t="s">
        <v>5</v>
      </c>
      <c r="I42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18</v>
      </c>
      <c r="J429" s="6">
        <v>46167</v>
      </c>
      <c r="K429" s="6">
        <v>46167</v>
      </c>
      <c r="L429" s="6">
        <v>46185</v>
      </c>
      <c r="M429" s="7">
        <f>IFERROR(IF(OR(LINEA24[[#This Row],[Fecha_Informe]]="",LINEA24[[#This Row],[FechaRecepcion]]=""),"",INT(LINEA24[[#This Row],[Fecha_Informe]])-INT(LINEA24[[#This Row],[FechaRecepcion]])),"")</f>
        <v>18</v>
      </c>
      <c r="O429" s="17">
        <v>0</v>
      </c>
      <c r="P429" s="17">
        <v>0</v>
      </c>
    </row>
    <row r="430" spans="1:16">
      <c r="A430" s="25"/>
      <c r="B430" s="26" t="s">
        <v>1256</v>
      </c>
      <c r="C430" t="s">
        <v>1257</v>
      </c>
      <c r="D430" t="s">
        <v>1258</v>
      </c>
      <c r="E430" s="6">
        <v>46169.664594907401</v>
      </c>
      <c r="G430" s="5" t="s">
        <v>400</v>
      </c>
      <c r="H430" t="s">
        <v>5</v>
      </c>
      <c r="I43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</v>
      </c>
      <c r="J430" s="6">
        <v>46169</v>
      </c>
      <c r="K430" s="6">
        <v>46171</v>
      </c>
      <c r="L430" s="6">
        <v>46190</v>
      </c>
      <c r="M430" s="7">
        <f>IFERROR(IF(OR(LINEA24[[#This Row],[Fecha_Informe]]="",LINEA24[[#This Row],[FechaRecepcion]]=""),"",INT(LINEA24[[#This Row],[Fecha_Informe]])-INT(LINEA24[[#This Row],[FechaRecepcion]])),"")</f>
        <v>21</v>
      </c>
      <c r="O430" s="17">
        <v>0</v>
      </c>
      <c r="P430" s="17">
        <v>0</v>
      </c>
    </row>
    <row r="431" spans="1:16">
      <c r="A431" s="25" t="s">
        <v>1259</v>
      </c>
      <c r="B431" s="26" t="s">
        <v>1260</v>
      </c>
      <c r="C431" t="s">
        <v>1261</v>
      </c>
      <c r="D431" t="s">
        <v>1262</v>
      </c>
      <c r="E431" s="6">
        <v>46169</v>
      </c>
      <c r="G431" s="5" t="s">
        <v>397</v>
      </c>
      <c r="H431" t="s">
        <v>5</v>
      </c>
      <c r="I43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</v>
      </c>
      <c r="J431" s="6">
        <v>46169</v>
      </c>
      <c r="L431" s="6">
        <v>46183</v>
      </c>
      <c r="M431" s="7">
        <f>IFERROR(IF(OR(LINEA24[[#This Row],[Fecha_Informe]]="",LINEA24[[#This Row],[FechaRecepcion]]=""),"",INT(LINEA24[[#This Row],[Fecha_Informe]])-INT(LINEA24[[#This Row],[FechaRecepcion]])),"")</f>
        <v>14</v>
      </c>
      <c r="O431" s="17">
        <v>0</v>
      </c>
      <c r="P431" s="17">
        <v>0</v>
      </c>
    </row>
    <row r="432" spans="1:16">
      <c r="A432" s="25"/>
      <c r="B432" s="26" t="s">
        <v>1263</v>
      </c>
      <c r="C432" t="s">
        <v>1264</v>
      </c>
      <c r="D432" t="s">
        <v>1265</v>
      </c>
      <c r="E432" s="6">
        <v>46171.514988425901</v>
      </c>
      <c r="G432" s="5" t="s">
        <v>400</v>
      </c>
      <c r="H432" t="s">
        <v>5</v>
      </c>
      <c r="I43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17</v>
      </c>
      <c r="J432" s="6">
        <v>46171</v>
      </c>
      <c r="K432" s="6">
        <v>37408</v>
      </c>
      <c r="L432" s="6">
        <v>46188</v>
      </c>
      <c r="M432" s="7">
        <f>IFERROR(IF(OR(LINEA24[[#This Row],[Fecha_Informe]]="",LINEA24[[#This Row],[FechaRecepcion]]=""),"",INT(LINEA24[[#This Row],[Fecha_Informe]])-INT(LINEA24[[#This Row],[FechaRecepcion]])),"")</f>
        <v>17</v>
      </c>
      <c r="O432" s="17">
        <v>0</v>
      </c>
      <c r="P432" s="17">
        <v>0</v>
      </c>
    </row>
    <row r="433" spans="1:16">
      <c r="A433" s="25" t="s">
        <v>1266</v>
      </c>
      <c r="B433" s="26" t="s">
        <v>1267</v>
      </c>
      <c r="C433" t="s">
        <v>1268</v>
      </c>
      <c r="D433" t="s">
        <v>1269</v>
      </c>
      <c r="E433" s="6">
        <v>46174</v>
      </c>
      <c r="G433" s="5" t="s">
        <v>400</v>
      </c>
      <c r="H433" t="s">
        <v>5</v>
      </c>
      <c r="I43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11</v>
      </c>
      <c r="J433" s="6">
        <v>46174</v>
      </c>
      <c r="L433" s="6">
        <v>46185</v>
      </c>
      <c r="M433" s="7">
        <f>IFERROR(IF(OR(LINEA24[[#This Row],[Fecha_Informe]]="",LINEA24[[#This Row],[FechaRecepcion]]=""),"",INT(LINEA24[[#This Row],[Fecha_Informe]])-INT(LINEA24[[#This Row],[FechaRecepcion]])),"")</f>
        <v>11</v>
      </c>
      <c r="O433" s="17">
        <v>0</v>
      </c>
      <c r="P433" s="17">
        <v>0</v>
      </c>
    </row>
    <row r="434" spans="1:16">
      <c r="A434" s="25" t="s">
        <v>1270</v>
      </c>
      <c r="B434" s="27" t="s">
        <v>1271</v>
      </c>
      <c r="C434" t="s">
        <v>1272</v>
      </c>
      <c r="D434" t="s">
        <v>1273</v>
      </c>
      <c r="E434" s="6">
        <v>46174</v>
      </c>
      <c r="G434" s="5" t="s">
        <v>397</v>
      </c>
      <c r="H434" t="s">
        <v>5</v>
      </c>
      <c r="I43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10</v>
      </c>
      <c r="J434" s="6">
        <v>46174</v>
      </c>
      <c r="K434" s="6">
        <v>46175</v>
      </c>
      <c r="L434" s="6">
        <v>46184</v>
      </c>
      <c r="M434" s="7">
        <f>IFERROR(IF(OR(LINEA24[[#This Row],[Fecha_Informe]]="",LINEA24[[#This Row],[FechaRecepcion]]=""),"",INT(LINEA24[[#This Row],[Fecha_Informe]])-INT(LINEA24[[#This Row],[FechaRecepcion]])),"")</f>
        <v>10</v>
      </c>
      <c r="O434" s="17">
        <v>0</v>
      </c>
      <c r="P434" s="17">
        <v>0</v>
      </c>
    </row>
    <row r="435" spans="1:16">
      <c r="A435" s="25" t="s">
        <v>1274</v>
      </c>
      <c r="B435" s="26" t="s">
        <v>1275</v>
      </c>
      <c r="C435" t="s">
        <v>1276</v>
      </c>
      <c r="D435" t="s">
        <v>1277</v>
      </c>
      <c r="E435" s="6">
        <v>46174</v>
      </c>
      <c r="G435" s="5" t="s">
        <v>397</v>
      </c>
      <c r="H435" t="s">
        <v>3</v>
      </c>
      <c r="I43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137</v>
      </c>
      <c r="J435" s="6">
        <v>46174</v>
      </c>
      <c r="K435" s="6">
        <v>46175</v>
      </c>
      <c r="M435" s="7" t="str">
        <f>IFERROR(IF(OR(LINEA24[[#This Row],[Fecha_Informe]]="",LINEA24[[#This Row],[FechaRecepcion]]=""),"",INT(LINEA24[[#This Row],[Fecha_Informe]])-INT(LINEA24[[#This Row],[FechaRecepcion]])),"")</f>
        <v/>
      </c>
      <c r="O435" s="17">
        <v>0</v>
      </c>
      <c r="P435" s="17">
        <v>0</v>
      </c>
    </row>
    <row r="436" spans="1:16">
      <c r="A436" s="25" t="s">
        <v>1278</v>
      </c>
      <c r="B436" s="26" t="s">
        <v>1279</v>
      </c>
      <c r="C436" t="s">
        <v>1280</v>
      </c>
      <c r="D436" t="s">
        <v>1281</v>
      </c>
      <c r="E436" s="6">
        <v>46175</v>
      </c>
      <c r="G436" s="5" t="s">
        <v>397</v>
      </c>
      <c r="H436" t="s">
        <v>5</v>
      </c>
      <c r="I43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</v>
      </c>
      <c r="J436" s="6">
        <v>46175</v>
      </c>
      <c r="L436" s="6">
        <v>46203</v>
      </c>
      <c r="M436" s="7">
        <f>IFERROR(IF(OR(LINEA24[[#This Row],[Fecha_Informe]]="",LINEA24[[#This Row],[FechaRecepcion]]=""),"",INT(LINEA24[[#This Row],[Fecha_Informe]])-INT(LINEA24[[#This Row],[FechaRecepcion]])),"")</f>
        <v>28</v>
      </c>
      <c r="O436" s="17">
        <v>0</v>
      </c>
      <c r="P436" s="17">
        <v>0</v>
      </c>
    </row>
    <row r="437" spans="1:16">
      <c r="A437" s="25" t="s">
        <v>1282</v>
      </c>
      <c r="B437" s="26" t="s">
        <v>1283</v>
      </c>
      <c r="C437" t="s">
        <v>1284</v>
      </c>
      <c r="D437" t="s">
        <v>1285</v>
      </c>
      <c r="E437" s="6">
        <v>46176</v>
      </c>
      <c r="G437" s="5" t="s">
        <v>400</v>
      </c>
      <c r="H437" t="s">
        <v>3</v>
      </c>
      <c r="I43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135</v>
      </c>
      <c r="J437" s="6">
        <v>46176</v>
      </c>
      <c r="K437" s="6">
        <v>46176</v>
      </c>
      <c r="M437" s="7" t="str">
        <f>IFERROR(IF(OR(LINEA24[[#This Row],[Fecha_Informe]]="",LINEA24[[#This Row],[FechaRecepcion]]=""),"",INT(LINEA24[[#This Row],[Fecha_Informe]])-INT(LINEA24[[#This Row],[FechaRecepcion]])),"")</f>
        <v/>
      </c>
      <c r="O437" s="17">
        <v>0</v>
      </c>
      <c r="P437" s="17">
        <v>0</v>
      </c>
    </row>
    <row r="438" spans="1:16">
      <c r="A438" s="25" t="s">
        <v>1286</v>
      </c>
      <c r="B438" s="26" t="s">
        <v>1287</v>
      </c>
      <c r="C438" t="s">
        <v>1288</v>
      </c>
      <c r="D438" t="s">
        <v>1289</v>
      </c>
      <c r="E438" s="6">
        <v>46176</v>
      </c>
      <c r="G438" s="5" t="s">
        <v>397</v>
      </c>
      <c r="H438" t="s">
        <v>3</v>
      </c>
      <c r="I43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135</v>
      </c>
      <c r="J438" s="6">
        <v>46176</v>
      </c>
      <c r="M438" s="7" t="str">
        <f>IFERROR(IF(OR(LINEA24[[#This Row],[Fecha_Informe]]="",LINEA24[[#This Row],[FechaRecepcion]]=""),"",INT(LINEA24[[#This Row],[Fecha_Informe]])-INT(LINEA24[[#This Row],[FechaRecepcion]])),"")</f>
        <v/>
      </c>
      <c r="O438" s="17">
        <v>0</v>
      </c>
      <c r="P438" s="17">
        <v>0</v>
      </c>
    </row>
    <row r="439" spans="1:16">
      <c r="A439" s="25" t="s">
        <v>1290</v>
      </c>
      <c r="B439" s="26" t="s">
        <v>1291</v>
      </c>
      <c r="C439" t="s">
        <v>1292</v>
      </c>
      <c r="D439" t="s">
        <v>1293</v>
      </c>
      <c r="E439" s="6">
        <v>46176</v>
      </c>
      <c r="G439" s="5" t="s">
        <v>397</v>
      </c>
      <c r="H439" t="s">
        <v>5</v>
      </c>
      <c r="I43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9</v>
      </c>
      <c r="J439" s="6">
        <v>46176</v>
      </c>
      <c r="L439" s="6">
        <v>46185</v>
      </c>
      <c r="M439" s="7">
        <f>IFERROR(IF(OR(LINEA24[[#This Row],[Fecha_Informe]]="",LINEA24[[#This Row],[FechaRecepcion]]=""),"",INT(LINEA24[[#This Row],[Fecha_Informe]])-INT(LINEA24[[#This Row],[FechaRecepcion]])),"")</f>
        <v>9</v>
      </c>
      <c r="O439" s="17">
        <v>0</v>
      </c>
      <c r="P439" s="17">
        <v>0</v>
      </c>
    </row>
    <row r="440" spans="1:16">
      <c r="A440" s="25" t="s">
        <v>1294</v>
      </c>
      <c r="B440" s="26" t="s">
        <v>1295</v>
      </c>
      <c r="C440" t="s">
        <v>1296</v>
      </c>
      <c r="D440" t="s">
        <v>1297</v>
      </c>
      <c r="E440" s="6">
        <v>46177</v>
      </c>
      <c r="G440" s="5" t="s">
        <v>400</v>
      </c>
      <c r="H440" t="s">
        <v>5</v>
      </c>
      <c r="I44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</v>
      </c>
      <c r="J440" s="6">
        <v>46177</v>
      </c>
      <c r="K440" s="6">
        <v>46182</v>
      </c>
      <c r="L440" s="6">
        <v>46203</v>
      </c>
      <c r="M440" s="7">
        <f>IFERROR(IF(OR(LINEA24[[#This Row],[Fecha_Informe]]="",LINEA24[[#This Row],[FechaRecepcion]]=""),"",INT(LINEA24[[#This Row],[Fecha_Informe]])-INT(LINEA24[[#This Row],[FechaRecepcion]])),"")</f>
        <v>26</v>
      </c>
      <c r="O440" s="17">
        <v>0</v>
      </c>
      <c r="P440" s="17">
        <v>0</v>
      </c>
    </row>
    <row r="441" spans="1:16">
      <c r="A441" s="25" t="s">
        <v>1298</v>
      </c>
      <c r="B441" s="26" t="s">
        <v>1299</v>
      </c>
      <c r="C441" t="s">
        <v>1300</v>
      </c>
      <c r="D441" t="s">
        <v>1301</v>
      </c>
      <c r="E441" s="6">
        <v>46177</v>
      </c>
      <c r="G441" s="5" t="s">
        <v>400</v>
      </c>
      <c r="H441" t="s">
        <v>5</v>
      </c>
      <c r="I44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18</v>
      </c>
      <c r="J441" s="6">
        <v>46177</v>
      </c>
      <c r="K441" s="6">
        <v>46181</v>
      </c>
      <c r="L441" s="6">
        <v>46195</v>
      </c>
      <c r="M441" s="7">
        <f>IFERROR(IF(OR(LINEA24[[#This Row],[Fecha_Informe]]="",LINEA24[[#This Row],[FechaRecepcion]]=""),"",INT(LINEA24[[#This Row],[Fecha_Informe]])-INT(LINEA24[[#This Row],[FechaRecepcion]])),"")</f>
        <v>18</v>
      </c>
      <c r="O441" s="17">
        <v>0</v>
      </c>
      <c r="P441" s="17">
        <v>0</v>
      </c>
    </row>
    <row r="442" spans="1:16">
      <c r="A442" s="25" t="s">
        <v>1302</v>
      </c>
      <c r="B442" s="26" t="s">
        <v>1303</v>
      </c>
      <c r="C442" t="s">
        <v>1304</v>
      </c>
      <c r="D442" t="s">
        <v>1305</v>
      </c>
      <c r="E442" s="6">
        <v>46178</v>
      </c>
      <c r="G442" s="5" t="s">
        <v>397</v>
      </c>
      <c r="H442" t="s">
        <v>5</v>
      </c>
      <c r="I44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</v>
      </c>
      <c r="J442" s="6">
        <v>46178</v>
      </c>
      <c r="L442" s="6">
        <v>46199</v>
      </c>
      <c r="M442" s="7">
        <f>IFERROR(IF(OR(LINEA24[[#This Row],[Fecha_Informe]]="",LINEA24[[#This Row],[FechaRecepcion]]=""),"",INT(LINEA24[[#This Row],[Fecha_Informe]])-INT(LINEA24[[#This Row],[FechaRecepcion]])),"")</f>
        <v>21</v>
      </c>
      <c r="N442" t="s">
        <v>1120</v>
      </c>
      <c r="O442" s="17">
        <v>0</v>
      </c>
      <c r="P442" s="17">
        <v>0</v>
      </c>
    </row>
    <row r="443" spans="1:16">
      <c r="A443" s="25" t="s">
        <v>1306</v>
      </c>
      <c r="B443" s="26" t="s">
        <v>1307</v>
      </c>
      <c r="C443" t="s">
        <v>1308</v>
      </c>
      <c r="D443" t="s">
        <v>1309</v>
      </c>
      <c r="E443" s="6">
        <v>46177</v>
      </c>
      <c r="G443" s="5" t="s">
        <v>397</v>
      </c>
      <c r="H443" t="s">
        <v>5</v>
      </c>
      <c r="I44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</v>
      </c>
      <c r="J443" s="6">
        <v>46177</v>
      </c>
      <c r="K443" s="6">
        <v>46181</v>
      </c>
      <c r="L443" s="6">
        <v>46203</v>
      </c>
      <c r="M443" s="7">
        <f>IFERROR(IF(OR(LINEA24[[#This Row],[Fecha_Informe]]="",LINEA24[[#This Row],[FechaRecepcion]]=""),"",INT(LINEA24[[#This Row],[Fecha_Informe]])-INT(LINEA24[[#This Row],[FechaRecepcion]])),"")</f>
        <v>26</v>
      </c>
      <c r="O443" s="17">
        <v>0</v>
      </c>
      <c r="P443" s="17">
        <v>0</v>
      </c>
    </row>
    <row r="444" spans="1:16">
      <c r="A444" s="25" t="s">
        <v>1310</v>
      </c>
      <c r="B444" s="26" t="s">
        <v>1311</v>
      </c>
      <c r="C444" t="s">
        <v>1312</v>
      </c>
      <c r="D444" t="s">
        <v>1313</v>
      </c>
      <c r="E444" s="6">
        <v>46184</v>
      </c>
      <c r="G444" s="5" t="s">
        <v>397</v>
      </c>
      <c r="H444" t="s">
        <v>5</v>
      </c>
      <c r="I44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15</v>
      </c>
      <c r="J444" s="6">
        <v>46184</v>
      </c>
      <c r="L444" s="6">
        <v>46199</v>
      </c>
      <c r="M444" s="7">
        <f>IFERROR(IF(OR(LINEA24[[#This Row],[Fecha_Informe]]="",LINEA24[[#This Row],[FechaRecepcion]]=""),"",INT(LINEA24[[#This Row],[Fecha_Informe]])-INT(LINEA24[[#This Row],[FechaRecepcion]])),"")</f>
        <v>15</v>
      </c>
      <c r="O444" s="17">
        <v>0</v>
      </c>
      <c r="P444" s="17">
        <v>0</v>
      </c>
    </row>
    <row r="445" spans="1:16">
      <c r="A445" s="25" t="s">
        <v>1314</v>
      </c>
      <c r="B445" s="26" t="s">
        <v>1315</v>
      </c>
      <c r="C445" t="s">
        <v>1316</v>
      </c>
      <c r="D445" t="s">
        <v>1317</v>
      </c>
      <c r="E445" s="6">
        <v>46189</v>
      </c>
      <c r="G445" s="5" t="s">
        <v>397</v>
      </c>
      <c r="H445" t="s">
        <v>5</v>
      </c>
      <c r="I44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15</v>
      </c>
      <c r="J445" s="6">
        <v>46189</v>
      </c>
      <c r="K445" s="6">
        <v>46190</v>
      </c>
      <c r="L445" s="6">
        <v>46204</v>
      </c>
      <c r="M445" s="7">
        <f>IFERROR(IF(OR(LINEA24[[#This Row],[Fecha_Informe]]="",LINEA24[[#This Row],[FechaRecepcion]]=""),"",INT(LINEA24[[#This Row],[Fecha_Informe]])-INT(LINEA24[[#This Row],[FechaRecepcion]])),"")</f>
        <v>15</v>
      </c>
      <c r="O445" s="17">
        <v>0</v>
      </c>
      <c r="P445" s="17">
        <v>0</v>
      </c>
    </row>
    <row r="446" spans="1:16">
      <c r="A446" s="25" t="s">
        <v>1318</v>
      </c>
      <c r="B446" s="26" t="s">
        <v>1319</v>
      </c>
      <c r="C446" t="s">
        <v>1320</v>
      </c>
      <c r="D446" t="s">
        <v>1321</v>
      </c>
      <c r="E446" s="6">
        <v>46213</v>
      </c>
      <c r="G446" s="5" t="s">
        <v>397</v>
      </c>
      <c r="H446" t="s">
        <v>5</v>
      </c>
      <c r="I44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10</v>
      </c>
      <c r="J446" s="6">
        <v>46213</v>
      </c>
      <c r="K446" s="6">
        <v>46213</v>
      </c>
      <c r="L446" s="6">
        <v>46223</v>
      </c>
      <c r="M446" s="7">
        <f>IFERROR(IF(OR(LINEA24[[#This Row],[Fecha_Informe]]="",LINEA24[[#This Row],[FechaRecepcion]]=""),"",INT(LINEA24[[#This Row],[Fecha_Informe]])-INT(LINEA24[[#This Row],[FechaRecepcion]])),"")</f>
        <v>10</v>
      </c>
      <c r="O446" s="17">
        <v>0</v>
      </c>
      <c r="P446" s="17">
        <v>0</v>
      </c>
    </row>
    <row r="447" spans="1:16">
      <c r="A447" s="25" t="s">
        <v>1322</v>
      </c>
      <c r="B447" s="26" t="s">
        <v>1323</v>
      </c>
      <c r="C447" t="s">
        <v>1324</v>
      </c>
      <c r="D447" t="s">
        <v>1325</v>
      </c>
      <c r="E447" s="6">
        <v>46216</v>
      </c>
      <c r="G447" s="5" t="s">
        <v>400</v>
      </c>
      <c r="H447" t="s">
        <v>5</v>
      </c>
      <c r="I44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</v>
      </c>
      <c r="J447" s="6">
        <v>46216</v>
      </c>
      <c r="K447" s="6">
        <v>46220</v>
      </c>
      <c r="L447" s="6">
        <v>46241</v>
      </c>
      <c r="M447" s="7">
        <f>IFERROR(IF(OR(LINEA24[[#This Row],[Fecha_Informe]]="",LINEA24[[#This Row],[FechaRecepcion]]=""),"",INT(LINEA24[[#This Row],[Fecha_Informe]])-INT(LINEA24[[#This Row],[FechaRecepcion]])),"")</f>
        <v>25</v>
      </c>
      <c r="O447" s="17">
        <v>0</v>
      </c>
      <c r="P447" s="17">
        <v>0</v>
      </c>
    </row>
    <row r="448" spans="1:16">
      <c r="A448" s="25" t="s">
        <v>1326</v>
      </c>
      <c r="B448" s="26" t="s">
        <v>1327</v>
      </c>
      <c r="C448" t="s">
        <v>1328</v>
      </c>
      <c r="D448" t="s">
        <v>1329</v>
      </c>
      <c r="E448" s="6">
        <v>46217</v>
      </c>
      <c r="G448" s="5" t="s">
        <v>397</v>
      </c>
      <c r="H448" t="s">
        <v>5</v>
      </c>
      <c r="I44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13</v>
      </c>
      <c r="J448" s="6">
        <v>46217</v>
      </c>
      <c r="K448" s="6">
        <v>46219</v>
      </c>
      <c r="L448" s="6">
        <v>46230</v>
      </c>
      <c r="M448" s="7">
        <f>IFERROR(IF(OR(LINEA24[[#This Row],[Fecha_Informe]]="",LINEA24[[#This Row],[FechaRecepcion]]=""),"",INT(LINEA24[[#This Row],[Fecha_Informe]])-INT(LINEA24[[#This Row],[FechaRecepcion]])),"")</f>
        <v>13</v>
      </c>
      <c r="O448" s="17">
        <v>0</v>
      </c>
      <c r="P448" s="17">
        <v>0</v>
      </c>
    </row>
    <row r="449" spans="1:16">
      <c r="A449" s="25" t="s">
        <v>1330</v>
      </c>
      <c r="B449" s="27" t="s">
        <v>1331</v>
      </c>
      <c r="C449" t="s">
        <v>1332</v>
      </c>
      <c r="D449" t="s">
        <v>1333</v>
      </c>
      <c r="E449" s="6">
        <v>46218</v>
      </c>
      <c r="G449" s="5" t="s">
        <v>400</v>
      </c>
      <c r="H449" t="s">
        <v>5</v>
      </c>
      <c r="I44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9</v>
      </c>
      <c r="J449" s="6">
        <v>46218</v>
      </c>
      <c r="K449" s="6">
        <v>46218</v>
      </c>
      <c r="L449" s="6">
        <v>46227</v>
      </c>
      <c r="M449" s="7">
        <f>IFERROR(IF(OR(LINEA24[[#This Row],[Fecha_Informe]]="",LINEA24[[#This Row],[FechaRecepcion]]=""),"",INT(LINEA24[[#This Row],[Fecha_Informe]])-INT(LINEA24[[#This Row],[FechaRecepcion]])),"")</f>
        <v>9</v>
      </c>
      <c r="O449" s="17">
        <v>0</v>
      </c>
      <c r="P449" s="17">
        <v>0</v>
      </c>
    </row>
    <row r="450" spans="1:16">
      <c r="A450" s="25" t="s">
        <v>1334</v>
      </c>
      <c r="B450" s="26" t="s">
        <v>1335</v>
      </c>
      <c r="C450" t="s">
        <v>1336</v>
      </c>
      <c r="D450" t="s">
        <v>1337</v>
      </c>
      <c r="E450" s="6">
        <v>46218</v>
      </c>
      <c r="G450" s="5" t="s">
        <v>397</v>
      </c>
      <c r="H450" t="s">
        <v>5</v>
      </c>
      <c r="I45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12</v>
      </c>
      <c r="J450" s="6">
        <v>46218</v>
      </c>
      <c r="K450" s="6">
        <v>46219</v>
      </c>
      <c r="L450" s="6">
        <v>46230</v>
      </c>
      <c r="M450" s="7">
        <f>IFERROR(IF(OR(LINEA24[[#This Row],[Fecha_Informe]]="",LINEA24[[#This Row],[FechaRecepcion]]=""),"",INT(LINEA24[[#This Row],[Fecha_Informe]])-INT(LINEA24[[#This Row],[FechaRecepcion]])),"")</f>
        <v>12</v>
      </c>
      <c r="O450" s="17">
        <v>0</v>
      </c>
      <c r="P450" s="17">
        <v>0</v>
      </c>
    </row>
    <row r="451" spans="1:16">
      <c r="A451" s="25" t="s">
        <v>1338</v>
      </c>
      <c r="B451" s="27" t="s">
        <v>1339</v>
      </c>
      <c r="C451" t="s">
        <v>1340</v>
      </c>
      <c r="D451" t="s">
        <v>1341</v>
      </c>
      <c r="E451" s="6">
        <v>46219</v>
      </c>
      <c r="G451" s="5" t="s">
        <v>400</v>
      </c>
      <c r="H451" t="s">
        <v>5</v>
      </c>
      <c r="I45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</v>
      </c>
      <c r="J451" s="6">
        <v>46219</v>
      </c>
      <c r="L451" s="6">
        <v>46247</v>
      </c>
      <c r="M451" s="7">
        <f>IFERROR(IF(OR(LINEA24[[#This Row],[Fecha_Informe]]="",LINEA24[[#This Row],[FechaRecepcion]]=""),"",INT(LINEA24[[#This Row],[Fecha_Informe]])-INT(LINEA24[[#This Row],[FechaRecepcion]])),"")</f>
        <v>28</v>
      </c>
      <c r="O451" s="17">
        <v>0</v>
      </c>
      <c r="P451" s="17">
        <v>0</v>
      </c>
    </row>
    <row r="452" spans="1:16">
      <c r="A452" s="25" t="s">
        <v>1342</v>
      </c>
      <c r="B452" s="26" t="s">
        <v>1343</v>
      </c>
      <c r="C452" t="s">
        <v>1344</v>
      </c>
      <c r="D452" t="s">
        <v>1345</v>
      </c>
      <c r="E452" s="6">
        <v>46219</v>
      </c>
      <c r="G452" s="5" t="s">
        <v>397</v>
      </c>
      <c r="H452" t="s">
        <v>5</v>
      </c>
      <c r="I45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60</v>
      </c>
      <c r="J452" s="6">
        <v>46219</v>
      </c>
      <c r="L452" s="6">
        <v>46279</v>
      </c>
      <c r="M452" s="7">
        <v>1.75</v>
      </c>
      <c r="O452" s="17">
        <v>0</v>
      </c>
      <c r="P452" s="17">
        <v>0</v>
      </c>
    </row>
    <row r="453" spans="1:16">
      <c r="A453" s="25" t="s">
        <v>1346</v>
      </c>
      <c r="B453" s="27" t="s">
        <v>1347</v>
      </c>
      <c r="C453" t="s">
        <v>1348</v>
      </c>
      <c r="D453" t="s">
        <v>1349</v>
      </c>
      <c r="E453" s="6">
        <v>46244</v>
      </c>
      <c r="G453" s="5" t="s">
        <v>400</v>
      </c>
      <c r="H453" t="s">
        <v>5</v>
      </c>
      <c r="I45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</v>
      </c>
      <c r="J453" s="6">
        <v>46244</v>
      </c>
      <c r="L453" s="6">
        <v>46266</v>
      </c>
      <c r="M453" s="7">
        <f>IFERROR(IF(OR(LINEA24[[#This Row],[Fecha_Informe]]="",LINEA24[[#This Row],[FechaRecepcion]]=""),"",INT(LINEA24[[#This Row],[Fecha_Informe]])-INT(LINEA24[[#This Row],[FechaRecepcion]])),"")</f>
        <v>22</v>
      </c>
      <c r="O453" s="17">
        <v>0</v>
      </c>
      <c r="P453" s="17">
        <v>0</v>
      </c>
    </row>
    <row r="454" spans="1:16">
      <c r="A454" s="25" t="s">
        <v>1350</v>
      </c>
      <c r="B454" s="26" t="s">
        <v>1351</v>
      </c>
      <c r="C454" t="s">
        <v>1352</v>
      </c>
      <c r="D454" t="s">
        <v>1353</v>
      </c>
      <c r="E454" s="6">
        <v>46251</v>
      </c>
      <c r="G454" s="5" t="s">
        <v>397</v>
      </c>
      <c r="H454" t="s">
        <v>3</v>
      </c>
      <c r="I45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60</v>
      </c>
      <c r="J454" s="6">
        <v>46251</v>
      </c>
      <c r="K454" s="6">
        <v>46280</v>
      </c>
      <c r="M454" s="7" t="str">
        <f>IFERROR(IF(OR(LINEA24[[#This Row],[Fecha_Informe]]="",LINEA24[[#This Row],[FechaRecepcion]]=""),"",INT(LINEA24[[#This Row],[Fecha_Informe]])-INT(LINEA24[[#This Row],[FechaRecepcion]])),"")</f>
        <v/>
      </c>
      <c r="O454" s="17">
        <v>0</v>
      </c>
      <c r="P454" s="17">
        <v>0</v>
      </c>
    </row>
    <row r="455" spans="1:16">
      <c r="A455" s="25" t="s">
        <v>1354</v>
      </c>
      <c r="B455" s="26" t="s">
        <v>1355</v>
      </c>
      <c r="C455" t="s">
        <v>1356</v>
      </c>
      <c r="D455" t="s">
        <v>1357</v>
      </c>
      <c r="E455" s="6">
        <v>46258</v>
      </c>
      <c r="G455" s="5" t="s">
        <v>397</v>
      </c>
      <c r="H455" t="s">
        <v>5</v>
      </c>
      <c r="I45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11</v>
      </c>
      <c r="J455" s="6">
        <v>46258</v>
      </c>
      <c r="L455" s="6">
        <v>46269</v>
      </c>
      <c r="M455" s="7">
        <f>IFERROR(IF(OR(LINEA24[[#This Row],[Fecha_Informe]]="",LINEA24[[#This Row],[FechaRecepcion]]=""),"",INT(LINEA24[[#This Row],[Fecha_Informe]])-INT(LINEA24[[#This Row],[FechaRecepcion]])),"")</f>
        <v>11</v>
      </c>
      <c r="O455" s="17">
        <v>0</v>
      </c>
      <c r="P455" s="17">
        <v>0</v>
      </c>
    </row>
    <row r="456" spans="1:16">
      <c r="A456" s="25" t="s">
        <v>1358</v>
      </c>
      <c r="B456" s="26" t="s">
        <v>1359</v>
      </c>
      <c r="C456" t="s">
        <v>1360</v>
      </c>
      <c r="D456" t="s">
        <v>1361</v>
      </c>
      <c r="E456" s="6">
        <v>46258</v>
      </c>
      <c r="G456" s="5" t="s">
        <v>397</v>
      </c>
      <c r="H456" t="s">
        <v>3</v>
      </c>
      <c r="I45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53</v>
      </c>
      <c r="J456" s="6">
        <v>46258</v>
      </c>
      <c r="M456" s="7" t="str">
        <f>IFERROR(IF(OR(LINEA24[[#This Row],[Fecha_Informe]]="",LINEA24[[#This Row],[FechaRecepcion]]=""),"",INT(LINEA24[[#This Row],[Fecha_Informe]])-INT(LINEA24[[#This Row],[FechaRecepcion]])),"")</f>
        <v/>
      </c>
      <c r="O456" s="17">
        <v>0</v>
      </c>
      <c r="P456" s="17">
        <v>0</v>
      </c>
    </row>
    <row r="457" spans="1:16">
      <c r="A457" s="25" t="s">
        <v>1362</v>
      </c>
      <c r="B457" s="26" t="s">
        <v>1363</v>
      </c>
      <c r="C457" t="s">
        <v>1364</v>
      </c>
      <c r="D457" t="s">
        <v>1365</v>
      </c>
      <c r="E457" s="6">
        <v>46259</v>
      </c>
      <c r="G457" s="5" t="s">
        <v>397</v>
      </c>
      <c r="H457" t="s">
        <v>3</v>
      </c>
      <c r="I45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52</v>
      </c>
      <c r="J457" s="6">
        <v>46259</v>
      </c>
      <c r="M457" s="7" t="str">
        <f>IFERROR(IF(OR(LINEA24[[#This Row],[Fecha_Informe]]="",LINEA24[[#This Row],[FechaRecepcion]]=""),"",INT(LINEA24[[#This Row],[Fecha_Informe]])-INT(LINEA24[[#This Row],[FechaRecepcion]])),"")</f>
        <v/>
      </c>
      <c r="O457" s="17">
        <v>0</v>
      </c>
      <c r="P457" s="17">
        <v>0</v>
      </c>
    </row>
    <row r="458" spans="1:16">
      <c r="A458" s="25" t="s">
        <v>1366</v>
      </c>
      <c r="B458" s="26" t="s">
        <v>1367</v>
      </c>
      <c r="C458" t="s">
        <v>1368</v>
      </c>
      <c r="D458" t="s">
        <v>1369</v>
      </c>
      <c r="E458" s="6">
        <v>46259</v>
      </c>
      <c r="G458" s="5" t="s">
        <v>400</v>
      </c>
      <c r="H458" t="s">
        <v>3</v>
      </c>
      <c r="I45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52</v>
      </c>
      <c r="J458" s="6">
        <v>46259</v>
      </c>
      <c r="M458" s="7" t="str">
        <f>IFERROR(IF(OR(LINEA24[[#This Row],[Fecha_Informe]]="",LINEA24[[#This Row],[FechaRecepcion]]=""),"",INT(LINEA24[[#This Row],[Fecha_Informe]])-INT(LINEA24[[#This Row],[FechaRecepcion]])),"")</f>
        <v/>
      </c>
      <c r="O458" s="17">
        <v>0</v>
      </c>
      <c r="P458" s="17">
        <v>0</v>
      </c>
    </row>
    <row r="459" spans="1:16">
      <c r="A459" s="25" t="s">
        <v>1370</v>
      </c>
      <c r="B459" s="26" t="s">
        <v>1371</v>
      </c>
      <c r="C459" t="s">
        <v>1372</v>
      </c>
      <c r="D459" t="s">
        <v>1373</v>
      </c>
      <c r="E459" s="6">
        <v>46267</v>
      </c>
      <c r="G459" s="5" t="s">
        <v>397</v>
      </c>
      <c r="H459" t="s">
        <v>3</v>
      </c>
      <c r="I45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44</v>
      </c>
      <c r="J459" s="6">
        <v>46267</v>
      </c>
      <c r="M459" s="7" t="str">
        <f>IFERROR(IF(OR(LINEA24[[#This Row],[Fecha_Informe]]="",LINEA24[[#This Row],[FechaRecepcion]]=""),"",INT(LINEA24[[#This Row],[Fecha_Informe]])-INT(LINEA24[[#This Row],[FechaRecepcion]])),"")</f>
        <v/>
      </c>
      <c r="O459" s="17">
        <v>0</v>
      </c>
      <c r="P459" s="17">
        <v>0</v>
      </c>
    </row>
    <row r="460" spans="1:16">
      <c r="A460" s="25" t="s">
        <v>1374</v>
      </c>
      <c r="B460" s="26" t="s">
        <v>1375</v>
      </c>
      <c r="C460" t="s">
        <v>1376</v>
      </c>
      <c r="D460" t="s">
        <v>1377</v>
      </c>
      <c r="E460" s="6">
        <v>46267</v>
      </c>
      <c r="G460" s="5" t="s">
        <v>397</v>
      </c>
      <c r="H460" t="s">
        <v>3</v>
      </c>
      <c r="I46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44</v>
      </c>
      <c r="J460" s="6">
        <v>46267</v>
      </c>
      <c r="M460" s="7" t="str">
        <f>IFERROR(IF(OR(LINEA24[[#This Row],[Fecha_Informe]]="",LINEA24[[#This Row],[FechaRecepcion]]=""),"",INT(LINEA24[[#This Row],[Fecha_Informe]])-INT(LINEA24[[#This Row],[FechaRecepcion]])),"")</f>
        <v/>
      </c>
      <c r="O460" s="17">
        <v>0</v>
      </c>
      <c r="P460" s="17">
        <v>0</v>
      </c>
    </row>
    <row r="461" spans="1:16">
      <c r="A461" s="25" t="s">
        <v>1378</v>
      </c>
      <c r="B461" s="26" t="s">
        <v>1379</v>
      </c>
      <c r="C461" t="s">
        <v>1380</v>
      </c>
      <c r="D461" t="s">
        <v>1381</v>
      </c>
      <c r="E461" s="6">
        <v>46272</v>
      </c>
      <c r="G461" s="5" t="s">
        <v>397</v>
      </c>
      <c r="H461" t="s">
        <v>3</v>
      </c>
      <c r="I46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39</v>
      </c>
      <c r="J461" s="6">
        <v>46272</v>
      </c>
      <c r="M461" s="7" t="str">
        <f>IFERROR(IF(OR(LINEA24[[#This Row],[Fecha_Informe]]="",LINEA24[[#This Row],[FechaRecepcion]]=""),"",INT(LINEA24[[#This Row],[Fecha_Informe]])-INT(LINEA24[[#This Row],[FechaRecepcion]])),"")</f>
        <v/>
      </c>
      <c r="O461" s="17">
        <v>0</v>
      </c>
      <c r="P461" s="17">
        <v>0</v>
      </c>
    </row>
    <row r="462" spans="1:16">
      <c r="A462" s="25" t="s">
        <v>1382</v>
      </c>
      <c r="B462" s="26" t="s">
        <v>1383</v>
      </c>
      <c r="C462" t="s">
        <v>1384</v>
      </c>
      <c r="D462" t="s">
        <v>1385</v>
      </c>
      <c r="E462" s="6">
        <v>46274</v>
      </c>
      <c r="G462" s="5" t="s">
        <v>397</v>
      </c>
      <c r="H462" t="s">
        <v>3</v>
      </c>
      <c r="I46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37</v>
      </c>
      <c r="J462" s="6">
        <v>46274</v>
      </c>
      <c r="M462" s="7" t="str">
        <f>IFERROR(IF(OR(LINEA24[[#This Row],[Fecha_Informe]]="",LINEA24[[#This Row],[FechaRecepcion]]=""),"",INT(LINEA24[[#This Row],[Fecha_Informe]])-INT(LINEA24[[#This Row],[FechaRecepcion]])),"")</f>
        <v/>
      </c>
      <c r="O462" s="17">
        <v>0</v>
      </c>
      <c r="P462" s="17">
        <v>0</v>
      </c>
    </row>
    <row r="463" spans="1:16">
      <c r="A463" s="25" t="s">
        <v>1386</v>
      </c>
      <c r="B463" s="26" t="s">
        <v>1387</v>
      </c>
      <c r="C463" t="s">
        <v>1388</v>
      </c>
      <c r="D463" t="s">
        <v>1389</v>
      </c>
      <c r="E463" s="6">
        <v>46275</v>
      </c>
      <c r="G463" s="5" t="s">
        <v>397</v>
      </c>
      <c r="H463" t="s">
        <v>5</v>
      </c>
      <c r="I46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6</v>
      </c>
      <c r="J463" s="6">
        <v>46275</v>
      </c>
      <c r="L463" s="6">
        <v>46281</v>
      </c>
      <c r="M463" s="7">
        <f>IFERROR(IF(OR(LINEA24[[#This Row],[Fecha_Informe]]="",LINEA24[[#This Row],[FechaRecepcion]]=""),"",INT(LINEA24[[#This Row],[Fecha_Informe]])-INT(LINEA24[[#This Row],[FechaRecepcion]])),"")</f>
        <v>6</v>
      </c>
      <c r="O463" s="17">
        <v>0</v>
      </c>
      <c r="P463" s="17">
        <v>0</v>
      </c>
    </row>
    <row r="464" spans="1:16">
      <c r="A464" s="25" t="s">
        <v>1390</v>
      </c>
      <c r="B464" s="26" t="s">
        <v>1391</v>
      </c>
      <c r="C464" t="s">
        <v>1392</v>
      </c>
      <c r="D464" t="s">
        <v>1393</v>
      </c>
      <c r="E464" s="6">
        <v>46275</v>
      </c>
      <c r="G464" s="5" t="s">
        <v>397</v>
      </c>
      <c r="H464" t="s">
        <v>3</v>
      </c>
      <c r="I46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36</v>
      </c>
      <c r="J464" s="6">
        <v>46275</v>
      </c>
      <c r="L464" s="6" t="str">
        <f ca="1">IF(LINEA24[[#This Row],[Estado]]="INFORME FINAL",TODAY(),"")</f>
        <v/>
      </c>
      <c r="M464" s="7" t="str">
        <f ca="1">IF(LINEA24[[#This Row],[Fecha_Informe]]="","",-_xlfn.DAYS(INT(LINEA24[[#This Row],[FechaRecepcion]]),INT(LINEA24[[#This Row],[Fecha_Informe]])))</f>
        <v/>
      </c>
      <c r="O464" s="17">
        <v>0</v>
      </c>
      <c r="P464" s="17">
        <v>0</v>
      </c>
    </row>
    <row r="465" spans="1:16">
      <c r="A465" s="25" t="s">
        <v>1394</v>
      </c>
      <c r="B465" s="26" t="s">
        <v>1395</v>
      </c>
      <c r="C465" t="s">
        <v>1396</v>
      </c>
      <c r="D465" t="s">
        <v>1397</v>
      </c>
      <c r="E465" s="6">
        <v>46279</v>
      </c>
      <c r="G465" s="5" t="s">
        <v>397</v>
      </c>
      <c r="H465" t="s">
        <v>3</v>
      </c>
      <c r="I46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32</v>
      </c>
      <c r="J465" s="6">
        <v>46279</v>
      </c>
      <c r="M465" s="7" t="str">
        <f>IFERROR(IF(OR(LINEA24[[#This Row],[Fecha_Informe]]="",LINEA24[[#This Row],[FechaRecepcion]]=""),"",INT(LINEA24[[#This Row],[Fecha_Informe]])-INT(LINEA24[[#This Row],[FechaRecepcion]])),"")</f>
        <v/>
      </c>
      <c r="O465" s="17">
        <v>0</v>
      </c>
      <c r="P465" s="17">
        <v>0</v>
      </c>
    </row>
    <row r="466" spans="1:16">
      <c r="A466" s="25" t="s">
        <v>1398</v>
      </c>
      <c r="B466" s="26" t="s">
        <v>1399</v>
      </c>
      <c r="C466" t="s">
        <v>1400</v>
      </c>
      <c r="D466" t="s">
        <v>1401</v>
      </c>
      <c r="E466" s="6">
        <v>46282</v>
      </c>
      <c r="G466" s="5" t="s">
        <v>397</v>
      </c>
      <c r="H466" t="s">
        <v>4</v>
      </c>
      <c r="I46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</v>
      </c>
      <c r="J466" s="6">
        <v>46282</v>
      </c>
      <c r="K466" s="6">
        <v>46307</v>
      </c>
      <c r="M466" s="7" t="str">
        <f>IFERROR(IF(OR(LINEA24[[#This Row],[Fecha_Informe]]="",LINEA24[[#This Row],[FechaRecepcion]]=""),"",INT(LINEA24[[#This Row],[Fecha_Informe]])-INT(LINEA24[[#This Row],[FechaRecepcion]])),"")</f>
        <v/>
      </c>
      <c r="O466" s="6"/>
      <c r="P466" s="6"/>
    </row>
    <row r="467" spans="1:16">
      <c r="A467" s="25" t="s">
        <v>1402</v>
      </c>
      <c r="B467" s="26" t="s">
        <v>1403</v>
      </c>
      <c r="C467" t="s">
        <v>1404</v>
      </c>
      <c r="D467" t="s">
        <v>1405</v>
      </c>
      <c r="E467" s="6">
        <v>46282</v>
      </c>
      <c r="G467" s="5" t="s">
        <v>397</v>
      </c>
      <c r="H467" t="s">
        <v>4</v>
      </c>
      <c r="I46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29</v>
      </c>
      <c r="J467" s="6">
        <v>46282</v>
      </c>
      <c r="K467" s="6">
        <v>46286</v>
      </c>
      <c r="M467" s="7" t="str">
        <f>IFERROR(IF(OR(LINEA24[[#This Row],[Fecha_Informe]]="",LINEA24[[#This Row],[FechaRecepcion]]=""),"",INT(LINEA24[[#This Row],[Fecha_Informe]])-INT(LINEA24[[#This Row],[FechaRecepcion]])),"")</f>
        <v/>
      </c>
      <c r="O467" s="6"/>
      <c r="P467" s="6"/>
    </row>
    <row r="468" spans="1:16">
      <c r="A468" s="25" t="s">
        <v>1406</v>
      </c>
      <c r="B468" s="26" t="s">
        <v>1407</v>
      </c>
      <c r="C468" t="s">
        <v>1408</v>
      </c>
      <c r="D468" t="s">
        <v>1409</v>
      </c>
      <c r="E468" s="6">
        <v>46282</v>
      </c>
      <c r="G468" s="5" t="s">
        <v>397</v>
      </c>
      <c r="H468" t="s">
        <v>5</v>
      </c>
      <c r="I46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</v>
      </c>
      <c r="J468" s="6">
        <v>46282</v>
      </c>
      <c r="L468" s="6">
        <v>46284</v>
      </c>
      <c r="M468" s="7">
        <f>IFERROR(IF(OR(LINEA24[[#This Row],[Fecha_Informe]]="",LINEA24[[#This Row],[FechaRecepcion]]=""),"",INT(LINEA24[[#This Row],[Fecha_Informe]])-INT(LINEA24[[#This Row],[FechaRecepcion]])),"")</f>
        <v>2</v>
      </c>
      <c r="O468" s="6"/>
      <c r="P468" s="6"/>
    </row>
    <row r="469" spans="1:16">
      <c r="A469" s="25" t="s">
        <v>1410</v>
      </c>
      <c r="B469" s="26" t="s">
        <v>1411</v>
      </c>
      <c r="C469" t="s">
        <v>1412</v>
      </c>
      <c r="D469" t="s">
        <v>1413</v>
      </c>
      <c r="E469" s="6">
        <v>46283</v>
      </c>
      <c r="G469" s="5" t="s">
        <v>397</v>
      </c>
      <c r="H469" t="s">
        <v>3</v>
      </c>
      <c r="I46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28</v>
      </c>
      <c r="J469" s="6">
        <v>46283</v>
      </c>
      <c r="M469" s="7" t="str">
        <f>IFERROR(IF(OR(LINEA24[[#This Row],[Fecha_Informe]]="",LINEA24[[#This Row],[FechaRecepcion]]=""),"",INT(LINEA24[[#This Row],[Fecha_Informe]])-INT(LINEA24[[#This Row],[FechaRecepcion]])),"")</f>
        <v/>
      </c>
      <c r="O469" s="6"/>
      <c r="P469" s="6"/>
    </row>
    <row r="470" spans="1:16">
      <c r="A470" s="25" t="s">
        <v>1414</v>
      </c>
      <c r="B470" s="26" t="s">
        <v>1415</v>
      </c>
      <c r="C470" t="s">
        <v>1416</v>
      </c>
      <c r="D470" t="s">
        <v>1417</v>
      </c>
      <c r="E470" s="6">
        <v>46283</v>
      </c>
      <c r="G470" s="5" t="s">
        <v>397</v>
      </c>
      <c r="H470" t="s">
        <v>5</v>
      </c>
      <c r="I47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4</v>
      </c>
      <c r="J470" s="6">
        <v>46283</v>
      </c>
      <c r="L470" s="6">
        <v>46287</v>
      </c>
      <c r="M470" s="7">
        <f>IFERROR(IF(OR(LINEA24[[#This Row],[Fecha_Informe]]="",LINEA24[[#This Row],[FechaRecepcion]]=""),"",INT(LINEA24[[#This Row],[Fecha_Informe]])-INT(LINEA24[[#This Row],[FechaRecepcion]])),"")</f>
        <v>4</v>
      </c>
      <c r="O470" s="6"/>
      <c r="P470" s="6"/>
    </row>
    <row r="471" spans="1:16">
      <c r="A471" s="25" t="s">
        <v>1418</v>
      </c>
      <c r="B471" s="26" t="s">
        <v>1419</v>
      </c>
      <c r="C471" t="s">
        <v>1420</v>
      </c>
      <c r="D471" t="s">
        <v>1421</v>
      </c>
      <c r="E471" s="6">
        <v>46283</v>
      </c>
      <c r="G471" s="5" t="s">
        <v>397</v>
      </c>
      <c r="H471" t="s">
        <v>5</v>
      </c>
      <c r="I47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26</v>
      </c>
      <c r="J471" s="6">
        <v>46283</v>
      </c>
      <c r="K471" s="6">
        <v>46295</v>
      </c>
      <c r="L471" s="6">
        <v>46309</v>
      </c>
      <c r="M471" s="7">
        <f>IFERROR(IF(OR(LINEA24[[#This Row],[Fecha_Informe]]="",LINEA24[[#This Row],[FechaRecepcion]]=""),"",INT(LINEA24[[#This Row],[Fecha_Informe]])-INT(LINEA24[[#This Row],[FechaRecepcion]])),"")</f>
        <v>26</v>
      </c>
      <c r="O471" s="6"/>
      <c r="P471" s="6"/>
    </row>
    <row r="472" spans="1:16">
      <c r="A472" s="25" t="s">
        <v>1422</v>
      </c>
      <c r="B472" s="26" t="s">
        <v>1423</v>
      </c>
      <c r="C472" t="s">
        <v>1424</v>
      </c>
      <c r="D472" t="s">
        <v>1425</v>
      </c>
      <c r="E472" s="6">
        <v>46286</v>
      </c>
      <c r="G472" s="5" t="s">
        <v>397</v>
      </c>
      <c r="H472" t="s">
        <v>3</v>
      </c>
      <c r="I47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25</v>
      </c>
      <c r="J472" s="6">
        <v>46286</v>
      </c>
      <c r="M472" s="7" t="str">
        <f>IFERROR(IF(OR(LINEA24[[#This Row],[Fecha_Informe]]="",LINEA24[[#This Row],[FechaRecepcion]]=""),"",INT(LINEA24[[#This Row],[Fecha_Informe]])-INT(LINEA24[[#This Row],[FechaRecepcion]])),"")</f>
        <v/>
      </c>
      <c r="O472" s="6"/>
      <c r="P472" s="6"/>
    </row>
    <row r="473" spans="1:16">
      <c r="A473" s="25" t="s">
        <v>1426</v>
      </c>
      <c r="B473" s="26" t="s">
        <v>1427</v>
      </c>
      <c r="C473" t="s">
        <v>1428</v>
      </c>
      <c r="D473" t="s">
        <v>1429</v>
      </c>
      <c r="E473" s="6">
        <v>46287</v>
      </c>
      <c r="G473" s="5" t="s">
        <v>397</v>
      </c>
      <c r="H473" t="s">
        <v>3</v>
      </c>
      <c r="I47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</v>
      </c>
      <c r="J473" s="6">
        <v>46287</v>
      </c>
      <c r="M473" s="7" t="str">
        <f>IFERROR(IF(OR(LINEA24[[#This Row],[Fecha_Informe]]="",LINEA24[[#This Row],[FechaRecepcion]]=""),"",INT(LINEA24[[#This Row],[Fecha_Informe]])-INT(LINEA24[[#This Row],[FechaRecepcion]])),"")</f>
        <v/>
      </c>
      <c r="O473" s="6"/>
      <c r="P473" s="6"/>
    </row>
    <row r="474" spans="1:16">
      <c r="A474" s="25" t="s">
        <v>1430</v>
      </c>
      <c r="B474" s="26" t="s">
        <v>1431</v>
      </c>
      <c r="C474" t="s">
        <v>1432</v>
      </c>
      <c r="D474" t="s">
        <v>1433</v>
      </c>
      <c r="E474" s="6">
        <v>46287</v>
      </c>
      <c r="G474" s="5" t="s">
        <v>397</v>
      </c>
      <c r="H474" t="s">
        <v>3</v>
      </c>
      <c r="I47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24</v>
      </c>
      <c r="J474" s="6">
        <v>46287</v>
      </c>
      <c r="M474" s="7" t="str">
        <f>IFERROR(IF(OR(LINEA24[[#This Row],[Fecha_Informe]]="",LINEA24[[#This Row],[FechaRecepcion]]=""),"",INT(LINEA24[[#This Row],[Fecha_Informe]])-INT(LINEA24[[#This Row],[FechaRecepcion]])),"")</f>
        <v/>
      </c>
      <c r="O474" s="6"/>
      <c r="P474" s="6"/>
    </row>
    <row r="475" spans="1:16">
      <c r="A475" s="25" t="s">
        <v>1434</v>
      </c>
      <c r="B475" s="26" t="s">
        <v>1435</v>
      </c>
      <c r="C475" t="s">
        <v>1436</v>
      </c>
      <c r="D475" t="s">
        <v>1437</v>
      </c>
      <c r="E475" s="6">
        <v>46288</v>
      </c>
      <c r="G475" s="5" t="s">
        <v>397</v>
      </c>
      <c r="H475" t="s">
        <v>5</v>
      </c>
      <c r="I47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</v>
      </c>
      <c r="J475" s="6">
        <v>46288</v>
      </c>
      <c r="L475" s="6">
        <v>46289</v>
      </c>
      <c r="M475" s="7">
        <f>IFERROR(IF(OR(LINEA24[[#This Row],[Fecha_Informe]]="",LINEA24[[#This Row],[FechaRecepcion]]=""),"",INT(LINEA24[[#This Row],[Fecha_Informe]])-INT(LINEA24[[#This Row],[FechaRecepcion]])),"")</f>
        <v>1</v>
      </c>
      <c r="O475" s="6"/>
      <c r="P475" s="6"/>
    </row>
    <row r="476" spans="1:16">
      <c r="A476" s="25" t="s">
        <v>1438</v>
      </c>
      <c r="B476" s="26" t="s">
        <v>1439</v>
      </c>
      <c r="C476" t="s">
        <v>1440</v>
      </c>
      <c r="D476" t="s">
        <v>1441</v>
      </c>
      <c r="E476" s="6">
        <v>46288</v>
      </c>
      <c r="G476" s="5" t="s">
        <v>397</v>
      </c>
      <c r="H476" t="s">
        <v>4</v>
      </c>
      <c r="I47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23</v>
      </c>
      <c r="J476" s="6">
        <v>46288</v>
      </c>
      <c r="K476" s="6">
        <v>46300</v>
      </c>
      <c r="M476" s="7" t="str">
        <f>IFERROR(IF(OR(LINEA24[[#This Row],[Fecha_Informe]]="",LINEA24[[#This Row],[FechaRecepcion]]=""),"",INT(LINEA24[[#This Row],[Fecha_Informe]])-INT(LINEA24[[#This Row],[FechaRecepcion]])),"")</f>
        <v/>
      </c>
      <c r="O476" s="6"/>
      <c r="P476" s="6"/>
    </row>
    <row r="477" spans="1:16" s="20" customFormat="1">
      <c r="A477" s="32" t="s">
        <v>1442</v>
      </c>
      <c r="B477" s="33" t="s">
        <v>1443</v>
      </c>
      <c r="C477" s="20" t="s">
        <v>1444</v>
      </c>
      <c r="D477" s="20" t="s">
        <v>1445</v>
      </c>
      <c r="E477" s="21">
        <v>46289</v>
      </c>
      <c r="F477" s="21"/>
      <c r="G477" s="22" t="s">
        <v>397</v>
      </c>
      <c r="H477" s="20" t="s">
        <v>3</v>
      </c>
      <c r="I477" s="23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22</v>
      </c>
      <c r="J477" s="21">
        <v>46289</v>
      </c>
      <c r="K477" s="21"/>
      <c r="L477" s="21"/>
      <c r="M477" s="24" t="str">
        <f>IFERROR(IF(OR(LINEA24[[#This Row],[Fecha_Informe]]="",LINEA24[[#This Row],[FechaRecepcion]]=""),"",INT(LINEA24[[#This Row],[Fecha_Informe]])-INT(LINEA24[[#This Row],[FechaRecepcion]])),"")</f>
        <v/>
      </c>
      <c r="O477" s="21"/>
      <c r="P477" s="21"/>
    </row>
    <row r="478" spans="1:16">
      <c r="A478" s="25" t="s">
        <v>1446</v>
      </c>
      <c r="B478" s="26" t="s">
        <v>1447</v>
      </c>
      <c r="C478" t="s">
        <v>1448</v>
      </c>
      <c r="D478" t="s">
        <v>1449</v>
      </c>
      <c r="E478" s="6">
        <v>46290</v>
      </c>
      <c r="G478" s="5" t="s">
        <v>397</v>
      </c>
      <c r="H478" t="s">
        <v>4</v>
      </c>
      <c r="I47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21</v>
      </c>
      <c r="J478" s="6">
        <v>46290</v>
      </c>
      <c r="K478" s="6">
        <v>46293</v>
      </c>
      <c r="M478" s="7" t="str">
        <f>IFERROR(IF(OR(LINEA24[[#This Row],[Fecha_Informe]]="",LINEA24[[#This Row],[FechaRecepcion]]=""),"",INT(LINEA24[[#This Row],[Fecha_Informe]])-INT(LINEA24[[#This Row],[FechaRecepcion]])),"")</f>
        <v/>
      </c>
      <c r="O478" s="6"/>
      <c r="P478" s="6"/>
    </row>
    <row r="479" spans="1:16">
      <c r="A479" s="25" t="s">
        <v>1450</v>
      </c>
      <c r="B479" s="26" t="s">
        <v>1451</v>
      </c>
      <c r="C479" t="s">
        <v>1452</v>
      </c>
      <c r="D479" t="s">
        <v>1453</v>
      </c>
      <c r="E479" s="6">
        <v>46290</v>
      </c>
      <c r="G479" s="5" t="s">
        <v>397</v>
      </c>
      <c r="H479" t="s">
        <v>5</v>
      </c>
      <c r="I47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19</v>
      </c>
      <c r="J479" s="6">
        <v>46290</v>
      </c>
      <c r="L479" s="6">
        <v>46309</v>
      </c>
      <c r="M479" s="7">
        <f>IFERROR(IF(OR(LINEA24[[#This Row],[Fecha_Informe]]="",LINEA24[[#This Row],[FechaRecepcion]]=""),"",INT(LINEA24[[#This Row],[Fecha_Informe]])-INT(LINEA24[[#This Row],[FechaRecepcion]])),"")</f>
        <v>19</v>
      </c>
      <c r="O479" s="6"/>
      <c r="P479" s="6"/>
    </row>
    <row r="480" spans="1:16">
      <c r="A480" s="25" t="s">
        <v>1454</v>
      </c>
      <c r="B480" s="26" t="s">
        <v>1455</v>
      </c>
      <c r="C480" t="s">
        <v>1456</v>
      </c>
      <c r="D480" t="s">
        <v>1457</v>
      </c>
      <c r="E480" s="6">
        <v>46293</v>
      </c>
      <c r="G480" s="5" t="s">
        <v>397</v>
      </c>
      <c r="H480" t="s">
        <v>3</v>
      </c>
      <c r="I48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18</v>
      </c>
      <c r="J480" s="6">
        <v>46293</v>
      </c>
      <c r="M480" s="7" t="str">
        <f>IFERROR(IF(OR(LINEA24[[#This Row],[Fecha_Informe]]="",LINEA24[[#This Row],[FechaRecepcion]]=""),"",INT(LINEA24[[#This Row],[Fecha_Informe]])-INT(LINEA24[[#This Row],[FechaRecepcion]])),"")</f>
        <v/>
      </c>
      <c r="O480" s="6"/>
      <c r="P480" s="6"/>
    </row>
    <row r="481" spans="1:16">
      <c r="A481" s="25" t="s">
        <v>1458</v>
      </c>
      <c r="B481" s="26" t="s">
        <v>1459</v>
      </c>
      <c r="C481" t="s">
        <v>1460</v>
      </c>
      <c r="D481" t="s">
        <v>1461</v>
      </c>
      <c r="E481" s="6">
        <v>46293</v>
      </c>
      <c r="G481" s="5" t="s">
        <v>397</v>
      </c>
      <c r="H481" t="s">
        <v>3</v>
      </c>
      <c r="I48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18</v>
      </c>
      <c r="J481" s="6">
        <v>46293</v>
      </c>
      <c r="M481" s="7" t="str">
        <f>IFERROR(IF(OR(LINEA24[[#This Row],[Fecha_Informe]]="",LINEA24[[#This Row],[FechaRecepcion]]=""),"",INT(LINEA24[[#This Row],[Fecha_Informe]])-INT(LINEA24[[#This Row],[FechaRecepcion]])),"")</f>
        <v/>
      </c>
      <c r="O481" s="6"/>
      <c r="P481" s="6"/>
    </row>
    <row r="482" spans="1:16">
      <c r="A482" s="25" t="s">
        <v>1462</v>
      </c>
      <c r="B482" s="26" t="s">
        <v>1463</v>
      </c>
      <c r="C482" t="s">
        <v>1464</v>
      </c>
      <c r="D482" t="s">
        <v>1465</v>
      </c>
      <c r="E482" s="6">
        <v>46293</v>
      </c>
      <c r="G482" s="5" t="s">
        <v>397</v>
      </c>
      <c r="H482" t="s">
        <v>4</v>
      </c>
      <c r="I48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18</v>
      </c>
      <c r="J482" s="6">
        <v>46293</v>
      </c>
      <c r="K482" s="6">
        <v>46295</v>
      </c>
      <c r="M482" s="7" t="str">
        <f>IFERROR(IF(OR(LINEA24[[#This Row],[Fecha_Informe]]="",LINEA24[[#This Row],[FechaRecepcion]]=""),"",INT(LINEA24[[#This Row],[Fecha_Informe]])-INT(LINEA24[[#This Row],[FechaRecepcion]])),"")</f>
        <v/>
      </c>
      <c r="O482" s="6"/>
      <c r="P482" s="6"/>
    </row>
    <row r="483" spans="1:16">
      <c r="A483" s="25" t="s">
        <v>1466</v>
      </c>
      <c r="B483" s="26" t="s">
        <v>1467</v>
      </c>
      <c r="C483" t="s">
        <v>1468</v>
      </c>
      <c r="D483" t="s">
        <v>1469</v>
      </c>
      <c r="E483" s="6">
        <v>46293</v>
      </c>
      <c r="G483" s="5" t="s">
        <v>397</v>
      </c>
      <c r="H483" t="s">
        <v>3</v>
      </c>
      <c r="I48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18</v>
      </c>
      <c r="J483" s="6">
        <v>46293</v>
      </c>
      <c r="M483" s="7" t="str">
        <f>IFERROR(IF(OR(LINEA24[[#This Row],[Fecha_Informe]]="",LINEA24[[#This Row],[FechaRecepcion]]=""),"",INT(LINEA24[[#This Row],[Fecha_Informe]])-INT(LINEA24[[#This Row],[FechaRecepcion]])),"")</f>
        <v/>
      </c>
      <c r="O483" s="6"/>
      <c r="P483" s="6"/>
    </row>
    <row r="484" spans="1:16">
      <c r="A484" s="25" t="s">
        <v>1470</v>
      </c>
      <c r="B484" s="26" t="s">
        <v>1471</v>
      </c>
      <c r="C484" t="s">
        <v>1472</v>
      </c>
      <c r="D484" t="s">
        <v>1473</v>
      </c>
      <c r="E484" s="6">
        <v>46295</v>
      </c>
      <c r="G484" s="5" t="s">
        <v>397</v>
      </c>
      <c r="H484" t="s">
        <v>4</v>
      </c>
      <c r="I484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16</v>
      </c>
      <c r="J484" s="6">
        <v>46295</v>
      </c>
      <c r="K484" s="6">
        <v>46296</v>
      </c>
      <c r="M484" s="7" t="str">
        <f>IFERROR(IF(OR(LINEA24[[#This Row],[Fecha_Informe]]="",LINEA24[[#This Row],[FechaRecepcion]]=""),"",INT(LINEA24[[#This Row],[Fecha_Informe]])-INT(LINEA24[[#This Row],[FechaRecepcion]])),"")</f>
        <v/>
      </c>
      <c r="O484" s="6"/>
      <c r="P484" s="6"/>
    </row>
    <row r="485" spans="1:16">
      <c r="A485" s="25" t="s">
        <v>1474</v>
      </c>
      <c r="B485" s="26" t="s">
        <v>1475</v>
      </c>
      <c r="C485" t="s">
        <v>1476</v>
      </c>
      <c r="D485" t="s">
        <v>1477</v>
      </c>
      <c r="E485" s="6">
        <v>46296</v>
      </c>
      <c r="G485" s="5" t="s">
        <v>397</v>
      </c>
      <c r="H485" t="s">
        <v>3</v>
      </c>
      <c r="I485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15</v>
      </c>
      <c r="J485" s="6">
        <v>46296</v>
      </c>
      <c r="M485" s="7" t="str">
        <f>IFERROR(IF(OR(LINEA24[[#This Row],[Fecha_Informe]]="",LINEA24[[#This Row],[FechaRecepcion]]=""),"",INT(LINEA24[[#This Row],[Fecha_Informe]])-INT(LINEA24[[#This Row],[FechaRecepcion]])),"")</f>
        <v/>
      </c>
      <c r="O485" s="6"/>
      <c r="P485" s="6"/>
    </row>
    <row r="486" spans="1:16">
      <c r="A486" s="25" t="s">
        <v>1478</v>
      </c>
      <c r="B486" s="26" t="s">
        <v>1479</v>
      </c>
      <c r="C486" t="s">
        <v>1480</v>
      </c>
      <c r="D486" t="s">
        <v>1481</v>
      </c>
      <c r="E486" s="6">
        <v>46296</v>
      </c>
      <c r="G486" s="5" t="s">
        <v>397</v>
      </c>
      <c r="H486" t="s">
        <v>3</v>
      </c>
      <c r="I486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15</v>
      </c>
      <c r="J486" s="6">
        <v>46296</v>
      </c>
      <c r="M486" s="7" t="str">
        <f>IFERROR(IF(OR(LINEA24[[#This Row],[Fecha_Informe]]="",LINEA24[[#This Row],[FechaRecepcion]]=""),"",INT(LINEA24[[#This Row],[Fecha_Informe]])-INT(LINEA24[[#This Row],[FechaRecepcion]])),"")</f>
        <v/>
      </c>
      <c r="O486" s="6"/>
      <c r="P486" s="6"/>
    </row>
    <row r="487" spans="1:16">
      <c r="A487" s="25" t="s">
        <v>1482</v>
      </c>
      <c r="B487" s="26" t="s">
        <v>1483</v>
      </c>
      <c r="C487" t="s">
        <v>1484</v>
      </c>
      <c r="D487" t="s">
        <v>1485</v>
      </c>
      <c r="E487" s="6">
        <v>46297</v>
      </c>
      <c r="G487" s="5" t="s">
        <v>397</v>
      </c>
      <c r="H487" t="s">
        <v>4</v>
      </c>
      <c r="I487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14</v>
      </c>
      <c r="J487" s="6">
        <v>46297</v>
      </c>
      <c r="K487" s="6">
        <v>46302</v>
      </c>
      <c r="M487" s="7" t="str">
        <f>IFERROR(IF(OR(LINEA24[[#This Row],[Fecha_Informe]]="",LINEA24[[#This Row],[FechaRecepcion]]=""),"",INT(LINEA24[[#This Row],[Fecha_Informe]])-INT(LINEA24[[#This Row],[FechaRecepcion]])),"")</f>
        <v/>
      </c>
      <c r="O487" s="6"/>
      <c r="P487" s="6"/>
    </row>
    <row r="488" spans="1:16">
      <c r="A488" s="25" t="s">
        <v>1486</v>
      </c>
      <c r="B488" s="26" t="s">
        <v>1487</v>
      </c>
      <c r="C488" t="s">
        <v>1488</v>
      </c>
      <c r="D488" t="s">
        <v>1489</v>
      </c>
      <c r="E488" s="6">
        <v>46300</v>
      </c>
      <c r="F488" s="6" t="s">
        <v>1490</v>
      </c>
      <c r="G488" s="5" t="s">
        <v>397</v>
      </c>
      <c r="H488" t="s">
        <v>5</v>
      </c>
      <c r="I488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</v>
      </c>
      <c r="J488" s="6">
        <v>46300</v>
      </c>
      <c r="L488" s="6">
        <v>46302</v>
      </c>
      <c r="M488" s="7">
        <f>IFERROR(IF(OR(LINEA24[[#This Row],[Fecha_Informe]]="",LINEA24[[#This Row],[FechaRecepcion]]=""),"",INT(LINEA24[[#This Row],[Fecha_Informe]])-INT(LINEA24[[#This Row],[FechaRecepcion]])),"")</f>
        <v>2</v>
      </c>
      <c r="O488" s="6"/>
      <c r="P488" s="6"/>
    </row>
    <row r="489" spans="1:16">
      <c r="A489" s="25" t="s">
        <v>1491</v>
      </c>
      <c r="B489" s="26" t="s">
        <v>1492</v>
      </c>
      <c r="C489" t="s">
        <v>1493</v>
      </c>
      <c r="D489" t="s">
        <v>1494</v>
      </c>
      <c r="E489" s="6">
        <v>46300</v>
      </c>
      <c r="F489" s="6" t="s">
        <v>1495</v>
      </c>
      <c r="G489" s="5" t="s">
        <v>397</v>
      </c>
      <c r="H489" t="s">
        <v>4</v>
      </c>
      <c r="I489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11</v>
      </c>
      <c r="J489" s="6">
        <v>46300</v>
      </c>
      <c r="K489" s="6">
        <v>46301</v>
      </c>
      <c r="M489" s="7" t="str">
        <f>IFERROR(IF(OR(LINEA24[[#This Row],[Fecha_Informe]]="",LINEA24[[#This Row],[FechaRecepcion]]=""),"",INT(LINEA24[[#This Row],[Fecha_Informe]])-INT(LINEA24[[#This Row],[FechaRecepcion]])),"")</f>
        <v/>
      </c>
      <c r="O489" s="6"/>
      <c r="P489" s="6"/>
    </row>
    <row r="490" spans="1:16">
      <c r="A490" s="25" t="s">
        <v>1496</v>
      </c>
      <c r="B490" s="26" t="s">
        <v>1497</v>
      </c>
      <c r="C490" t="s">
        <v>1498</v>
      </c>
      <c r="D490" t="s">
        <v>1499</v>
      </c>
      <c r="E490" s="6">
        <v>46301</v>
      </c>
      <c r="F490" s="6" t="s">
        <v>1495</v>
      </c>
      <c r="G490" s="5" t="s">
        <v>397</v>
      </c>
      <c r="H490" t="s">
        <v>4</v>
      </c>
      <c r="I490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10</v>
      </c>
      <c r="J490" s="6">
        <v>46301</v>
      </c>
      <c r="K490" s="6">
        <v>46307</v>
      </c>
      <c r="M490" s="7" t="str">
        <f>IFERROR(IF(OR(LINEA24[[#This Row],[Fecha_Informe]]="",LINEA24[[#This Row],[FechaRecepcion]]=""),"",INT(LINEA24[[#This Row],[Fecha_Informe]])-INT(LINEA24[[#This Row],[FechaRecepcion]])),"")</f>
        <v/>
      </c>
      <c r="O490" s="6"/>
      <c r="P490" s="6"/>
    </row>
    <row r="491" spans="1:16">
      <c r="A491" s="25" t="s">
        <v>1500</v>
      </c>
      <c r="B491" s="26" t="s">
        <v>1501</v>
      </c>
      <c r="C491" t="s">
        <v>1502</v>
      </c>
      <c r="D491" t="s">
        <v>1503</v>
      </c>
      <c r="E491" s="6">
        <v>46302</v>
      </c>
      <c r="F491" s="6" t="s">
        <v>1490</v>
      </c>
      <c r="G491" s="5" t="s">
        <v>397</v>
      </c>
      <c r="H491" t="s">
        <v>4</v>
      </c>
      <c r="I491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9</v>
      </c>
      <c r="J491" s="6">
        <v>46302</v>
      </c>
      <c r="K491" s="6">
        <v>46307</v>
      </c>
      <c r="M491" s="7" t="str">
        <f>IFERROR(IF(OR(LINEA24[[#This Row],[Fecha_Informe]]="",LINEA24[[#This Row],[FechaRecepcion]]=""),"",INT(LINEA24[[#This Row],[Fecha_Informe]])-INT(LINEA24[[#This Row],[FechaRecepcion]])),"")</f>
        <v/>
      </c>
      <c r="O491" s="6"/>
      <c r="P491" s="6"/>
    </row>
    <row r="492" spans="1:16">
      <c r="A492" s="25" t="s">
        <v>1504</v>
      </c>
      <c r="B492" s="26" t="s">
        <v>1505</v>
      </c>
      <c r="C492" t="s">
        <v>1506</v>
      </c>
      <c r="D492" t="s">
        <v>1507</v>
      </c>
      <c r="E492" s="6">
        <v>46304</v>
      </c>
      <c r="F492" s="6" t="s">
        <v>1490</v>
      </c>
      <c r="G492" s="5" t="s">
        <v>397</v>
      </c>
      <c r="H492" t="s">
        <v>3</v>
      </c>
      <c r="I492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7</v>
      </c>
      <c r="J492" s="6">
        <v>46304</v>
      </c>
      <c r="M492" s="7" t="str">
        <f>IFERROR(IF(OR(LINEA24[[#This Row],[Fecha_Informe]]="",LINEA24[[#This Row],[FechaRecepcion]]=""),"",INT(LINEA24[[#This Row],[Fecha_Informe]])-INT(LINEA24[[#This Row],[FechaRecepcion]])),"")</f>
        <v/>
      </c>
      <c r="O492" s="6"/>
      <c r="P492" s="6"/>
    </row>
    <row r="493" spans="1:16">
      <c r="A493" s="25" t="s">
        <v>1508</v>
      </c>
      <c r="B493" s="26" t="s">
        <v>1509</v>
      </c>
      <c r="C493" t="s">
        <v>1510</v>
      </c>
      <c r="D493" t="s">
        <v>1511</v>
      </c>
      <c r="E493" s="6">
        <v>46309</v>
      </c>
      <c r="F493" s="6" t="s">
        <v>1512</v>
      </c>
      <c r="G493" s="5" t="s">
        <v>397</v>
      </c>
      <c r="H493" t="s">
        <v>4</v>
      </c>
      <c r="I493" s="11">
        <f ca="1">IFERROR(IF(LINEA24[[#This Row],[FechaRecepcion]]="","",IF(LINEA24[[#This Row],[Fecha_Informe]]&lt;&gt;"",INT(LINEA24[[#This Row],[Fecha_Informe]])-INT(LINEA24[[#This Row],[FechaRecepcion]]),IF(OR(LINEA24[[#This Row],[Estado]]="ENTREGADO",LINEA24[[#This Row],[Estado]]="INFORME FINAL"),"",TODAY()-INT(LINEA24[[#This Row],[FechaRecepcion]])))),"")</f>
        <v>2</v>
      </c>
      <c r="J493" s="6">
        <v>46309</v>
      </c>
      <c r="K493" s="6">
        <v>46310</v>
      </c>
      <c r="M493" s="7" t="str">
        <f>IFERROR(IF(OR(LINEA24[[#This Row],[Fecha_Informe]]="",LINEA24[[#This Row],[FechaRecepcion]]=""),"",INT(LINEA24[[#This Row],[Fecha_Informe]])-INT(LINEA24[[#This Row],[FechaRecepcion]])),"")</f>
        <v/>
      </c>
      <c r="O493" s="6"/>
      <c r="P493" s="6"/>
    </row>
  </sheetData>
  <conditionalFormatting sqref="D1:D1048576">
    <cfRule type="duplicateValues" dxfId="17" priority="1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6D1917-34A1-4D85-9FAA-A2E0CAFCE866}">
          <x14:formula1>
            <xm:f>LISTAS!$E$3:$E$4</xm:f>
          </x14:formula1>
          <xm:sqref>G2</xm:sqref>
        </x14:dataValidation>
        <x14:dataValidation type="list" allowBlank="1" showInputMessage="1" showErrorMessage="1" xr:uid="{124623D5-17AD-4D42-92E7-F4BF5DB12D61}">
          <x14:formula1>
            <xm:f>LISTAS!$B$3:$B$6</xm:f>
          </x14:formula1>
          <xm:sqref>H2:H493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56OTKCPSI7RYHEF3XVA2KJQMM5Z3CRCP:ms-officescript%3A%2F%2Fonedrive_business_sharinglink%2Fu!aHR0cHM6Ly9tYXBmcmVjb3JwLW15LnNoYXJlcG9pbnQuY29tLzp1Oi9nL3BlcnNvbmFsL3NjdHJzYWx1ZF9tYXBmcmVfY29tX3BlL0lRRHlSLU9Ea0x1OVFhVW1ER2R6c1VSUEFhNm54YkFvd3dhOHJZcjVXeVBmUnNz"/>
  <scriptId xmlns="" id="ms-officescript%3A%2F%2Fonedrive_business_itemlink%2F0156OTKCLQ26ZLPOPK7ZEZP7JBAWYK4QHH:ms-officescript%3A%2F%2Fonedrive_business_sharinglink%2Fu!aHR0cHM6Ly9tYXBmcmVjb3JwLW15LnNoYXJlcG9pbnQuY29tLzp1Oi9nL3BlcnNvbmFsL3NjdHJzYWx1ZF9tYXBmcmVfY29tX3BlL0lRQncxN0szdWVyLVNaZjlJUVd3cmtEbkFjaTBGMm8yZ2ZLM0dKdlJ4b05sTEMw"/>
  <scriptId xmlns="" id="ms-officescript%3A%2F%2Fonedrive_business_itemlink%2F0156OTKCN6AOH443UIBJBL7LQ3GG3JGCUH:ms-officescript%3A%2F%2Fonedrive_business_sharinglink%2Fu!aHR0cHM6Ly9tYXBmcmVjb3JwLW15LnNoYXJlcG9pbnQuY29tLzp1Oi9nL3BlcnNvbmFsL3NjdHJzYWx1ZF9tYXBmcmVfY29tX3BlL0lRQy1BNF9PYm9nS1FyLXVHekcya3dxSEFlZm42MHBwOS0wYXJId0dCOW1jcU5Z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decita3 xmlns="b646f9de-3297-4c31-891b-b6cf74e8a20b" xsi:nil="true"/>
    <Horadecita4 xmlns="b646f9de-3297-4c31-891b-b6cf74e8a20b" xsi:nil="true"/>
    <Horadecita1_x0028_delproveedorB_x0029_ xmlns="b646f9de-3297-4c31-891b-b6cf74e8a20b" xsi:nil="true"/>
    <Horadecita2_x0028_delproveedorA_x0029_ xmlns="b646f9de-3297-4c31-891b-b6cf74e8a20b" xsi:nil="true"/>
    <CIMEDIC xmlns="b646f9de-3297-4c31-891b-b6cf74e8a20b" xsi:nil="true"/>
    <CIMEDIC3 xmlns="b646f9de-3297-4c31-891b-b6cf74e8a20b" xsi:nil="true"/>
    <Asunto xmlns="b646f9de-3297-4c31-891b-b6cf74e8a20b" xsi:nil="true"/>
    <Correo xmlns="b646f9de-3297-4c31-891b-b6cf74e8a20b" xsi:nil="true"/>
    <Proveedor xmlns="b646f9de-3297-4c31-891b-b6cf74e8a20b" xsi:nil="true"/>
    <Fechadecita3_x0028_delproveedorE_x0029_ xmlns="b646f9de-3297-4c31-891b-b6cf74e8a20b" xsi:nil="true"/>
    <Fechadecita2_x0028_delproveedorD_x0029_ xmlns="b646f9de-3297-4c31-891b-b6cf74e8a20b" xsi:nil="true"/>
    <Horadecita1_x0028_delproveedorC_x0029_ xmlns="b646f9de-3297-4c31-891b-b6cf74e8a20b" xsi:nil="true"/>
    <Fechadecita1_x0028_delproveedorB_x0029_ xmlns="b646f9de-3297-4c31-891b-b6cf74e8a20b" xsi:nil="true"/>
    <Fechadecita4_x0028_delproveedorB_x0029_ xmlns="b646f9de-3297-4c31-891b-b6cf74e8a20b" xsi:nil="true"/>
    <Fechadecita2_x0028_delproveedorA_x0029_ xmlns="b646f9de-3297-4c31-891b-b6cf74e8a20b" xsi:nil="true"/>
    <Horadecita3_x0028_delproveedorA_x0029_ xmlns="b646f9de-3297-4c31-891b-b6cf74e8a20b" xsi:nil="true"/>
    <Montoaindemnizar xmlns="b646f9de-3297-4c31-891b-b6cf74e8a20b" xsi:nil="true"/>
    <Fechadesiniestro xmlns="b646f9de-3297-4c31-891b-b6cf74e8a20b" xsi:nil="true"/>
    <DICTINR1 xmlns="b646f9de-3297-4c31-891b-b6cf74e8a20b" xsi:nil="true"/>
    <POLITICASREEMBOLSO xmlns="b646f9de-3297-4c31-891b-b6cf74e8a20b" xsi:nil="true"/>
    <CUERPOREEMBOLSO xmlns="b646f9de-3297-4c31-891b-b6cf74e8a20b" xsi:nil="true"/>
    <Tel_x00e9_fonodelproveedor xmlns="b646f9de-3297-4c31-891b-b6cf74e8a20b" xsi:nil="true"/>
    <Horadecita4_x0028_delproveedorE_x0029_ xmlns="b646f9de-3297-4c31-891b-b6cf74e8a20b" xsi:nil="true"/>
    <Horadecita2_x0028_delproveedorC_x0029_ xmlns="b646f9de-3297-4c31-891b-b6cf74e8a20b" xsi:nil="true"/>
    <Horadecita3_x0028_delproveedorB_x0029_ xmlns="b646f9de-3297-4c31-891b-b6cf74e8a20b" xsi:nil="true"/>
    <Fechadeaccidente xmlns="b646f9de-3297-4c31-891b-b6cf74e8a20b" xsi:nil="true"/>
    <Horadecita4_x0028_delproveedorD_x0029_ xmlns="b646f9de-3297-4c31-891b-b6cf74e8a20b" xsi:nil="true"/>
    <Horadecita3_x0028_delproveedorC_x0029_ xmlns="b646f9de-3297-4c31-891b-b6cf74e8a20b" xsi:nil="true"/>
    <Horadecita2_x0028_delproveedorB_x0029_ xmlns="b646f9de-3297-4c31-891b-b6cf74e8a20b" xsi:nil="true"/>
    <Horadecita1_x0028_delproveedorA_x0029_ xmlns="b646f9de-3297-4c31-891b-b6cf74e8a20b" xsi:nil="true"/>
    <Nombredeasegurado xmlns="b646f9de-3297-4c31-891b-b6cf74e8a20b" xsi:nil="true"/>
    <PENSIONDEINVALIDEZ_x002f_INDEMNIZACION xmlns="b646f9de-3297-4c31-891b-b6cf74e8a20b" xsi:nil="true"/>
    <Direcci_x00f3_ndeproveedorC xmlns="b646f9de-3297-4c31-891b-b6cf74e8a20b" xsi:nil="true"/>
    <Fechadesiniestroletras xmlns="b646f9de-3297-4c31-891b-b6cf74e8a20b" xsi:nil="true"/>
    <CIMEDIC2 xmlns="b646f9de-3297-4c31-891b-b6cf74e8a20b" xsi:nil="true"/>
    <FECHA xmlns="b646f9de-3297-4c31-891b-b6cf74e8a20b" xsi:nil="true"/>
    <Fechadecita1_x0028_delproveedorD_x0029_ xmlns="b646f9de-3297-4c31-891b-b6cf74e8a20b" xsi:nil="true"/>
    <Fechadecita1_x0028_delproveedorC_x0029_ xmlns="b646f9de-3297-4c31-891b-b6cf74e8a20b" xsi:nil="true"/>
    <Direcci_x00f3_ndeproveedorB xmlns="b646f9de-3297-4c31-891b-b6cf74e8a20b" xsi:nil="true"/>
    <Fechadecita3_x0028_delproveedorA_x0029_ xmlns="b646f9de-3297-4c31-891b-b6cf74e8a20b" xsi:nil="true"/>
    <Fechadecita4_x0028_delproveedorA_x0029_ xmlns="b646f9de-3297-4c31-891b-b6cf74e8a20b" xsi:nil="true"/>
    <P_x00f3_lizadelaempresa xmlns="b646f9de-3297-4c31-891b-b6cf74e8a20b" xsi:nil="true"/>
    <Nombredebeneficiario xmlns="b646f9de-3297-4c31-891b-b6cf74e8a20b" xsi:nil="true"/>
    <encumplimientolegal xmlns="b646f9de-3297-4c31-891b-b6cf74e8a20b" xsi:nil="true"/>
    <CONDIC_NATCLAR xmlns="b646f9de-3297-4c31-891b-b6cf74e8a20b" xsi:nil="true"/>
    <Direcci_x00f3_ndeproveedorA xmlns="b646f9de-3297-4c31-891b-b6cf74e8a20b" xsi:nil="true"/>
    <Fechadepago xmlns="b646f9de-3297-4c31-891b-b6cf74e8a20b" xsi:nil="true"/>
    <Fechadesiniestrolarga xmlns="b646f9de-3297-4c31-891b-b6cf74e8a20b" xsi:nil="true"/>
    <EXPEDIENTELEGAL xmlns="b646f9de-3297-4c31-891b-b6cf74e8a20b" xsi:nil="true"/>
    <Direcci_x00f3_ndelasegurado xmlns="b646f9de-3297-4c31-891b-b6cf74e8a20b" xsi:nil="true"/>
    <ANEXOCONSTANCIAINDEMNIZACION xmlns="b646f9de-3297-4c31-891b-b6cf74e8a20b" xsi:nil="true"/>
    <Fechadeiniciodepension xmlns="b646f9de-3297-4c31-891b-b6cf74e8a20b" xsi:nil="true"/>
    <PROV4 xmlns="b646f9de-3297-4c31-891b-b6cf74e8a20b" xsi:nil="true"/>
    <LISTA_x0025_ xmlns="b646f9de-3297-4c31-891b-b6cf74e8a20b" xsi:nil="true"/>
    <LISTAACREDITADO xmlns="b646f9de-3297-4c31-891b-b6cf74e8a20b" xsi:nil="true"/>
    <Menoscabo xmlns="b646f9de-3297-4c31-891b-b6cf74e8a20b" xsi:nil="true"/>
    <Numerodecelulardelasegurado xmlns="b646f9de-3297-4c31-891b-b6cf74e8a20b" xsi:nil="true"/>
    <PROV5 xmlns="b646f9de-3297-4c31-891b-b6cf74e8a20b" xsi:nil="true"/>
    <Nombredeltrabajador xmlns="b646f9de-3297-4c31-891b-b6cf74e8a20b" xsi:nil="true"/>
    <TaxCatchAll xmlns="b8c6fdf2-8adc-4820-9c71-468ba955765c" xsi:nil="true"/>
    <TIPOTRAMITE xmlns="b646f9de-3297-4c31-891b-b6cf74e8a20b" xsi:nil="true"/>
    <PROV2 xmlns="b646f9de-3297-4c31-891b-b6cf74e8a20b" xsi:nil="true"/>
    <Fechadecita1_x0028_delproveedorE_x0029_ xmlns="b646f9de-3297-4c31-891b-b6cf74e8a20b" xsi:nil="true"/>
    <Fechadecita4_x0028_delproveedorE_x0029_ xmlns="b646f9de-3297-4c31-891b-b6cf74e8a20b" xsi:nil="true"/>
    <ProveedorD xmlns="b646f9de-3297-4c31-891b-b6cf74e8a20b" xsi:nil="true"/>
    <Fechadecita2_x0028_delproveedorC_x0029_ xmlns="b646f9de-3297-4c31-891b-b6cf74e8a20b" xsi:nil="true"/>
    <Fechadecita3_x0028_delproveedorB_x0029_ xmlns="b646f9de-3297-4c31-891b-b6cf74e8a20b" xsi:nil="true"/>
    <ProveedorA xmlns="b646f9de-3297-4c31-891b-b6cf74e8a20b" xsi:nil="true"/>
    <BROKER xmlns="b646f9de-3297-4c31-891b-b6cf74e8a20b" xsi:nil="true"/>
    <PROV3 xmlns="b646f9de-3297-4c31-891b-b6cf74e8a20b" xsi:nil="true"/>
    <NOTAREEMBOLSO xmlns="b646f9de-3297-4c31-891b-b6cf74e8a20b" xsi:nil="true"/>
    <lcf76f155ced4ddcb4097134ff3c332f xmlns="b646f9de-3297-4c31-891b-b6cf74e8a20b">
      <Terms xmlns="http://schemas.microsoft.com/office/infopath/2007/PartnerControls"/>
    </lcf76f155ced4ddcb4097134ff3c332f>
    <Direcci_x00f3_ndeproveedorE xmlns="b646f9de-3297-4c31-891b-b6cf74e8a20b" xsi:nil="true"/>
    <Causa xmlns="b646f9de-3297-4c31-891b-b6cf74e8a20b" xsi:nil="true"/>
    <DNIdelasegurado xmlns="b646f9de-3297-4c31-891b-b6cf74e8a20b" xsi:nil="true"/>
    <tipodedocumentodebeneficiario xmlns="b646f9de-3297-4c31-891b-b6cf74e8a20b" xsi:nil="true"/>
    <Documentospendientes xmlns="b646f9de-3297-4c31-891b-b6cf74e8a20b" xsi:nil="true"/>
    <SEDEJUDICIAL xmlns="b646f9de-3297-4c31-891b-b6cf74e8a20b" xsi:nil="true"/>
    <Direcci_x00f3_ndeproveedor xmlns="b646f9de-3297-4c31-891b-b6cf74e8a20b" xsi:nil="true"/>
    <Direcci_x00f3_ndeproveedorD xmlns="b646f9de-3297-4c31-891b-b6cf74e8a20b" xsi:nil="true"/>
    <DIAGNOSTICOS_x002f_ENFERMEDAD xmlns="b646f9de-3297-4c31-891b-b6cf74e8a20b" xsi:nil="true"/>
    <Tipodedocdeidentidaddelasegurado xmlns="b646f9de-3297-4c31-891b-b6cf74e8a20b" xsi:nil="true"/>
    <ANEXO2DEPENSION xmlns="b646f9de-3297-4c31-891b-b6cf74e8a20b" xsi:nil="true"/>
    <EncasodeATESSALUD xmlns="b646f9de-3297-4c31-891b-b6cf74e8a20b" xsi:nil="true"/>
    <PROV1 xmlns="b646f9de-3297-4c31-891b-b6cf74e8a20b" xsi:nil="true"/>
    <Nombredeprocurador xmlns="b646f9de-3297-4c31-891b-b6cf74e8a20b" xsi:nil="true"/>
    <Fechadecita1 xmlns="b646f9de-3297-4c31-891b-b6cf74e8a20b" xsi:nil="true"/>
    <Fechadecita4 xmlns="b646f9de-3297-4c31-891b-b6cf74e8a20b" xsi:nil="true"/>
    <Remunpromedio xmlns="b646f9de-3297-4c31-891b-b6cf74e8a20b" xsi:nil="true"/>
    <Montoaindemnizarletras xmlns="b646f9de-3297-4c31-891b-b6cf74e8a20b" xsi:nil="true"/>
    <cuandooconsecuencia xmlns="b646f9de-3297-4c31-891b-b6cf74e8a20b" xsi:nil="true"/>
    <CIMEDIC5 xmlns="b646f9de-3297-4c31-891b-b6cf74e8a20b" xsi:nil="true"/>
    <Dnidelprocurador xmlns="b646f9de-3297-4c31-891b-b6cf74e8a20b" xsi:nil="true"/>
    <ProveedorE xmlns="b646f9de-3297-4c31-891b-b6cf74e8a20b" xsi:nil="true"/>
    <Fechadecita4_x0028_delproveedorD_x0029_ xmlns="b646f9de-3297-4c31-891b-b6cf74e8a20b" xsi:nil="true"/>
    <Fechadecita3_x0028_delproveedorC_x0029_ xmlns="b646f9de-3297-4c31-891b-b6cf74e8a20b" xsi:nil="true"/>
    <ProveedorB xmlns="b646f9de-3297-4c31-891b-b6cf74e8a20b" xsi:nil="true"/>
    <Fechadecita2_x0028_delproveedorB_x0029_ xmlns="b646f9de-3297-4c31-891b-b6cf74e8a20b" xsi:nil="true"/>
    <Fechadecita1_x0028_delproveedorA_x0029_ xmlns="b646f9de-3297-4c31-891b-b6cf74e8a20b" xsi:nil="true"/>
    <Prestaci_x00f3_ny_x002f_oCobertura xmlns="b646f9de-3297-4c31-891b-b6cf74e8a20b" xsi:nil="true"/>
    <DICTINR2 xmlns="b646f9de-3297-4c31-891b-b6cf74e8a20b" xsi:nil="true"/>
    <CORREOBROKER xmlns="b646f9de-3297-4c31-891b-b6cf74e8a20b" xsi:nil="true"/>
    <FECH_RESOL xmlns="b646f9de-3297-4c31-891b-b6cf74e8a20b" xsi:nil="true"/>
    <Tel_x00e9_fonodelproveedorD xmlns="b646f9de-3297-4c31-891b-b6cf74e8a20b" xsi:nil="true"/>
    <N_x00fa_merodesiniestro xmlns="b646f9de-3297-4c31-891b-b6cf74e8a20b" xsi:nil="true"/>
    <LISTAPARENTEZCO xmlns="b646f9de-3297-4c31-891b-b6cf74e8a20b" xsi:nil="true"/>
    <Tel_x00e9_fonodelproveedorE xmlns="b646f9de-3297-4c31-891b-b6cf74e8a20b" xsi:nil="true"/>
    <CorreodelAsegurado xmlns="b646f9de-3297-4c31-891b-b6cf74e8a20b" xsi:nil="true"/>
    <MENOSCABO_x002a_70_x0025_ xmlns="b646f9de-3297-4c31-891b-b6cf74e8a20b" xsi:nil="true"/>
    <Fechadecita2 xmlns="b646f9de-3297-4c31-891b-b6cf74e8a20b" xsi:nil="true"/>
    <Horadecita2_x0028_delproveedorE_x0029_ xmlns="b646f9de-3297-4c31-891b-b6cf74e8a20b" xsi:nil="true"/>
    <Horadecita3_x0028_delproveedorD_x0029_ xmlns="b646f9de-3297-4c31-891b-b6cf74e8a20b" xsi:nil="true"/>
    <Horadecita4_x0028_delproveedorC_x0029_ xmlns="b646f9de-3297-4c31-891b-b6cf74e8a20b" xsi:nil="true"/>
    <Tel_x00e9_fonodelproveedorB xmlns="b646f9de-3297-4c31-891b-b6cf74e8a20b" xsi:nil="true"/>
    <Fechadeultimapensi_x00f3_n xmlns="b646f9de-3297-4c31-891b-b6cf74e8a20b" xsi:nil="true"/>
    <DICTMAPFRE1 xmlns="b646f9de-3297-4c31-891b-b6cf74e8a20b" xsi:nil="true"/>
    <CORREOEMPRESA xmlns="b646f9de-3297-4c31-891b-b6cf74e8a20b" xsi:nil="true"/>
    <CIMEDIC4 xmlns="b646f9de-3297-4c31-891b-b6cf74e8a20b" xsi:nil="true"/>
    <Nombre_x0020_de_x0020_la_x0020_empresa xmlns="b646f9de-3297-4c31-891b-b6cf74e8a20b" xsi:nil="true"/>
    <Horadecita1 xmlns="b646f9de-3297-4c31-891b-b6cf74e8a20b" xsi:nil="true"/>
    <Fechadecita2_x0028_delproveedorE_x0029_ xmlns="b646f9de-3297-4c31-891b-b6cf74e8a20b" xsi:nil="true"/>
    <Horadecita3_x0028_delproveedorE_x0029_ xmlns="b646f9de-3297-4c31-891b-b6cf74e8a20b" xsi:nil="true"/>
    <Fechadecita3_x0028_delproveedorD_x0029_ xmlns="b646f9de-3297-4c31-891b-b6cf74e8a20b" xsi:nil="true"/>
    <Horadecita2_x0028_delproveedorD_x0029_ xmlns="b646f9de-3297-4c31-891b-b6cf74e8a20b" xsi:nil="true"/>
    <ProveedorC xmlns="b646f9de-3297-4c31-891b-b6cf74e8a20b" xsi:nil="true"/>
    <Tel_x00e9_fonodelproveedorC xmlns="b646f9de-3297-4c31-891b-b6cf74e8a20b" xsi:nil="true"/>
    <Fechadecita4_x0028_delproveedorC_x0029_ xmlns="b646f9de-3297-4c31-891b-b6cf74e8a20b" xsi:nil="true"/>
    <Horadecita4_x0028_delproveedorB_x0029_ xmlns="b646f9de-3297-4c31-891b-b6cf74e8a20b" xsi:nil="true"/>
    <Tipodeconfi xmlns="b646f9de-3297-4c31-891b-b6cf74e8a20b" xsi:nil="true"/>
    <Compa_x00f1_ia xmlns="b646f9de-3297-4c31-891b-b6cf74e8a20b" xsi:nil="true"/>
    <Horadecita2 xmlns="b646f9de-3297-4c31-891b-b6cf74e8a20b" xsi:nil="true"/>
    <Horadecita1_x0028_delproveedorD_x0029_ xmlns="b646f9de-3297-4c31-891b-b6cf74e8a20b" xsi:nil="true"/>
    <Horadecita4_x0028_delproveedorA_x0029_ xmlns="b646f9de-3297-4c31-891b-b6cf74e8a20b" xsi:nil="true"/>
    <Asunto_x002d_carta xmlns="b646f9de-3297-4c31-891b-b6cf74e8a20b" xsi:nil="true"/>
    <Estadodedocumento xmlns="b646f9de-3297-4c31-891b-b6cf74e8a20b">Pendiente</Estadodedocumento>
    <Horadecita3 xmlns="b646f9de-3297-4c31-891b-b6cf74e8a20b" xsi:nil="true"/>
    <Horadecita1_x0028_delproveedorE_x0029_ xmlns="b646f9de-3297-4c31-891b-b6cf74e8a20b" xsi:nil="true"/>
    <Tel_x00e9_fonodelproveedorA xmlns="b646f9de-3297-4c31-891b-b6cf74e8a20b" xsi:nil="true"/>
    <Consecuencia xmlns="b646f9de-3297-4c31-891b-b6cf74e8a20b" xsi:nil="true"/>
    <Montodeintereseslegalesletras xmlns="b646f9de-3297-4c31-891b-b6cf74e8a20b" xsi:nil="true"/>
    <nrodedocumentodebeneficiario xmlns="b646f9de-3297-4c31-891b-b6cf74e8a20b" xsi:nil="true"/>
    <DICTMAPFRE2 xmlns="b646f9de-3297-4c31-891b-b6cf74e8a20b" xsi:nil="true"/>
    <LISTADEBENEFICIARIOS xmlns="b646f9de-3297-4c31-891b-b6cf74e8a20b" xsi:nil="true"/>
    <Apellido_Materno xmlns="b646f9de-3297-4c31-891b-b6cf74e8a20b" xsi:nil="true"/>
    <DNI xmlns="b646f9de-3297-4c31-891b-b6cf74e8a20b" xsi:nil="true"/>
    <Diagnostico_3 xmlns="b646f9de-3297-4c31-891b-b6cf74e8a20b" xsi:nil="true"/>
    <Diagnostico_2 xmlns="b646f9de-3297-4c31-891b-b6cf74e8a20b" xsi:nil="true"/>
    <N_Permanente xmlns="b646f9de-3297-4c31-891b-b6cf74e8a20b" xsi:nil="true"/>
    <Msc_Comb xmlns="b646f9de-3297-4c31-891b-b6cf74e8a20b" xsi:nil="true"/>
    <Diagnostico_1 xmlns="b646f9de-3297-4c31-891b-b6cf74e8a20b" xsi:nil="true"/>
    <FC_Grado xmlns="b646f9de-3297-4c31-891b-b6cf74e8a20b" xsi:nil="true"/>
    <Nombres xmlns="b646f9de-3297-4c31-891b-b6cf74e8a20b" xsi:nil="true"/>
    <Empresa_Sede xmlns="b646f9de-3297-4c31-891b-b6cf74e8a20b" xsi:nil="true"/>
    <Periodo_Laboral xmlns="b646f9de-3297-4c31-891b-b6cf74e8a20b" xsi:nil="true"/>
    <N_NoIncapa xmlns="b646f9de-3297-4c31-891b-b6cf74e8a20b" xsi:nil="true"/>
    <Dia_Informe xmlns="b646f9de-3297-4c31-891b-b6cf74e8a20b" xsi:nil="true"/>
    <Distrito xmlns="b646f9de-3297-4c31-891b-b6cf74e8a20b" xsi:nil="true"/>
    <I_Total xmlns="b646f9de-3297-4c31-891b-b6cf74e8a20b" xsi:nil="true"/>
    <Edad xmlns="b646f9de-3297-4c31-891b-b6cf74e8a20b" xsi:nil="true"/>
    <Ocupacion xmlns="b646f9de-3297-4c31-891b-b6cf74e8a20b" xsi:nil="true"/>
    <Actividad xmlns="b646f9de-3297-4c31-891b-b6cf74e8a20b" xsi:nil="true"/>
    <Codigo_3 xmlns="b646f9de-3297-4c31-891b-b6cf74e8a20b" xsi:nil="true"/>
    <I_GIncap xmlns="b646f9de-3297-4c31-891b-b6cf74e8a20b" xsi:nil="true"/>
    <Provincia xmlns="b646f9de-3297-4c31-891b-b6cf74e8a20b" xsi:nil="true"/>
    <Sexo xmlns="b646f9de-3297-4c31-891b-b6cf74e8a20b" xsi:nil="true"/>
    <Codigo_2 xmlns="b646f9de-3297-4c31-891b-b6cf74e8a20b" xsi:nil="true"/>
    <Msc_Global xmlns="b646f9de-3297-4c31-891b-b6cf74e8a20b" xsi:nil="true"/>
    <Mes_Informe xmlns="b646f9de-3297-4c31-891b-b6cf74e8a20b" xsi:nil="true"/>
    <Calle xmlns="b646f9de-3297-4c31-891b-b6cf74e8a20b" xsi:nil="true"/>
    <Departamento xmlns="b646f9de-3297-4c31-891b-b6cf74e8a20b" xsi:nil="true"/>
    <Fech_I xmlns="b646f9de-3297-4c31-891b-b6cf74e8a20b" xsi:nil="true"/>
    <Fecha_Nacimiento xmlns="b646f9de-3297-4c31-891b-b6cf74e8a20b" xsi:nil="true"/>
    <N_Temporal xmlns="b646f9de-3297-4c31-891b-b6cf74e8a20b" xsi:nil="true"/>
    <Codigo_1 xmlns="b646f9de-3297-4c31-891b-b6cf74e8a20b" xsi:nil="true"/>
    <Nro_Certificado xmlns="b646f9de-3297-4c31-891b-b6cf74e8a20b" xsi:nil="true"/>
    <Resultado_AT xmlns="b646f9de-3297-4c31-891b-b6cf74e8a20b" xsi:nil="true"/>
    <I_Parcial xmlns="b646f9de-3297-4c31-891b-b6cf74e8a20b" xsi:nil="true"/>
    <Apellido_Paterno xmlns="b646f9de-3297-4c31-891b-b6cf74e8a20b" xsi:nil="true"/>
    <FC_Edad xmlns="b646f9de-3297-4c31-891b-b6cf74e8a20b" xsi:nil="true"/>
    <Anio_Informe xmlns="b646f9de-3297-4c31-891b-b6cf74e8a20b" xsi:nil="true"/>
    <Resultado_Informe xmlns="b646f9de-3297-4c31-891b-b6cf74e8a20b" xsi:nil="true"/>
    <Empleador xmlns="b646f9de-3297-4c31-891b-b6cf74e8a20b" xsi:nil="true"/>
    <Fech_A xmlns="b646f9de-3297-4c31-891b-b6cf74e8a20b" xsi:nil="true"/>
    <FC_Laboral xmlns="b646f9de-3297-4c31-891b-b6cf74e8a20b" xsi:nil="true"/>
    <Nro_Carta xmlns="b646f9de-3297-4c31-891b-b6cf74e8a20b" xsi:nil="true"/>
    <Detalle_Doc_Incumplimiento xmlns="b646f9de-3297-4c31-891b-b6cf74e8a20b" xsi:nil="true"/>
    <Hora_Siniestro xmlns="b646f9de-3297-4c31-891b-b6cf74e8a20b" xsi:nil="true"/>
    <Hora_Emision_Constancia xmlns="b646f9de-3297-4c31-891b-b6cf74e8a20b" xsi:nil="true"/>
    <Diagnosticos_Enfermedad xmlns="b646f9de-3297-4c31-891b-b6cf74e8a20b" xsi:nil="true"/>
    <Documentos_Incumplimiento xmlns="b646f9de-3297-4c31-891b-b6cf74e8a20b" xsi:nil="true"/>
    <Sustento_Rechazo xmlns="b646f9de-3297-4c31-891b-b6cf74e8a20b" xsi:nil="true"/>
    <Fecha_Carta xmlns="b646f9de-3297-4c31-891b-b6cf74e8a20b" xsi:nil="true"/>
    <Nombre_Asegurado xmlns="b646f9de-3297-4c31-891b-b6cf74e8a20b" xsi:nil="true"/>
    <Labor_Riesgo xmlns="b646f9de-3297-4c31-891b-b6cf74e8a20b" xsi:nil="true"/>
    <Correo_Asegurado xmlns="b646f9de-3297-4c31-891b-b6cf74e8a20b" xsi:nil="true"/>
    <Empresa xmlns="b646f9de-3297-4c31-891b-b6cf74e8a20b" xsi:nil="true"/>
    <Fecha_Emision_Constancia xmlns="b646f9de-3297-4c31-891b-b6cf74e8a20b" xsi:nil="true"/>
    <Nro_Poliza xmlns="b646f9de-3297-4c31-891b-b6cf74e8a20b" xsi:nil="true"/>
    <Nro_Constancia xmlns="b646f9de-3297-4c31-891b-b6cf74e8a20b" xsi:nil="true"/>
    <Descripcion_Accidente xmlns="b646f9de-3297-4c31-891b-b6cf74e8a20b" xsi:nil="true"/>
    <Motivo_NoRelacion xmlns="b646f9de-3297-4c31-891b-b6cf74e8a20b" xsi:nil="true"/>
    <Fecha_Siniestro xmlns="b646f9de-3297-4c31-891b-b6cf74e8a20b" xsi:nil="true"/>
    <Fecha_Siniestro1 xmlns="b646f9de-3297-4c31-891b-b6cf74e8a20b" xsi:nil="true"/>
    <Vigencia_Constancia xmlns="b646f9de-3297-4c31-891b-b6cf74e8a20b" xsi:nil="true"/>
    <cl xmlns="b646f9de-3297-4c31-891b-b6cf74e8a20b" xsi:nil="true"/>
    <bl xmlns="b646f9de-3297-4c31-891b-b6cf74e8a20b" xsi:nil="true"/>
    <Documentos_Incumplimiento2 xmlns="b646f9de-3297-4c31-891b-b6cf74e8a20b" xsi:nil="true"/>
    <Detalle_Doc_Incumplimiento1 xmlns="b646f9de-3297-4c31-891b-b6cf74e8a20b" xsi:nil="true"/>
    <Detalle_Doc_Incumplimiento2 xmlns="b646f9de-3297-4c31-891b-b6cf74e8a20b" xsi:nil="true"/>
    <Estipula1 xmlns="b646f9de-3297-4c31-891b-b6cf74e8a20b" xsi:nil="true"/>
    <Estipula2 xmlns="b646f9de-3297-4c31-891b-b6cf74e8a20b" xsi:nil="true"/>
    <Documentos_Incumplimiento1 xmlns="b646f9de-3297-4c31-891b-b6cf74e8a20b" xsi:nil="true"/>
    <Detalle_Doc_6 xmlns="b646f9de-3297-4c31-891b-b6cf74e8a20b" xsi:nil="true"/>
    <Detalle_Doc_5 xmlns="b646f9de-3297-4c31-891b-b6cf74e8a20b" xsi:nil="true"/>
    <Sustento_Rechazo_3 xmlns="b646f9de-3297-4c31-891b-b6cf74e8a20b" xsi:nil="true"/>
    <Sustento_Rechazo_4 xmlns="b646f9de-3297-4c31-891b-b6cf74e8a20b" xsi:nil="true"/>
    <Detalle_Doc_4 xmlns="b646f9de-3297-4c31-891b-b6cf74e8a20b" xsi:nil="true"/>
    <Diagnosticos_3 xmlns="b646f9de-3297-4c31-891b-b6cf74e8a20b" xsi:nil="true"/>
    <Detalle_Doc_3 xmlns="b646f9de-3297-4c31-891b-b6cf74e8a20b" xsi:nil="true"/>
    <Detalle_Doc_2 xmlns="b646f9de-3297-4c31-891b-b6cf74e8a20b" xsi:nil="true"/>
    <Sustento_Rechazo_2 xmlns="b646f9de-3297-4c31-891b-b6cf74e8a20b" xsi:nil="true"/>
    <Diagnosticos_2 xmlns="b646f9de-3297-4c31-891b-b6cf74e8a20b" xsi:nil="true"/>
    <Descripcion_Accidente_2 xmlns="b646f9de-3297-4c31-891b-b6cf74e8a20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5F873CD8E35B46AA94A8258DDC3D10" ma:contentTypeVersion="240" ma:contentTypeDescription="Crear nuevo documento." ma:contentTypeScope="" ma:versionID="5c61b7976ac9579ad0e455d06184203c">
  <xsd:schema xmlns:xsd="http://www.w3.org/2001/XMLSchema" xmlns:xs="http://www.w3.org/2001/XMLSchema" xmlns:p="http://schemas.microsoft.com/office/2006/metadata/properties" xmlns:ns2="b646f9de-3297-4c31-891b-b6cf74e8a20b" xmlns:ns3="b8c6fdf2-8adc-4820-9c71-468ba955765c" targetNamespace="http://schemas.microsoft.com/office/2006/metadata/properties" ma:root="true" ma:fieldsID="17114f665530cad082246e1c2c6be152" ns2:_="" ns3:_="">
    <xsd:import namespace="b646f9de-3297-4c31-891b-b6cf74e8a20b"/>
    <xsd:import namespace="b8c6fdf2-8adc-4820-9c71-468ba9557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dedocumento"/>
                <xsd:element ref="ns2:MediaServiceDateTaken" minOccurs="0"/>
                <xsd:element ref="ns2:MediaLengthInSeconds" minOccurs="0"/>
                <xsd:element ref="ns2:FECHA" minOccurs="0"/>
                <xsd:element ref="ns2:Nombre_x0020_de_x0020_la_x0020_empresa" minOccurs="0"/>
                <xsd:element ref="ns2:Nombredeltrabajador" minOccurs="0"/>
                <xsd:element ref="ns2:Fechadeaccidente" minOccurs="0"/>
                <xsd:element ref="ns2:Nombredeprocurador" minOccurs="0"/>
                <xsd:element ref="ns2:Dnidelprocurador" minOccurs="0"/>
                <xsd:element ref="ns2:Asunto" minOccurs="0"/>
                <xsd:element ref="ns2:Compa_x00f1_ia" minOccurs="0"/>
                <xsd:element ref="ns2:lcf76f155ced4ddcb4097134ff3c332f" minOccurs="0"/>
                <xsd:element ref="ns3:TaxCatchAll" minOccurs="0"/>
                <xsd:element ref="ns2:Correo" minOccurs="0"/>
                <xsd:element ref="ns2:Proveedor" minOccurs="0"/>
                <xsd:element ref="ns2:Direcci_x00f3_ndeproveedor" minOccurs="0"/>
                <xsd:element ref="ns2:Fechadecita1" minOccurs="0"/>
                <xsd:element ref="ns2:Fechadecita2" minOccurs="0"/>
                <xsd:element ref="ns2:Fechadecita3" minOccurs="0"/>
                <xsd:element ref="ns2:Horadecita1" minOccurs="0"/>
                <xsd:element ref="ns2:Horadecita2" minOccurs="0"/>
                <xsd:element ref="ns2:Horadecita3" minOccurs="0"/>
                <xsd:element ref="ns2:Fechadecita4" minOccurs="0"/>
                <xsd:element ref="ns2:Horadecita4" minOccurs="0"/>
                <xsd:element ref="ns2:Tel_x00e9_fonodelproveedor" minOccurs="0"/>
                <xsd:element ref="ns2:ProveedorE" minOccurs="0"/>
                <xsd:element ref="ns2:Direcci_x00f3_ndeproveedorE" minOccurs="0"/>
                <xsd:element ref="ns2:Tel_x00e9_fonodelproveedorE" minOccurs="0"/>
                <xsd:element ref="ns2:Fechadecita1_x0028_delproveedorE_x0029_" minOccurs="0"/>
                <xsd:element ref="ns2:Fechadecita2_x0028_delproveedorE_x0029_" minOccurs="0"/>
                <xsd:element ref="ns2:Fechadecita3_x0028_delproveedorE_x0029_" minOccurs="0"/>
                <xsd:element ref="ns2:Fechadecita4_x0028_delproveedorE_x0029_" minOccurs="0"/>
                <xsd:element ref="ns2:Horadecita1_x0028_delproveedorE_x0029_" minOccurs="0"/>
                <xsd:element ref="ns2:Horadecita2_x0028_delproveedorE_x0029_" minOccurs="0"/>
                <xsd:element ref="ns2:Horadecita3_x0028_delproveedorE_x0029_" minOccurs="0"/>
                <xsd:element ref="ns2:Horadecita4_x0028_delproveedorE_x0029_" minOccurs="0"/>
                <xsd:element ref="ns2:ProveedorD" minOccurs="0"/>
                <xsd:element ref="ns2:Direcci_x00f3_ndeproveedorD" minOccurs="0"/>
                <xsd:element ref="ns2:Tel_x00e9_fonodelproveedorD" minOccurs="0"/>
                <xsd:element ref="ns2:Fechadecita1_x0028_delproveedorD_x0029_" minOccurs="0"/>
                <xsd:element ref="ns2:Fechadecita2_x0028_delproveedorD_x0029_" minOccurs="0"/>
                <xsd:element ref="ns2:Fechadecita3_x0028_delproveedorD_x0029_" minOccurs="0"/>
                <xsd:element ref="ns2:Fechadecita4_x0028_delproveedorD_x0029_" minOccurs="0"/>
                <xsd:element ref="ns2:Horadecita1_x0028_delproveedorD_x0029_" minOccurs="0"/>
                <xsd:element ref="ns2:Horadecita2_x0028_delproveedorD_x0029_" minOccurs="0"/>
                <xsd:element ref="ns2:Horadecita3_x0028_delproveedorD_x0029_" minOccurs="0"/>
                <xsd:element ref="ns2:Horadecita4_x0028_delproveedorD_x0029_" minOccurs="0"/>
                <xsd:element ref="ns2:ProveedorC" minOccurs="0"/>
                <xsd:element ref="ns2:Direcci_x00f3_ndeproveedorC" minOccurs="0"/>
                <xsd:element ref="ns2:Tel_x00e9_fonodelproveedorC" minOccurs="0"/>
                <xsd:element ref="ns2:Fechadecita1_x0028_delproveedorC_x0029_" minOccurs="0"/>
                <xsd:element ref="ns2:Fechadecita2_x0028_delproveedorC_x0029_" minOccurs="0"/>
                <xsd:element ref="ns2:Fechadecita3_x0028_delproveedorC_x0029_" minOccurs="0"/>
                <xsd:element ref="ns2:Fechadecita4_x0028_delproveedorC_x0029_" minOccurs="0"/>
                <xsd:element ref="ns2:Horadecita1_x0028_delproveedorC_x0029_" minOccurs="0"/>
                <xsd:element ref="ns2:Horadecita2_x0028_delproveedorC_x0029_" minOccurs="0"/>
                <xsd:element ref="ns2:Horadecita3_x0028_delproveedorC_x0029_" minOccurs="0"/>
                <xsd:element ref="ns2:Horadecita4_x0028_delproveedorC_x0029_" minOccurs="0"/>
                <xsd:element ref="ns2:ProveedorB" minOccurs="0"/>
                <xsd:element ref="ns2:Direcci_x00f3_ndeproveedorB" minOccurs="0"/>
                <xsd:element ref="ns2:Tel_x00e9_fonodelproveedorB" minOccurs="0"/>
                <xsd:element ref="ns2:Fechadecita1_x0028_delproveedorB_x0029_" minOccurs="0"/>
                <xsd:element ref="ns2:Fechadecita2_x0028_delproveedorB_x0029_" minOccurs="0"/>
                <xsd:element ref="ns2:Fechadecita3_x0028_delproveedorB_x0029_" minOccurs="0"/>
                <xsd:element ref="ns2:Fechadecita4_x0028_delproveedorB_x0029_" minOccurs="0"/>
                <xsd:element ref="ns2:Horadecita1_x0028_delproveedorB_x0029_" minOccurs="0"/>
                <xsd:element ref="ns2:Horadecita2_x0028_delproveedorB_x0029_" minOccurs="0"/>
                <xsd:element ref="ns2:Horadecita3_x0028_delproveedorB_x0029_" minOccurs="0"/>
                <xsd:element ref="ns2:Horadecita4_x0028_delproveedorB_x0029_" minOccurs="0"/>
                <xsd:element ref="ns2:ProveedorA" minOccurs="0"/>
                <xsd:element ref="ns2:Direcci_x00f3_ndeproveedorA" minOccurs="0"/>
                <xsd:element ref="ns2:Tel_x00e9_fonodelproveedorA" minOccurs="0"/>
                <xsd:element ref="ns2:Fechadecita1_x0028_delproveedorA_x0029_" minOccurs="0"/>
                <xsd:element ref="ns2:Fechadecita2_x0028_delproveedorA_x0029_" minOccurs="0"/>
                <xsd:element ref="ns2:Fechadecita3_x0028_delproveedorA_x0029_" minOccurs="0"/>
                <xsd:element ref="ns2:Fechadecita4_x0028_delproveedorA_x0029_" minOccurs="0"/>
                <xsd:element ref="ns2:Horadecita1_x0028_delproveedorA_x0029_" minOccurs="0"/>
                <xsd:element ref="ns2:Horadecita2_x0028_delproveedorA_x0029_" minOccurs="0"/>
                <xsd:element ref="ns2:Horadecita3_x0028_delproveedorA_x0029_" minOccurs="0"/>
                <xsd:element ref="ns2:Horadecita4_x0028_delproveedorA_x0029_" minOccurs="0"/>
                <xsd:element ref="ns2:Nombredeasegurado" minOccurs="0"/>
                <xsd:element ref="ns2:CorreodelAsegurado" minOccurs="0"/>
                <xsd:element ref="ns2:P_x00f3_lizadelaempresa" minOccurs="0"/>
                <xsd:element ref="ns2:N_x00fa_merodesiniestro" minOccurs="0"/>
                <xsd:element ref="ns2:Causa" minOccurs="0"/>
                <xsd:element ref="ns2:Consecuencia" minOccurs="0"/>
                <xsd:element ref="ns2:Fechadepago" minOccurs="0"/>
                <xsd:element ref="ns2:Montoaindemnizar" minOccurs="0"/>
                <xsd:element ref="ns2:DIAGNOSTICOS_x002f_ENFERMEDAD" minOccurs="0"/>
                <xsd:element ref="ns2:Fechadesiniestro" minOccurs="0"/>
                <xsd:element ref="ns2:Menoscabo" minOccurs="0"/>
                <xsd:element ref="ns2:Remunpromedio" minOccurs="0"/>
                <xsd:element ref="ns2:DNIdelasegurado" minOccurs="0"/>
                <xsd:element ref="ns2:Tipodedocdeidentidaddelasegurado" minOccurs="0"/>
                <xsd:element ref="ns2:MENOSCABO_x002a_70_x0025_" minOccurs="0"/>
                <xsd:element ref="ns2:Montoaindemnizarletras" minOccurs="0"/>
                <xsd:element ref="ns2:Fechadesiniestroletras" minOccurs="0"/>
                <xsd:element ref="ns2:Fechadesiniestrolarga" minOccurs="0"/>
                <xsd:element ref="ns2:Montodeintereseslegalesletras" minOccurs="0"/>
                <xsd:element ref="ns2:Prestaci_x00f3_ny_x002f_oCobertura" minOccurs="0"/>
                <xsd:element ref="ns2:Nombredebeneficiario" minOccurs="0"/>
                <xsd:element ref="ns2:nrodedocumentodebeneficiario" minOccurs="0"/>
                <xsd:element ref="ns2:tipodedocumentodebeneficiario" minOccurs="0"/>
                <xsd:element ref="ns2:EXPEDIENTELEGAL" minOccurs="0"/>
                <xsd:element ref="ns2:Asunto_x002d_carta" minOccurs="0"/>
                <xsd:element ref="ns2:Numerodecelulardelasegurado" minOccurs="0"/>
                <xsd:element ref="ns2:Direcci_x00f3_ndelasegurado" minOccurs="0"/>
                <xsd:element ref="ns2:Documentospendientes" minOccurs="0"/>
                <xsd:element ref="ns2:PENSIONDEINVALIDEZ_x002f_INDEMNIZACION" minOccurs="0"/>
                <xsd:element ref="ns2:ANEXOCONSTANCIAINDEMNIZACION" minOccurs="0"/>
                <xsd:element ref="ns2:TIPOTRAMITE" minOccurs="0"/>
                <xsd:element ref="ns2:cuandooconsecuencia" minOccurs="0"/>
                <xsd:element ref="ns2:SEDEJUDICIAL" minOccurs="0"/>
                <xsd:element ref="ns2:Fechadeiniciodepension" minOccurs="0"/>
                <xsd:element ref="ns2:encumplimientolegal" minOccurs="0"/>
                <xsd:element ref="ns2:Fechadeultimapensi_x00f3_n" minOccurs="0"/>
                <xsd:element ref="ns2:ANEXO2DEPENSION" minOccurs="0"/>
                <xsd:element ref="ns2:MediaServiceObjectDetectorVersions" minOccurs="0"/>
                <xsd:element ref="ns2:EncasodeATESSALUD" minOccurs="0"/>
                <xsd:element ref="ns2:DICTMAPFRE1" minOccurs="0"/>
                <xsd:element ref="ns2:DICTINR1" minOccurs="0"/>
                <xsd:element ref="ns2:DICTMAPFRE2" minOccurs="0"/>
                <xsd:element ref="ns2:DICTINR2" minOccurs="0"/>
                <xsd:element ref="ns2:Tipodeconfi" minOccurs="0"/>
                <xsd:element ref="ns2:BROKER" minOccurs="0"/>
                <xsd:element ref="ns2:CORREOBROKER" minOccurs="0"/>
                <xsd:element ref="ns2:CORREOEMPRESA" minOccurs="0"/>
                <xsd:element ref="ns2:MediaServiceSearchProperties" minOccurs="0"/>
                <xsd:element ref="ns2:PROV1" minOccurs="0"/>
                <xsd:element ref="ns2:PROV2" minOccurs="0"/>
                <xsd:element ref="ns2:PROV3" minOccurs="0"/>
                <xsd:element ref="ns2:PROV4" minOccurs="0"/>
                <xsd:element ref="ns2:PROV5" minOccurs="0"/>
                <xsd:element ref="ns2:POLITICASREEMBOLSO" minOccurs="0"/>
                <xsd:element ref="ns2:CUERPOREEMBOLSO" minOccurs="0"/>
                <xsd:element ref="ns2:NOTAREEMBOLSO" minOccurs="0"/>
                <xsd:element ref="ns2:CONDIC_NATCLAR" minOccurs="0"/>
                <xsd:element ref="ns2:CIMEDIC" minOccurs="0"/>
                <xsd:element ref="ns2:CIMEDIC2" minOccurs="0"/>
                <xsd:element ref="ns2:CIMEDIC3" minOccurs="0"/>
                <xsd:element ref="ns2:CIMEDIC4" minOccurs="0"/>
                <xsd:element ref="ns2:CIMEDIC5" minOccurs="0"/>
                <xsd:element ref="ns2:FECH_RESOL" minOccurs="0"/>
                <xsd:element ref="ns2:LISTADEBENEFICIARIOS" minOccurs="0"/>
                <xsd:element ref="ns2:LISTAPARENTEZCO" minOccurs="0"/>
                <xsd:element ref="ns2:LISTA_x0025_" minOccurs="0"/>
                <xsd:element ref="ns2:LISTAACREDITADO" minOccurs="0"/>
                <xsd:element ref="ns2:Nro_Certificado" minOccurs="0"/>
                <xsd:element ref="ns2:Dia_Informe" minOccurs="0"/>
                <xsd:element ref="ns2:Mes_Informe" minOccurs="0"/>
                <xsd:element ref="ns2:Anio_Informe" minOccurs="0"/>
                <xsd:element ref="ns2:Apellido_Paterno" minOccurs="0"/>
                <xsd:element ref="ns2:Apellido_Materno" minOccurs="0"/>
                <xsd:element ref="ns2:Nombres" minOccurs="0"/>
                <xsd:element ref="ns2:DNI" minOccurs="0"/>
                <xsd:element ref="ns2:Sexo" minOccurs="0"/>
                <xsd:element ref="ns2:Edad" minOccurs="0"/>
                <xsd:element ref="ns2:Fecha_Nacimiento" minOccurs="0"/>
                <xsd:element ref="ns2:Calle" minOccurs="0"/>
                <xsd:element ref="ns2:Distrito" minOccurs="0"/>
                <xsd:element ref="ns2:Provincia" minOccurs="0"/>
                <xsd:element ref="ns2:Departamento" minOccurs="0"/>
                <xsd:element ref="ns2:Empleador" minOccurs="0"/>
                <xsd:element ref="ns2:Empresa_Sede" minOccurs="0"/>
                <xsd:element ref="ns2:Actividad" minOccurs="0"/>
                <xsd:element ref="ns2:Periodo_Laboral" minOccurs="0"/>
                <xsd:element ref="ns2:Ocupacion" minOccurs="0"/>
                <xsd:element ref="ns2:Fech_I" minOccurs="0"/>
                <xsd:element ref="ns2:Resultado_Informe" minOccurs="0"/>
                <xsd:element ref="ns2:Fech_A" minOccurs="0"/>
                <xsd:element ref="ns2:Resultado_AT" minOccurs="0"/>
                <xsd:element ref="ns2:Diagnostico_1" minOccurs="0"/>
                <xsd:element ref="ns2:Diagnostico_2" minOccurs="0"/>
                <xsd:element ref="ns2:Diagnostico_3" minOccurs="0"/>
                <xsd:element ref="ns2:Codigo_1" minOccurs="0"/>
                <xsd:element ref="ns2:Codigo_2" minOccurs="0"/>
                <xsd:element ref="ns2:Codigo_3" minOccurs="0"/>
                <xsd:element ref="ns2:N_Temporal" minOccurs="0"/>
                <xsd:element ref="ns2:N_Permanente" minOccurs="0"/>
                <xsd:element ref="ns2:N_NoIncapa" minOccurs="0"/>
                <xsd:element ref="ns2:I_Parcial" minOccurs="0"/>
                <xsd:element ref="ns2:I_Total" minOccurs="0"/>
                <xsd:element ref="ns2:I_GIncap" minOccurs="0"/>
                <xsd:element ref="ns2:Msc_Comb" minOccurs="0"/>
                <xsd:element ref="ns2:FC_Edad" minOccurs="0"/>
                <xsd:element ref="ns2:FC_Grado" minOccurs="0"/>
                <xsd:element ref="ns2:FC_Laboral" minOccurs="0"/>
                <xsd:element ref="ns2:Msc_Global" minOccurs="0"/>
                <xsd:element ref="ns2:Nro_Carta" minOccurs="0"/>
                <xsd:element ref="ns2:Fecha_Carta" minOccurs="0"/>
                <xsd:element ref="ns2:Nombre_Asegurado" minOccurs="0"/>
                <xsd:element ref="ns2:Correo_Asegurado" minOccurs="0"/>
                <xsd:element ref="ns2:Nro_Poliza" minOccurs="0"/>
                <xsd:element ref="ns2:Empresa" minOccurs="0"/>
                <xsd:element ref="ns2:Fecha_Siniestro" minOccurs="0"/>
                <xsd:element ref="ns2:Hora_Siniestro" minOccurs="0"/>
                <xsd:element ref="ns2:Sustento_Rechazo" minOccurs="0"/>
                <xsd:element ref="ns2:Fecha_Emision_Constancia" minOccurs="0"/>
                <xsd:element ref="ns2:Hora_Emision_Constancia" minOccurs="0"/>
                <xsd:element ref="ns2:Nro_Constancia" minOccurs="0"/>
                <xsd:element ref="ns2:Vigencia_Constancia" minOccurs="0"/>
                <xsd:element ref="ns2:Diagnosticos_Enfermedad" minOccurs="0"/>
                <xsd:element ref="ns2:Descripcion_Accidente" minOccurs="0"/>
                <xsd:element ref="ns2:Motivo_NoRelacion" minOccurs="0"/>
                <xsd:element ref="ns2:Labor_Riesgo" minOccurs="0"/>
                <xsd:element ref="ns2:Documentos_Incumplimiento" minOccurs="0"/>
                <xsd:element ref="ns2:Detalle_Doc_Incumplimiento" minOccurs="0"/>
                <xsd:element ref="ns2:Fecha_Siniestro1" minOccurs="0"/>
                <xsd:element ref="ns2:Documentos_Incumplimiento1" minOccurs="0"/>
                <xsd:element ref="ns2:Estipula1" minOccurs="0"/>
                <xsd:element ref="ns2:Detalle_Doc_Incumplimiento1" minOccurs="0"/>
                <xsd:element ref="ns2:Documentos_Incumplimiento2" minOccurs="0"/>
                <xsd:element ref="ns2:Estipula2" minOccurs="0"/>
                <xsd:element ref="ns2:Detalle_Doc_Incumplimiento2" minOccurs="0"/>
                <xsd:element ref="ns2:bl" minOccurs="0"/>
                <xsd:element ref="ns2:cl" minOccurs="0"/>
                <xsd:element ref="ns2:MediaServiceBillingMetadata" minOccurs="0"/>
                <xsd:element ref="ns2:Sustento_Rechazo_2" minOccurs="0"/>
                <xsd:element ref="ns2:Sustento_Rechazo_3" minOccurs="0"/>
                <xsd:element ref="ns2:Sustento_Rechazo_4" minOccurs="0"/>
                <xsd:element ref="ns2:Diagnosticos_2" minOccurs="0"/>
                <xsd:element ref="ns2:Diagnosticos_3" minOccurs="0"/>
                <xsd:element ref="ns2:Descripcion_Accidente_2" minOccurs="0"/>
                <xsd:element ref="ns2:Detalle_Doc_2" minOccurs="0"/>
                <xsd:element ref="ns2:Detalle_Doc_3" minOccurs="0"/>
                <xsd:element ref="ns2:Detalle_Doc_4" minOccurs="0"/>
                <xsd:element ref="ns2:Detalle_Doc_5" minOccurs="0"/>
                <xsd:element ref="ns2:Detalle_Doc_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6f9de-3297-4c31-891b-b6cf74e8a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dedocumento" ma:index="18" ma:displayName="Estado de documento" ma:default="Pendiente" ma:description="Indica si el documento ya fue procesado y enviado a expediente digital o si aun esta pendiente." ma:format="RadioButtons" ma:indexed="true" ma:internalName="Estadodedocumento">
      <xsd:simpleType>
        <xsd:restriction base="dms:Choice">
          <xsd:enumeration value="Procesado"/>
          <xsd:enumeration value="Pendiente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21" nillable="true" ma:displayName="FECHA" ma:format="DateOnly" ma:internalName="FECHA">
      <xsd:simpleType>
        <xsd:restriction base="dms:DateTime"/>
      </xsd:simpleType>
    </xsd:element>
    <xsd:element name="Nombre_x0020_de_x0020_la_x0020_empresa" ma:index="22" nillable="true" ma:displayName="Nombre de la empresa" ma:internalName="Nombre_x0020_de_x0020_la_x0020_empresa">
      <xsd:simpleType>
        <xsd:restriction base="dms:Text">
          <xsd:maxLength value="255"/>
        </xsd:restriction>
      </xsd:simpleType>
    </xsd:element>
    <xsd:element name="Nombredeltrabajador" ma:index="23" nillable="true" ma:displayName="Nombre de accidentado" ma:format="Dropdown" ma:internalName="Nombredeltrabajador">
      <xsd:simpleType>
        <xsd:restriction base="dms:Text">
          <xsd:maxLength value="255"/>
        </xsd:restriction>
      </xsd:simpleType>
    </xsd:element>
    <xsd:element name="Fechadeaccidente" ma:index="24" nillable="true" ma:displayName="Fecha de accidente" ma:format="Dropdown" ma:internalName="Fechadeaccidente">
      <xsd:simpleType>
        <xsd:restriction base="dms:Text">
          <xsd:maxLength value="255"/>
        </xsd:restriction>
      </xsd:simpleType>
    </xsd:element>
    <xsd:element name="Nombredeprocurador" ma:index="25" nillable="true" ma:displayName="Nombre procurador" ma:format="Dropdown" ma:internalName="Nombredeprocurador">
      <xsd:simpleType>
        <xsd:restriction base="dms:Text">
          <xsd:maxLength value="255"/>
        </xsd:restriction>
      </xsd:simpleType>
    </xsd:element>
    <xsd:element name="Dnidelprocurador" ma:index="26" nillable="true" ma:displayName="Dni procurador" ma:format="Dropdown" ma:internalName="Dnidelprocurador">
      <xsd:simpleType>
        <xsd:restriction base="dms:Text">
          <xsd:maxLength value="255"/>
        </xsd:restriction>
      </xsd:simpleType>
    </xsd:element>
    <xsd:element name="Asunto" ma:index="27" nillable="true" ma:displayName="Fecha de carta" ma:format="Dropdown" ma:internalName="Asunto">
      <xsd:simpleType>
        <xsd:restriction base="dms:Text">
          <xsd:maxLength value="255"/>
        </xsd:restriction>
      </xsd:simpleType>
    </xsd:element>
    <xsd:element name="Compa_x00f1_ia" ma:index="28" nillable="true" ma:displayName="Nombre de empresa" ma:format="Dropdown" ma:internalName="Compa_x00f1_ia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rreo" ma:index="32" nillable="true" ma:displayName="Correo" ma:format="Dropdown" ma:internalName="Correo">
      <xsd:simpleType>
        <xsd:restriction base="dms:Text">
          <xsd:maxLength value="255"/>
        </xsd:restriction>
      </xsd:simpleType>
    </xsd:element>
    <xsd:element name="Proveedor" ma:index="33" nillable="true" ma:displayName="Proveedor F" ma:format="Dropdown" ma:internalName="Proveedor">
      <xsd:simpleType>
        <xsd:restriction base="dms:Text">
          <xsd:maxLength value="255"/>
        </xsd:restriction>
      </xsd:simpleType>
    </xsd:element>
    <xsd:element name="Direcci_x00f3_ndeproveedor" ma:index="34" nillable="true" ma:displayName="Dirección de proveedor F" ma:format="Dropdown" ma:internalName="Direcci_x00f3_ndeproveedor">
      <xsd:simpleType>
        <xsd:restriction base="dms:Text">
          <xsd:maxLength value="255"/>
        </xsd:restriction>
      </xsd:simpleType>
    </xsd:element>
    <xsd:element name="Fechadecita1" ma:index="35" nillable="true" ma:displayName="Fecha de cita 1 (del proveedor F)" ma:format="Dropdown" ma:internalName="Fechadecita1">
      <xsd:simpleType>
        <xsd:restriction base="dms:Text">
          <xsd:maxLength value="255"/>
        </xsd:restriction>
      </xsd:simpleType>
    </xsd:element>
    <xsd:element name="Fechadecita2" ma:index="36" nillable="true" ma:displayName="Fecha de cita 2 (del proveedor F)" ma:format="Dropdown" ma:internalName="Fechadecita2">
      <xsd:simpleType>
        <xsd:restriction base="dms:Text">
          <xsd:maxLength value="255"/>
        </xsd:restriction>
      </xsd:simpleType>
    </xsd:element>
    <xsd:element name="Fechadecita3" ma:index="37" nillable="true" ma:displayName="Fecha de cita 3 (del proveedor F)" ma:format="Dropdown" ma:internalName="Fechadecita3">
      <xsd:simpleType>
        <xsd:restriction base="dms:Text">
          <xsd:maxLength value="255"/>
        </xsd:restriction>
      </xsd:simpleType>
    </xsd:element>
    <xsd:element name="Horadecita1" ma:index="38" nillable="true" ma:displayName="Hora de cita 1 (del proveedor F)" ma:format="Dropdown" ma:internalName="Horadecita1">
      <xsd:simpleType>
        <xsd:restriction base="dms:Text">
          <xsd:maxLength value="255"/>
        </xsd:restriction>
      </xsd:simpleType>
    </xsd:element>
    <xsd:element name="Horadecita2" ma:index="39" nillable="true" ma:displayName="Hora de cita 2 (del proveedor F)" ma:format="Dropdown" ma:internalName="Horadecita2">
      <xsd:simpleType>
        <xsd:restriction base="dms:Text">
          <xsd:maxLength value="255"/>
        </xsd:restriction>
      </xsd:simpleType>
    </xsd:element>
    <xsd:element name="Horadecita3" ma:index="40" nillable="true" ma:displayName="Hora de cita 3 (del proveedor F)" ma:format="Dropdown" ma:internalName="Horadecita3">
      <xsd:simpleType>
        <xsd:restriction base="dms:Text">
          <xsd:maxLength value="255"/>
        </xsd:restriction>
      </xsd:simpleType>
    </xsd:element>
    <xsd:element name="Fechadecita4" ma:index="41" nillable="true" ma:displayName="Fecha de cita 4 (del proveedor F)" ma:format="Dropdown" ma:internalName="Fechadecita4">
      <xsd:simpleType>
        <xsd:restriction base="dms:Text">
          <xsd:maxLength value="255"/>
        </xsd:restriction>
      </xsd:simpleType>
    </xsd:element>
    <xsd:element name="Horadecita4" ma:index="42" nillable="true" ma:displayName="Hora de cita 4 (del proveedor F)" ma:format="Dropdown" ma:internalName="Horadecita4">
      <xsd:simpleType>
        <xsd:restriction base="dms:Text">
          <xsd:maxLength value="255"/>
        </xsd:restriction>
      </xsd:simpleType>
    </xsd:element>
    <xsd:element name="Tel_x00e9_fonodelproveedor" ma:index="43" nillable="true" ma:displayName="Teléfono del proveedor F" ma:format="Dropdown" ma:internalName="Tel_x00e9_fonodelproveedor">
      <xsd:simpleType>
        <xsd:restriction base="dms:Text">
          <xsd:maxLength value="255"/>
        </xsd:restriction>
      </xsd:simpleType>
    </xsd:element>
    <xsd:element name="ProveedorE" ma:index="44" nillable="true" ma:displayName="Proveedor E" ma:format="Dropdown" ma:internalName="ProveedorE">
      <xsd:simpleType>
        <xsd:restriction base="dms:Text">
          <xsd:maxLength value="255"/>
        </xsd:restriction>
      </xsd:simpleType>
    </xsd:element>
    <xsd:element name="Direcci_x00f3_ndeproveedorE" ma:index="45" nillable="true" ma:displayName="Dirección de proveedor E" ma:format="Dropdown" ma:internalName="Direcci_x00f3_ndeproveedorE">
      <xsd:simpleType>
        <xsd:restriction base="dms:Text">
          <xsd:maxLength value="255"/>
        </xsd:restriction>
      </xsd:simpleType>
    </xsd:element>
    <xsd:element name="Tel_x00e9_fonodelproveedorE" ma:index="46" nillable="true" ma:displayName="Teléfono del proveedor E" ma:format="Dropdown" ma:internalName="Tel_x00e9_fonodelproveedorE">
      <xsd:simpleType>
        <xsd:restriction base="dms:Text">
          <xsd:maxLength value="255"/>
        </xsd:restriction>
      </xsd:simpleType>
    </xsd:element>
    <xsd:element name="Fechadecita1_x0028_delproveedorE_x0029_" ma:index="47" nillable="true" ma:displayName="Fecha de cita 1 (del proveedor E)" ma:format="Dropdown" ma:internalName="Fechadecita1_x0028_delproveedorE_x0029_">
      <xsd:simpleType>
        <xsd:restriction base="dms:Text">
          <xsd:maxLength value="255"/>
        </xsd:restriction>
      </xsd:simpleType>
    </xsd:element>
    <xsd:element name="Fechadecita2_x0028_delproveedorE_x0029_" ma:index="48" nillable="true" ma:displayName="Fecha de cita 2 (del proveedor E)" ma:format="Dropdown" ma:internalName="Fechadecita2_x0028_delproveedorE_x0029_">
      <xsd:simpleType>
        <xsd:restriction base="dms:Text">
          <xsd:maxLength value="255"/>
        </xsd:restriction>
      </xsd:simpleType>
    </xsd:element>
    <xsd:element name="Fechadecita3_x0028_delproveedorE_x0029_" ma:index="49" nillable="true" ma:displayName="Fecha de cita 3 (del proveedor E)" ma:format="Dropdown" ma:internalName="Fechadecita3_x0028_delproveedorE_x0029_">
      <xsd:simpleType>
        <xsd:restriction base="dms:Text">
          <xsd:maxLength value="255"/>
        </xsd:restriction>
      </xsd:simpleType>
    </xsd:element>
    <xsd:element name="Fechadecita4_x0028_delproveedorE_x0029_" ma:index="50" nillable="true" ma:displayName="Fecha de cita 4 (del proveedor E)" ma:format="Dropdown" ma:internalName="Fechadecita4_x0028_delproveedorE_x0029_">
      <xsd:simpleType>
        <xsd:restriction base="dms:Text">
          <xsd:maxLength value="255"/>
        </xsd:restriction>
      </xsd:simpleType>
    </xsd:element>
    <xsd:element name="Horadecita1_x0028_delproveedorE_x0029_" ma:index="51" nillable="true" ma:displayName="Hora de cita 1 (del proveedor E)" ma:format="Dropdown" ma:internalName="Horadecita1_x0028_delproveedorE_x0029_">
      <xsd:simpleType>
        <xsd:restriction base="dms:Text">
          <xsd:maxLength value="255"/>
        </xsd:restriction>
      </xsd:simpleType>
    </xsd:element>
    <xsd:element name="Horadecita2_x0028_delproveedorE_x0029_" ma:index="52" nillable="true" ma:displayName="Hora de cita 2 (del proveedor E)" ma:format="Dropdown" ma:internalName="Horadecita2_x0028_delproveedorE_x0029_">
      <xsd:simpleType>
        <xsd:restriction base="dms:Text">
          <xsd:maxLength value="255"/>
        </xsd:restriction>
      </xsd:simpleType>
    </xsd:element>
    <xsd:element name="Horadecita3_x0028_delproveedorE_x0029_" ma:index="53" nillable="true" ma:displayName="Hora de cita 3 (del proveedor E)" ma:format="Dropdown" ma:internalName="Horadecita3_x0028_delproveedorE_x0029_">
      <xsd:simpleType>
        <xsd:restriction base="dms:Text">
          <xsd:maxLength value="255"/>
        </xsd:restriction>
      </xsd:simpleType>
    </xsd:element>
    <xsd:element name="Horadecita4_x0028_delproveedorE_x0029_" ma:index="54" nillable="true" ma:displayName="Hora de cita 4 (del proveedor E)" ma:format="Dropdown" ma:internalName="Horadecita4_x0028_delproveedorE_x0029_">
      <xsd:simpleType>
        <xsd:restriction base="dms:Text">
          <xsd:maxLength value="255"/>
        </xsd:restriction>
      </xsd:simpleType>
    </xsd:element>
    <xsd:element name="ProveedorD" ma:index="55" nillable="true" ma:displayName="Proveedor D" ma:format="Dropdown" ma:internalName="ProveedorD">
      <xsd:simpleType>
        <xsd:restriction base="dms:Text">
          <xsd:maxLength value="255"/>
        </xsd:restriction>
      </xsd:simpleType>
    </xsd:element>
    <xsd:element name="Direcci_x00f3_ndeproveedorD" ma:index="56" nillable="true" ma:displayName="Dirección de proveedor D" ma:format="Dropdown" ma:internalName="Direcci_x00f3_ndeproveedorD">
      <xsd:simpleType>
        <xsd:restriction base="dms:Text">
          <xsd:maxLength value="255"/>
        </xsd:restriction>
      </xsd:simpleType>
    </xsd:element>
    <xsd:element name="Tel_x00e9_fonodelproveedorD" ma:index="57" nillable="true" ma:displayName="Teléfono del proveedor D" ma:format="Dropdown" ma:internalName="Tel_x00e9_fonodelproveedorD">
      <xsd:simpleType>
        <xsd:restriction base="dms:Text">
          <xsd:maxLength value="255"/>
        </xsd:restriction>
      </xsd:simpleType>
    </xsd:element>
    <xsd:element name="Fechadecita1_x0028_delproveedorD_x0029_" ma:index="58" nillable="true" ma:displayName="Fecha de cita 1 (del proveedor D)" ma:format="Dropdown" ma:internalName="Fechadecita1_x0028_delproveedorD_x0029_">
      <xsd:simpleType>
        <xsd:restriction base="dms:Text">
          <xsd:maxLength value="255"/>
        </xsd:restriction>
      </xsd:simpleType>
    </xsd:element>
    <xsd:element name="Fechadecita2_x0028_delproveedorD_x0029_" ma:index="59" nillable="true" ma:displayName="Fecha de cita 2 (del proveedor D)" ma:format="Dropdown" ma:internalName="Fechadecita2_x0028_delproveedorD_x0029_">
      <xsd:simpleType>
        <xsd:restriction base="dms:Text">
          <xsd:maxLength value="255"/>
        </xsd:restriction>
      </xsd:simpleType>
    </xsd:element>
    <xsd:element name="Fechadecita3_x0028_delproveedorD_x0029_" ma:index="60" nillable="true" ma:displayName="Fecha de cita 3 (del proveedor D)" ma:format="Dropdown" ma:internalName="Fechadecita3_x0028_delproveedorD_x0029_">
      <xsd:simpleType>
        <xsd:restriction base="dms:Text">
          <xsd:maxLength value="255"/>
        </xsd:restriction>
      </xsd:simpleType>
    </xsd:element>
    <xsd:element name="Fechadecita4_x0028_delproveedorD_x0029_" ma:index="61" nillable="true" ma:displayName="Fecha de cita 4 (del proveedor D)" ma:format="Dropdown" ma:internalName="Fechadecita4_x0028_delproveedorD_x0029_">
      <xsd:simpleType>
        <xsd:restriction base="dms:Text">
          <xsd:maxLength value="255"/>
        </xsd:restriction>
      </xsd:simpleType>
    </xsd:element>
    <xsd:element name="Horadecita1_x0028_delproveedorD_x0029_" ma:index="62" nillable="true" ma:displayName="Hora de cita 1 (del proveedor D)" ma:format="Dropdown" ma:internalName="Horadecita1_x0028_delproveedorD_x0029_">
      <xsd:simpleType>
        <xsd:restriction base="dms:Text">
          <xsd:maxLength value="255"/>
        </xsd:restriction>
      </xsd:simpleType>
    </xsd:element>
    <xsd:element name="Horadecita2_x0028_delproveedorD_x0029_" ma:index="63" nillable="true" ma:displayName="Hora de cita 2 (del proveedor D)" ma:format="Dropdown" ma:internalName="Horadecita2_x0028_delproveedorD_x0029_">
      <xsd:simpleType>
        <xsd:restriction base="dms:Text">
          <xsd:maxLength value="255"/>
        </xsd:restriction>
      </xsd:simpleType>
    </xsd:element>
    <xsd:element name="Horadecita3_x0028_delproveedorD_x0029_" ma:index="64" nillable="true" ma:displayName="Hora de cita 3 (del proveedor D)" ma:format="Dropdown" ma:internalName="Horadecita3_x0028_delproveedorD_x0029_">
      <xsd:simpleType>
        <xsd:restriction base="dms:Text">
          <xsd:maxLength value="255"/>
        </xsd:restriction>
      </xsd:simpleType>
    </xsd:element>
    <xsd:element name="Horadecita4_x0028_delproveedorD_x0029_" ma:index="65" nillable="true" ma:displayName="Hora de cita 4 (del proveedor D)" ma:format="Dropdown" ma:internalName="Horadecita4_x0028_delproveedorD_x0029_">
      <xsd:simpleType>
        <xsd:restriction base="dms:Text">
          <xsd:maxLength value="255"/>
        </xsd:restriction>
      </xsd:simpleType>
    </xsd:element>
    <xsd:element name="ProveedorC" ma:index="66" nillable="true" ma:displayName="Proveedor C" ma:format="Dropdown" ma:internalName="ProveedorC">
      <xsd:simpleType>
        <xsd:restriction base="dms:Text">
          <xsd:maxLength value="255"/>
        </xsd:restriction>
      </xsd:simpleType>
    </xsd:element>
    <xsd:element name="Direcci_x00f3_ndeproveedorC" ma:index="67" nillable="true" ma:displayName="Dirección de proveedor C" ma:format="Dropdown" ma:internalName="Direcci_x00f3_ndeproveedorC">
      <xsd:simpleType>
        <xsd:restriction base="dms:Text">
          <xsd:maxLength value="255"/>
        </xsd:restriction>
      </xsd:simpleType>
    </xsd:element>
    <xsd:element name="Tel_x00e9_fonodelproveedorC" ma:index="68" nillable="true" ma:displayName="Teléfono del proveedor C" ma:format="Dropdown" ma:internalName="Tel_x00e9_fonodelproveedorC">
      <xsd:simpleType>
        <xsd:restriction base="dms:Text">
          <xsd:maxLength value="255"/>
        </xsd:restriction>
      </xsd:simpleType>
    </xsd:element>
    <xsd:element name="Fechadecita1_x0028_delproveedorC_x0029_" ma:index="69" nillable="true" ma:displayName="Fecha de cita 1 (del proveedor C)" ma:format="Dropdown" ma:internalName="Fechadecita1_x0028_delproveedorC_x0029_">
      <xsd:simpleType>
        <xsd:restriction base="dms:Text">
          <xsd:maxLength value="255"/>
        </xsd:restriction>
      </xsd:simpleType>
    </xsd:element>
    <xsd:element name="Fechadecita2_x0028_delproveedorC_x0029_" ma:index="70" nillable="true" ma:displayName="Fecha de cita 2 (del proveedor C)" ma:format="Dropdown" ma:internalName="Fechadecita2_x0028_delproveedorC_x0029_">
      <xsd:simpleType>
        <xsd:restriction base="dms:Text">
          <xsd:maxLength value="255"/>
        </xsd:restriction>
      </xsd:simpleType>
    </xsd:element>
    <xsd:element name="Fechadecita3_x0028_delproveedorC_x0029_" ma:index="71" nillable="true" ma:displayName="Fecha de cita 3 (del proveedor C)" ma:format="Dropdown" ma:internalName="Fechadecita3_x0028_delproveedorC_x0029_">
      <xsd:simpleType>
        <xsd:restriction base="dms:Text">
          <xsd:maxLength value="255"/>
        </xsd:restriction>
      </xsd:simpleType>
    </xsd:element>
    <xsd:element name="Fechadecita4_x0028_delproveedorC_x0029_" ma:index="72" nillable="true" ma:displayName="Fecha de cita 4 (del proveedor C)" ma:format="Dropdown" ma:internalName="Fechadecita4_x0028_delproveedorC_x0029_">
      <xsd:simpleType>
        <xsd:restriction base="dms:Text">
          <xsd:maxLength value="255"/>
        </xsd:restriction>
      </xsd:simpleType>
    </xsd:element>
    <xsd:element name="Horadecita1_x0028_delproveedorC_x0029_" ma:index="73" nillable="true" ma:displayName="Hora de cita 1 (del proveedor C)" ma:format="Dropdown" ma:internalName="Horadecita1_x0028_delproveedorC_x0029_">
      <xsd:simpleType>
        <xsd:restriction base="dms:Text">
          <xsd:maxLength value="255"/>
        </xsd:restriction>
      </xsd:simpleType>
    </xsd:element>
    <xsd:element name="Horadecita2_x0028_delproveedorC_x0029_" ma:index="74" nillable="true" ma:displayName="Hora de cita 2 (del proveedor C)" ma:format="Dropdown" ma:internalName="Horadecita2_x0028_delproveedorC_x0029_">
      <xsd:simpleType>
        <xsd:restriction base="dms:Text">
          <xsd:maxLength value="255"/>
        </xsd:restriction>
      </xsd:simpleType>
    </xsd:element>
    <xsd:element name="Horadecita3_x0028_delproveedorC_x0029_" ma:index="75" nillable="true" ma:displayName="Hora de cita 3 (del proveedor C)" ma:format="Dropdown" ma:internalName="Horadecita3_x0028_delproveedorC_x0029_">
      <xsd:simpleType>
        <xsd:restriction base="dms:Text">
          <xsd:maxLength value="255"/>
        </xsd:restriction>
      </xsd:simpleType>
    </xsd:element>
    <xsd:element name="Horadecita4_x0028_delproveedorC_x0029_" ma:index="76" nillable="true" ma:displayName="Hora de cita 4 (del proveedor C)" ma:format="Dropdown" ma:internalName="Horadecita4_x0028_delproveedorC_x0029_">
      <xsd:simpleType>
        <xsd:restriction base="dms:Text">
          <xsd:maxLength value="255"/>
        </xsd:restriction>
      </xsd:simpleType>
    </xsd:element>
    <xsd:element name="ProveedorB" ma:index="77" nillable="true" ma:displayName="Proveedor B" ma:format="Dropdown" ma:internalName="ProveedorB">
      <xsd:simpleType>
        <xsd:restriction base="dms:Text">
          <xsd:maxLength value="255"/>
        </xsd:restriction>
      </xsd:simpleType>
    </xsd:element>
    <xsd:element name="Direcci_x00f3_ndeproveedorB" ma:index="78" nillable="true" ma:displayName="Dirección de proveedor B" ma:format="Dropdown" ma:internalName="Direcci_x00f3_ndeproveedorB">
      <xsd:simpleType>
        <xsd:restriction base="dms:Text">
          <xsd:maxLength value="255"/>
        </xsd:restriction>
      </xsd:simpleType>
    </xsd:element>
    <xsd:element name="Tel_x00e9_fonodelproveedorB" ma:index="79" nillable="true" ma:displayName="Teléfono del proveedor B" ma:format="Dropdown" ma:internalName="Tel_x00e9_fonodelproveedorB">
      <xsd:simpleType>
        <xsd:restriction base="dms:Text">
          <xsd:maxLength value="255"/>
        </xsd:restriction>
      </xsd:simpleType>
    </xsd:element>
    <xsd:element name="Fechadecita1_x0028_delproveedorB_x0029_" ma:index="80" nillable="true" ma:displayName="Fecha de cita 1 (del proveedor B)" ma:format="Dropdown" ma:internalName="Fechadecita1_x0028_delproveedorB_x0029_">
      <xsd:simpleType>
        <xsd:restriction base="dms:Text">
          <xsd:maxLength value="255"/>
        </xsd:restriction>
      </xsd:simpleType>
    </xsd:element>
    <xsd:element name="Fechadecita2_x0028_delproveedorB_x0029_" ma:index="81" nillable="true" ma:displayName="Fecha de cita 2 (del proveedor B)" ma:format="Dropdown" ma:internalName="Fechadecita2_x0028_delproveedorB_x0029_">
      <xsd:simpleType>
        <xsd:restriction base="dms:Text">
          <xsd:maxLength value="255"/>
        </xsd:restriction>
      </xsd:simpleType>
    </xsd:element>
    <xsd:element name="Fechadecita3_x0028_delproveedorB_x0029_" ma:index="82" nillable="true" ma:displayName="Fecha de cita 3 (del proveedor B)" ma:format="Dropdown" ma:internalName="Fechadecita3_x0028_delproveedorB_x0029_">
      <xsd:simpleType>
        <xsd:restriction base="dms:Text">
          <xsd:maxLength value="255"/>
        </xsd:restriction>
      </xsd:simpleType>
    </xsd:element>
    <xsd:element name="Fechadecita4_x0028_delproveedorB_x0029_" ma:index="83" nillable="true" ma:displayName="Fecha de cita 4 (del proveedor B)" ma:format="Dropdown" ma:internalName="Fechadecita4_x0028_delproveedorB_x0029_">
      <xsd:simpleType>
        <xsd:restriction base="dms:Text">
          <xsd:maxLength value="255"/>
        </xsd:restriction>
      </xsd:simpleType>
    </xsd:element>
    <xsd:element name="Horadecita1_x0028_delproveedorB_x0029_" ma:index="84" nillable="true" ma:displayName="Hora de cita 1 (del proveedor B)" ma:format="Dropdown" ma:internalName="Horadecita1_x0028_delproveedorB_x0029_">
      <xsd:simpleType>
        <xsd:restriction base="dms:Text">
          <xsd:maxLength value="255"/>
        </xsd:restriction>
      </xsd:simpleType>
    </xsd:element>
    <xsd:element name="Horadecita2_x0028_delproveedorB_x0029_" ma:index="85" nillable="true" ma:displayName="Hora de cita 2 (del proveedor B)" ma:format="Dropdown" ma:internalName="Horadecita2_x0028_delproveedorB_x0029_">
      <xsd:simpleType>
        <xsd:restriction base="dms:Text">
          <xsd:maxLength value="255"/>
        </xsd:restriction>
      </xsd:simpleType>
    </xsd:element>
    <xsd:element name="Horadecita3_x0028_delproveedorB_x0029_" ma:index="86" nillable="true" ma:displayName="Hora de cita 3 (del proveedor B)" ma:format="Dropdown" ma:internalName="Horadecita3_x0028_delproveedorB_x0029_">
      <xsd:simpleType>
        <xsd:restriction base="dms:Text">
          <xsd:maxLength value="255"/>
        </xsd:restriction>
      </xsd:simpleType>
    </xsd:element>
    <xsd:element name="Horadecita4_x0028_delproveedorB_x0029_" ma:index="87" nillable="true" ma:displayName="Hora de cita 4 (del proveedor B)" ma:format="Dropdown" ma:internalName="Horadecita4_x0028_delproveedorB_x0029_">
      <xsd:simpleType>
        <xsd:restriction base="dms:Text">
          <xsd:maxLength value="255"/>
        </xsd:restriction>
      </xsd:simpleType>
    </xsd:element>
    <xsd:element name="ProveedorA" ma:index="88" nillable="true" ma:displayName="Proveedor A" ma:format="Dropdown" ma:internalName="ProveedorA">
      <xsd:simpleType>
        <xsd:restriction base="dms:Text">
          <xsd:maxLength value="255"/>
        </xsd:restriction>
      </xsd:simpleType>
    </xsd:element>
    <xsd:element name="Direcci_x00f3_ndeproveedorA" ma:index="89" nillable="true" ma:displayName="Dirección de proveedor A" ma:format="Dropdown" ma:internalName="Direcci_x00f3_ndeproveedorA">
      <xsd:simpleType>
        <xsd:restriction base="dms:Text">
          <xsd:maxLength value="255"/>
        </xsd:restriction>
      </xsd:simpleType>
    </xsd:element>
    <xsd:element name="Tel_x00e9_fonodelproveedorA" ma:index="90" nillable="true" ma:displayName="Teléfono del proveedor A" ma:format="Dropdown" ma:internalName="Tel_x00e9_fonodelproveedorA">
      <xsd:simpleType>
        <xsd:restriction base="dms:Text">
          <xsd:maxLength value="255"/>
        </xsd:restriction>
      </xsd:simpleType>
    </xsd:element>
    <xsd:element name="Fechadecita1_x0028_delproveedorA_x0029_" ma:index="91" nillable="true" ma:displayName="Fecha de cita 1 (del proveedor A)" ma:format="Dropdown" ma:internalName="Fechadecita1_x0028_delproveedorA_x0029_">
      <xsd:simpleType>
        <xsd:restriction base="dms:Text">
          <xsd:maxLength value="255"/>
        </xsd:restriction>
      </xsd:simpleType>
    </xsd:element>
    <xsd:element name="Fechadecita2_x0028_delproveedorA_x0029_" ma:index="92" nillable="true" ma:displayName="Fecha de cita 2 (del proveedor A)" ma:format="Dropdown" ma:internalName="Fechadecita2_x0028_delproveedorA_x0029_">
      <xsd:simpleType>
        <xsd:restriction base="dms:Text">
          <xsd:maxLength value="255"/>
        </xsd:restriction>
      </xsd:simpleType>
    </xsd:element>
    <xsd:element name="Fechadecita3_x0028_delproveedorA_x0029_" ma:index="93" nillable="true" ma:displayName="Fecha de cita 3 (del proveedor A)" ma:format="Dropdown" ma:internalName="Fechadecita3_x0028_delproveedorA_x0029_">
      <xsd:simpleType>
        <xsd:restriction base="dms:Text">
          <xsd:maxLength value="255"/>
        </xsd:restriction>
      </xsd:simpleType>
    </xsd:element>
    <xsd:element name="Fechadecita4_x0028_delproveedorA_x0029_" ma:index="94" nillable="true" ma:displayName="Fecha de cita 4 (del proveedor A)" ma:format="Dropdown" ma:internalName="Fechadecita4_x0028_delproveedorA_x0029_">
      <xsd:simpleType>
        <xsd:restriction base="dms:Text">
          <xsd:maxLength value="255"/>
        </xsd:restriction>
      </xsd:simpleType>
    </xsd:element>
    <xsd:element name="Horadecita1_x0028_delproveedorA_x0029_" ma:index="95" nillable="true" ma:displayName="Hora de cita 1 (del proveedor A)" ma:format="Dropdown" ma:internalName="Horadecita1_x0028_delproveedorA_x0029_">
      <xsd:simpleType>
        <xsd:restriction base="dms:Text">
          <xsd:maxLength value="255"/>
        </xsd:restriction>
      </xsd:simpleType>
    </xsd:element>
    <xsd:element name="Horadecita2_x0028_delproveedorA_x0029_" ma:index="96" nillable="true" ma:displayName="Hora de cita 2 (del proveedor A)" ma:format="Dropdown" ma:internalName="Horadecita2_x0028_delproveedorA_x0029_">
      <xsd:simpleType>
        <xsd:restriction base="dms:Text">
          <xsd:maxLength value="255"/>
        </xsd:restriction>
      </xsd:simpleType>
    </xsd:element>
    <xsd:element name="Horadecita3_x0028_delproveedorA_x0029_" ma:index="97" nillable="true" ma:displayName="Hora de cita 3 (del proveedor A)" ma:format="Dropdown" ma:internalName="Horadecita3_x0028_delproveedorA_x0029_">
      <xsd:simpleType>
        <xsd:restriction base="dms:Text">
          <xsd:maxLength value="255"/>
        </xsd:restriction>
      </xsd:simpleType>
    </xsd:element>
    <xsd:element name="Horadecita4_x0028_delproveedorA_x0029_" ma:index="98" nillable="true" ma:displayName="Hora de cita 4 (del proveedor A)" ma:format="Dropdown" ma:internalName="Horadecita4_x0028_delproveedorA_x0029_">
      <xsd:simpleType>
        <xsd:restriction base="dms:Text">
          <xsd:maxLength value="255"/>
        </xsd:restriction>
      </xsd:simpleType>
    </xsd:element>
    <xsd:element name="Nombredeasegurado" ma:index="99" nillable="true" ma:displayName="Nombre de asegurado" ma:format="Dropdown" ma:internalName="Nombredeasegurado">
      <xsd:simpleType>
        <xsd:restriction base="dms:Text">
          <xsd:maxLength value="255"/>
        </xsd:restriction>
      </xsd:simpleType>
    </xsd:element>
    <xsd:element name="CorreodelAsegurado" ma:index="100" nillable="true" ma:displayName="Correo del Asegurado" ma:format="Dropdown" ma:internalName="CorreodelAsegurado">
      <xsd:simpleType>
        <xsd:restriction base="dms:Text">
          <xsd:maxLength value="255"/>
        </xsd:restriction>
      </xsd:simpleType>
    </xsd:element>
    <xsd:element name="P_x00f3_lizadelaempresa" ma:index="101" nillable="true" ma:displayName="Póliza de la empresa" ma:format="Dropdown" ma:internalName="P_x00f3_lizadelaempresa">
      <xsd:simpleType>
        <xsd:restriction base="dms:Text">
          <xsd:maxLength value="255"/>
        </xsd:restriction>
      </xsd:simpleType>
    </xsd:element>
    <xsd:element name="N_x00fa_merodesiniestro" ma:index="102" nillable="true" ma:displayName="Número de siniestro" ma:format="Dropdown" ma:internalName="N_x00fa_merodesiniestro">
      <xsd:simpleType>
        <xsd:restriction base="dms:Text">
          <xsd:maxLength value="255"/>
        </xsd:restriction>
      </xsd:simpleType>
    </xsd:element>
    <xsd:element name="Causa" ma:index="103" nillable="true" ma:displayName="Causa" ma:format="Dropdown" ma:internalName="Causa">
      <xsd:simpleType>
        <xsd:restriction base="dms:Text">
          <xsd:maxLength value="255"/>
        </xsd:restriction>
      </xsd:simpleType>
    </xsd:element>
    <xsd:element name="Consecuencia" ma:index="104" nillable="true" ma:displayName="Consecuencia" ma:format="Dropdown" ma:internalName="Consecuencia">
      <xsd:simpleType>
        <xsd:restriction base="dms:Text">
          <xsd:maxLength value="255"/>
        </xsd:restriction>
      </xsd:simpleType>
    </xsd:element>
    <xsd:element name="Fechadepago" ma:index="105" nillable="true" ma:displayName="Fecha de pago" ma:format="Dropdown" ma:internalName="Fechadepago">
      <xsd:simpleType>
        <xsd:restriction base="dms:Text">
          <xsd:maxLength value="255"/>
        </xsd:restriction>
      </xsd:simpleType>
    </xsd:element>
    <xsd:element name="Montoaindemnizar" ma:index="106" nillable="true" ma:displayName="Monto a indemnizar" ma:format="Dropdown" ma:internalName="Montoaindemnizar">
      <xsd:simpleType>
        <xsd:restriction base="dms:Text">
          <xsd:maxLength value="255"/>
        </xsd:restriction>
      </xsd:simpleType>
    </xsd:element>
    <xsd:element name="DIAGNOSTICOS_x002f_ENFERMEDAD" ma:index="107" nillable="true" ma:displayName="DIAGNOSTICOS/ENFERMEDAD" ma:format="Dropdown" ma:internalName="DIAGNOSTICOS_x002f_ENFERMEDAD">
      <xsd:simpleType>
        <xsd:restriction base="dms:Note">
          <xsd:maxLength value="255"/>
        </xsd:restriction>
      </xsd:simpleType>
    </xsd:element>
    <xsd:element name="Fechadesiniestro" ma:index="108" nillable="true" ma:displayName="Fecha de siniestro" ma:format="Dropdown" ma:internalName="Fechadesiniestro">
      <xsd:simpleType>
        <xsd:restriction base="dms:Text">
          <xsd:maxLength value="255"/>
        </xsd:restriction>
      </xsd:simpleType>
    </xsd:element>
    <xsd:element name="Menoscabo" ma:index="109" nillable="true" ma:displayName="Menoscabo" ma:format="Dropdown" ma:internalName="Menoscabo">
      <xsd:simpleType>
        <xsd:restriction base="dms:Text">
          <xsd:maxLength value="255"/>
        </xsd:restriction>
      </xsd:simpleType>
    </xsd:element>
    <xsd:element name="Remunpromedio" ma:index="110" nillable="true" ma:displayName="Remun promedio" ma:format="Dropdown" ma:internalName="Remunpromedio">
      <xsd:simpleType>
        <xsd:restriction base="dms:Text">
          <xsd:maxLength value="255"/>
        </xsd:restriction>
      </xsd:simpleType>
    </xsd:element>
    <xsd:element name="DNIdelasegurado" ma:index="111" nillable="true" ma:displayName="Número de identidad del asegurado" ma:format="Dropdown" ma:internalName="DNIdelasegurado">
      <xsd:simpleType>
        <xsd:restriction base="dms:Text">
          <xsd:maxLength value="255"/>
        </xsd:restriction>
      </xsd:simpleType>
    </xsd:element>
    <xsd:element name="Tipodedocdeidentidaddelasegurado" ma:index="112" nillable="true" ma:displayName="Tipo de doc de identidad del asegurado" ma:format="Dropdown" ma:internalName="Tipodedocdeidentidaddelasegurado">
      <xsd:simpleType>
        <xsd:restriction base="dms:Text">
          <xsd:maxLength value="255"/>
        </xsd:restriction>
      </xsd:simpleType>
    </xsd:element>
    <xsd:element name="MENOSCABO_x002a_70_x0025_" ma:index="113" nillable="true" ma:displayName="MENOSCABO*70%" ma:format="Dropdown" ma:internalName="MENOSCABO_x002a_70_x0025_">
      <xsd:simpleType>
        <xsd:restriction base="dms:Text">
          <xsd:maxLength value="255"/>
        </xsd:restriction>
      </xsd:simpleType>
    </xsd:element>
    <xsd:element name="Montoaindemnizarletras" ma:index="114" nillable="true" ma:displayName="Monto a indemnizar letras" ma:format="Dropdown" ma:internalName="Montoaindemnizarletras">
      <xsd:simpleType>
        <xsd:restriction base="dms:Text">
          <xsd:maxLength value="255"/>
        </xsd:restriction>
      </xsd:simpleType>
    </xsd:element>
    <xsd:element name="Fechadesiniestroletras" ma:index="115" nillable="true" ma:displayName="Fecha de siniestro letras" ma:format="Dropdown" ma:internalName="Fechadesiniestroletras">
      <xsd:simpleType>
        <xsd:restriction base="dms:Text">
          <xsd:maxLength value="255"/>
        </xsd:restriction>
      </xsd:simpleType>
    </xsd:element>
    <xsd:element name="Fechadesiniestrolarga" ma:index="116" nillable="true" ma:displayName="Monto de intereses legales" ma:format="Dropdown" ma:internalName="Fechadesiniestrolarga">
      <xsd:simpleType>
        <xsd:restriction base="dms:Text">
          <xsd:maxLength value="255"/>
        </xsd:restriction>
      </xsd:simpleType>
    </xsd:element>
    <xsd:element name="Montodeintereseslegalesletras" ma:index="117" nillable="true" ma:displayName="Monto de intereses legales letras" ma:format="Dropdown" ma:internalName="Montodeintereseslegalesletras">
      <xsd:simpleType>
        <xsd:restriction base="dms:Text">
          <xsd:maxLength value="255"/>
        </xsd:restriction>
      </xsd:simpleType>
    </xsd:element>
    <xsd:element name="Prestaci_x00f3_ny_x002f_oCobertura" ma:index="118" nillable="true" ma:displayName="Prestación y/o Cobertura" ma:format="Dropdown" ma:internalName="Prestaci_x00f3_ny_x002f_oCobertura">
      <xsd:simpleType>
        <xsd:restriction base="dms:Text">
          <xsd:maxLength value="255"/>
        </xsd:restriction>
      </xsd:simpleType>
    </xsd:element>
    <xsd:element name="Nombredebeneficiario" ma:index="119" nillable="true" ma:displayName="Nombre de beneficiario" ma:format="Dropdown" ma:internalName="Nombredebeneficiario">
      <xsd:simpleType>
        <xsd:restriction base="dms:Text">
          <xsd:maxLength value="255"/>
        </xsd:restriction>
      </xsd:simpleType>
    </xsd:element>
    <xsd:element name="nrodedocumentodebeneficiario" ma:index="120" nillable="true" ma:displayName="nro de documento de beneficiario" ma:format="Dropdown" ma:internalName="nrodedocumentodebeneficiario">
      <xsd:simpleType>
        <xsd:restriction base="dms:Text">
          <xsd:maxLength value="255"/>
        </xsd:restriction>
      </xsd:simpleType>
    </xsd:element>
    <xsd:element name="tipodedocumentodebeneficiario" ma:index="121" nillable="true" ma:displayName="tipo de documento de beneficiario" ma:format="Dropdown" ma:internalName="tipodedocumentodebeneficiario">
      <xsd:simpleType>
        <xsd:restriction base="dms:Text">
          <xsd:maxLength value="255"/>
        </xsd:restriction>
      </xsd:simpleType>
    </xsd:element>
    <xsd:element name="EXPEDIENTELEGAL" ma:index="122" nillable="true" ma:displayName="EXPEDIENTE LEGAL" ma:format="Dropdown" ma:internalName="EXPEDIENTELEGAL">
      <xsd:simpleType>
        <xsd:restriction base="dms:Text">
          <xsd:maxLength value="255"/>
        </xsd:restriction>
      </xsd:simpleType>
    </xsd:element>
    <xsd:element name="Asunto_x002d_carta" ma:index="123" nillable="true" ma:displayName="Asunto-carta" ma:format="Dropdown" ma:internalName="Asunto_x002d_carta">
      <xsd:simpleType>
        <xsd:restriction base="dms:Text">
          <xsd:maxLength value="255"/>
        </xsd:restriction>
      </xsd:simpleType>
    </xsd:element>
    <xsd:element name="Numerodecelulardelasegurado" ma:index="124" nillable="true" ma:displayName="Numero de celular del asegurado" ma:format="Dropdown" ma:internalName="Numerodecelulardelasegurado">
      <xsd:simpleType>
        <xsd:restriction base="dms:Text">
          <xsd:maxLength value="255"/>
        </xsd:restriction>
      </xsd:simpleType>
    </xsd:element>
    <xsd:element name="Direcci_x00f3_ndelasegurado" ma:index="125" nillable="true" ma:displayName="Dirección del asegurado" ma:format="Dropdown" ma:internalName="Direcci_x00f3_ndelasegurado">
      <xsd:simpleType>
        <xsd:restriction base="dms:Text">
          <xsd:maxLength value="255"/>
        </xsd:restriction>
      </xsd:simpleType>
    </xsd:element>
    <xsd:element name="Documentospendientes" ma:index="126" nillable="true" ma:displayName="Documentos pendientes" ma:format="Dropdown" ma:internalName="Documentospendientes">
      <xsd:simpleType>
        <xsd:restriction base="dms:Note">
          <xsd:maxLength value="255"/>
        </xsd:restriction>
      </xsd:simpleType>
    </xsd:element>
    <xsd:element name="PENSIONDEINVALIDEZ_x002f_INDEMNIZACION" ma:index="127" nillable="true" ma:displayName="PENSION DEINVALIDEZ/INDEMNIZACION" ma:format="Dropdown" ma:internalName="PENSIONDEINVALIDEZ_x002f_INDEMNIZACION">
      <xsd:simpleType>
        <xsd:restriction base="dms:Text">
          <xsd:maxLength value="255"/>
        </xsd:restriction>
      </xsd:simpleType>
    </xsd:element>
    <xsd:element name="ANEXOCONSTANCIAINDEMNIZACION" ma:index="128" nillable="true" ma:displayName="ANEXO INDEMNIZACION/PENSION" ma:format="Dropdown" ma:internalName="ANEXOCONSTANCIAINDEMNIZACION">
      <xsd:simpleType>
        <xsd:restriction base="dms:Text">
          <xsd:maxLength value="255"/>
        </xsd:restriction>
      </xsd:simpleType>
    </xsd:element>
    <xsd:element name="TIPOTRAMITE" ma:index="129" nillable="true" ma:displayName="Configuró o sufrió" ma:format="Dropdown" ma:internalName="TIPOTRAMITE">
      <xsd:simpleType>
        <xsd:restriction base="dms:Text">
          <xsd:maxLength value="255"/>
        </xsd:restriction>
      </xsd:simpleType>
    </xsd:element>
    <xsd:element name="cuandooconsecuencia" ma:index="130" nillable="true" ma:displayName="cuando o consecuencia" ma:format="Dropdown" ma:internalName="cuandooconsecuencia">
      <xsd:simpleType>
        <xsd:restriction base="dms:Text">
          <xsd:maxLength value="255"/>
        </xsd:restriction>
      </xsd:simpleType>
    </xsd:element>
    <xsd:element name="SEDEJUDICIAL" ma:index="131" nillable="true" ma:displayName="SEDE JUDICIAL" ma:format="Dropdown" ma:internalName="SEDEJUDICIAL">
      <xsd:simpleType>
        <xsd:restriction base="dms:Text">
          <xsd:maxLength value="255"/>
        </xsd:restriction>
      </xsd:simpleType>
    </xsd:element>
    <xsd:element name="Fechadeiniciodepension" ma:index="132" nillable="true" ma:displayName="Fecha de inicio de pension" ma:format="Dropdown" ma:internalName="Fechadeiniciodepension">
      <xsd:simpleType>
        <xsd:restriction base="dms:Text">
          <xsd:maxLength value="255"/>
        </xsd:restriction>
      </xsd:simpleType>
    </xsd:element>
    <xsd:element name="encumplimientolegal" ma:index="133" nillable="true" ma:displayName="en cumplimiento legal" ma:format="Dropdown" ma:internalName="encumplimientolegal">
      <xsd:simpleType>
        <xsd:restriction base="dms:Text">
          <xsd:maxLength value="255"/>
        </xsd:restriction>
      </xsd:simpleType>
    </xsd:element>
    <xsd:element name="Fechadeultimapensi_x00f3_n" ma:index="134" nillable="true" ma:displayName="Fecha de ultima pensión" ma:format="Dropdown" ma:internalName="Fechadeultimapensi_x00f3_n">
      <xsd:simpleType>
        <xsd:restriction base="dms:Text">
          <xsd:maxLength value="255"/>
        </xsd:restriction>
      </xsd:simpleType>
    </xsd:element>
    <xsd:element name="ANEXO2DEPENSION" ma:index="135" nillable="true" ma:displayName="ANEXO2 DE PENSION" ma:format="Dropdown" ma:internalName="ANEXO2DEPENSION">
      <xsd:simpleType>
        <xsd:restriction base="dms:Note">
          <xsd:maxLength value="255"/>
        </xsd:restriction>
      </xsd:simpleType>
    </xsd:element>
    <xsd:element name="MediaServiceObjectDetectorVersions" ma:index="1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ncasodeATESSALUD" ma:index="137" nillable="true" ma:displayName="En caso de AT ESSALUD" ma:format="Dropdown" ma:internalName="EncasodeATESSALUD">
      <xsd:simpleType>
        <xsd:restriction base="dms:Note">
          <xsd:maxLength value="255"/>
        </xsd:restriction>
      </xsd:simpleType>
    </xsd:element>
    <xsd:element name="DICTMAPFRE1" ma:index="138" nillable="true" ma:displayName="INICIO" ma:format="Dropdown" ma:internalName="DICTMAPFRE1">
      <xsd:simpleType>
        <xsd:restriction base="dms:Note">
          <xsd:maxLength value="255"/>
        </xsd:restriction>
      </xsd:simpleType>
    </xsd:element>
    <xsd:element name="DICTINR1" ma:index="139" nillable="true" ma:displayName="FINALMENTE" ma:format="Dropdown" ma:internalName="DICTINR1">
      <xsd:simpleType>
        <xsd:restriction base="dms:Note">
          <xsd:maxLength value="255"/>
        </xsd:restriction>
      </xsd:simpleType>
    </xsd:element>
    <xsd:element name="DICTMAPFRE2" ma:index="140" nillable="true" ma:displayName="MEDIO" ma:format="Dropdown" ma:internalName="DICTMAPFRE2">
      <xsd:simpleType>
        <xsd:restriction base="dms:Note">
          <xsd:maxLength value="255"/>
        </xsd:restriction>
      </xsd:simpleType>
    </xsd:element>
    <xsd:element name="DICTINR2" ma:index="141" nillable="true" ma:displayName="SIGUIENTE HOJA" ma:format="Dropdown" ma:internalName="DICTINR2">
      <xsd:simpleType>
        <xsd:restriction base="dms:Note">
          <xsd:maxLength value="255"/>
        </xsd:restriction>
      </xsd:simpleType>
    </xsd:element>
    <xsd:element name="Tipodeconfi" ma:index="142" nillable="true" ma:displayName="Tipo de confi" ma:format="Dropdown" ma:internalName="Tipodeconfi">
      <xsd:simpleType>
        <xsd:restriction base="dms:Text">
          <xsd:maxLength value="255"/>
        </xsd:restriction>
      </xsd:simpleType>
    </xsd:element>
    <xsd:element name="BROKER" ma:index="143" nillable="true" ma:displayName="BROKER" ma:format="Dropdown" ma:internalName="BROKER">
      <xsd:simpleType>
        <xsd:restriction base="dms:Text">
          <xsd:maxLength value="255"/>
        </xsd:restriction>
      </xsd:simpleType>
    </xsd:element>
    <xsd:element name="CORREOBROKER" ma:index="144" nillable="true" ma:displayName="CORREO BROKER" ma:format="Dropdown" ma:internalName="CORREOBROKER">
      <xsd:simpleType>
        <xsd:restriction base="dms:Text">
          <xsd:maxLength value="255"/>
        </xsd:restriction>
      </xsd:simpleType>
    </xsd:element>
    <xsd:element name="CORREOEMPRESA" ma:index="145" nillable="true" ma:displayName="CORREO EMPRESA" ma:format="Dropdown" ma:internalName="CORREOEMPRESA">
      <xsd:simpleType>
        <xsd:restriction base="dms:Text">
          <xsd:maxLength value="255"/>
        </xsd:restriction>
      </xsd:simpleType>
    </xsd:element>
    <xsd:element name="MediaServiceSearchProperties" ma:index="1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V1" ma:index="147" nillable="true" ma:displayName="PROV1" ma:format="Dropdown" ma:internalName="PROV1">
      <xsd:simpleType>
        <xsd:restriction base="dms:Note">
          <xsd:maxLength value="255"/>
        </xsd:restriction>
      </xsd:simpleType>
    </xsd:element>
    <xsd:element name="PROV2" ma:index="148" nillable="true" ma:displayName="PROV2" ma:format="Dropdown" ma:internalName="PROV2">
      <xsd:simpleType>
        <xsd:restriction base="dms:Note">
          <xsd:maxLength value="255"/>
        </xsd:restriction>
      </xsd:simpleType>
    </xsd:element>
    <xsd:element name="PROV3" ma:index="149" nillable="true" ma:displayName="PROV3" ma:format="Dropdown" ma:internalName="PROV3">
      <xsd:simpleType>
        <xsd:restriction base="dms:Note">
          <xsd:maxLength value="255"/>
        </xsd:restriction>
      </xsd:simpleType>
    </xsd:element>
    <xsd:element name="PROV4" ma:index="150" nillable="true" ma:displayName="PROV4" ma:format="Dropdown" ma:internalName="PROV4">
      <xsd:simpleType>
        <xsd:restriction base="dms:Note">
          <xsd:maxLength value="255"/>
        </xsd:restriction>
      </xsd:simpleType>
    </xsd:element>
    <xsd:element name="PROV5" ma:index="151" nillable="true" ma:displayName="PROV5" ma:format="Dropdown" ma:internalName="PROV5">
      <xsd:simpleType>
        <xsd:restriction base="dms:Note">
          <xsd:maxLength value="255"/>
        </xsd:restriction>
      </xsd:simpleType>
    </xsd:element>
    <xsd:element name="POLITICASREEMBOLSO" ma:index="152" nillable="true" ma:displayName="POLITICASREEMBOLSO" ma:format="Dropdown" ma:internalName="POLITICASREEMBOLSO">
      <xsd:simpleType>
        <xsd:restriction base="dms:Note">
          <xsd:maxLength value="255"/>
        </xsd:restriction>
      </xsd:simpleType>
    </xsd:element>
    <xsd:element name="CUERPOREEMBOLSO" ma:index="153" nillable="true" ma:displayName="CUERPOREEMBOLSO" ma:format="Dropdown" ma:internalName="CUERPOREEMBOLSO">
      <xsd:simpleType>
        <xsd:restriction base="dms:Note">
          <xsd:maxLength value="255"/>
        </xsd:restriction>
      </xsd:simpleType>
    </xsd:element>
    <xsd:element name="NOTAREEMBOLSO" ma:index="154" nillable="true" ma:displayName="NOTAREEMBOLSO" ma:format="Dropdown" ma:internalName="NOTAREEMBOLSO">
      <xsd:simpleType>
        <xsd:restriction base="dms:Note">
          <xsd:maxLength value="255"/>
        </xsd:restriction>
      </xsd:simpleType>
    </xsd:element>
    <xsd:element name="CONDIC_NATCLAR" ma:index="155" nillable="true" ma:displayName="CONDIC_NATCLAR" ma:description="EVALUACIONES MEDICAS SCTRPENSION" ma:format="Dropdown" ma:internalName="CONDIC_NATCLAR">
      <xsd:simpleType>
        <xsd:restriction base="dms:Note">
          <xsd:maxLength value="255"/>
        </xsd:restriction>
      </xsd:simpleType>
    </xsd:element>
    <xsd:element name="CIMEDIC" ma:index="156" nillable="true" ma:displayName="CIMEDIC" ma:description="Reprogramacion en cimedic" ma:format="Dropdown" ma:internalName="CIMEDIC">
      <xsd:simpleType>
        <xsd:restriction base="dms:Text">
          <xsd:maxLength value="255"/>
        </xsd:restriction>
      </xsd:simpleType>
    </xsd:element>
    <xsd:element name="CIMEDIC2" ma:index="157" nillable="true" ma:displayName="CIMEDIC2" ma:description="REPROGRA" ma:format="Dropdown" ma:internalName="CIMEDIC2">
      <xsd:simpleType>
        <xsd:restriction base="dms:Text">
          <xsd:maxLength value="255"/>
        </xsd:restriction>
      </xsd:simpleType>
    </xsd:element>
    <xsd:element name="CIMEDIC3" ma:index="158" nillable="true" ma:displayName="CIMEDIC3" ma:format="Dropdown" ma:internalName="CIMEDIC3">
      <xsd:simpleType>
        <xsd:restriction base="dms:Text">
          <xsd:maxLength value="255"/>
        </xsd:restriction>
      </xsd:simpleType>
    </xsd:element>
    <xsd:element name="CIMEDIC4" ma:index="159" nillable="true" ma:displayName="CIMEDIC4" ma:format="Dropdown" ma:internalName="CIMEDIC4">
      <xsd:simpleType>
        <xsd:restriction base="dms:Text">
          <xsd:maxLength value="255"/>
        </xsd:restriction>
      </xsd:simpleType>
    </xsd:element>
    <xsd:element name="CIMEDIC5" ma:index="160" nillable="true" ma:displayName="CIMEDIC5" ma:format="Dropdown" ma:internalName="CIMEDIC5">
      <xsd:simpleType>
        <xsd:restriction base="dms:Text">
          <xsd:maxLength value="255"/>
        </xsd:restriction>
      </xsd:simpleType>
    </xsd:element>
    <xsd:element name="FECH_RESOL" ma:index="161" nillable="true" ma:displayName="FECH_RESOL" ma:format="Dropdown" ma:internalName="FECH_RESOL">
      <xsd:simpleType>
        <xsd:restriction base="dms:Text">
          <xsd:maxLength value="255"/>
        </xsd:restriction>
      </xsd:simpleType>
    </xsd:element>
    <xsd:element name="LISTADEBENEFICIARIOS" ma:index="162" nillable="true" ma:displayName="LISTA DE BENEFICIARIOS" ma:description="PARA SOBREVIVENCIA" ma:format="Dropdown" ma:internalName="LISTADEBENEFICIARIOS">
      <xsd:simpleType>
        <xsd:restriction base="dms:Note">
          <xsd:maxLength value="255"/>
        </xsd:restriction>
      </xsd:simpleType>
    </xsd:element>
    <xsd:element name="LISTAPARENTEZCO" ma:index="163" nillable="true" ma:displayName="LISTA PARENTEZCO" ma:format="Dropdown" ma:internalName="LISTAPARENTEZCO">
      <xsd:simpleType>
        <xsd:restriction base="dms:Note">
          <xsd:maxLength value="255"/>
        </xsd:restriction>
      </xsd:simpleType>
    </xsd:element>
    <xsd:element name="LISTA_x0025_" ma:index="164" nillable="true" ma:displayName="LISTA%" ma:format="Dropdown" ma:internalName="LISTA_x0025_">
      <xsd:simpleType>
        <xsd:restriction base="dms:Note">
          <xsd:maxLength value="255"/>
        </xsd:restriction>
      </xsd:simpleType>
    </xsd:element>
    <xsd:element name="LISTAACREDITADO" ma:index="165" nillable="true" ma:displayName="LISTA ACREDITADO" ma:format="Dropdown" ma:internalName="LISTAACREDITADO">
      <xsd:simpleType>
        <xsd:restriction base="dms:Note">
          <xsd:maxLength value="255"/>
        </xsd:restriction>
      </xsd:simpleType>
    </xsd:element>
    <xsd:element name="Nro_Certificado" ma:index="166" nillable="true" ma:displayName="Nro_Certificado" ma:format="Dropdown" ma:internalName="Nro_Certificado">
      <xsd:simpleType>
        <xsd:restriction base="dms:Text">
          <xsd:maxLength value="255"/>
        </xsd:restriction>
      </xsd:simpleType>
    </xsd:element>
    <xsd:element name="Dia_Informe" ma:index="167" nillable="true" ma:displayName="Dia_Informe" ma:format="Dropdown" ma:internalName="Dia_Informe">
      <xsd:simpleType>
        <xsd:restriction base="dms:Text">
          <xsd:maxLength value="255"/>
        </xsd:restriction>
      </xsd:simpleType>
    </xsd:element>
    <xsd:element name="Mes_Informe" ma:index="168" nillable="true" ma:displayName="Mes_Informe" ma:format="Dropdown" ma:internalName="Mes_Informe">
      <xsd:simpleType>
        <xsd:restriction base="dms:Text">
          <xsd:maxLength value="255"/>
        </xsd:restriction>
      </xsd:simpleType>
    </xsd:element>
    <xsd:element name="Anio_Informe" ma:index="169" nillable="true" ma:displayName="Anio_Informe" ma:format="Dropdown" ma:internalName="Anio_Informe">
      <xsd:simpleType>
        <xsd:restriction base="dms:Text">
          <xsd:maxLength value="255"/>
        </xsd:restriction>
      </xsd:simpleType>
    </xsd:element>
    <xsd:element name="Apellido_Paterno" ma:index="170" nillable="true" ma:displayName="Apellido_Paterno" ma:format="Dropdown" ma:internalName="Apellido_Paterno">
      <xsd:simpleType>
        <xsd:restriction base="dms:Text">
          <xsd:maxLength value="255"/>
        </xsd:restriction>
      </xsd:simpleType>
    </xsd:element>
    <xsd:element name="Apellido_Materno" ma:index="171" nillable="true" ma:displayName="Apellido_Materno" ma:format="Dropdown" ma:internalName="Apellido_Materno">
      <xsd:simpleType>
        <xsd:restriction base="dms:Text">
          <xsd:maxLength value="255"/>
        </xsd:restriction>
      </xsd:simpleType>
    </xsd:element>
    <xsd:element name="Nombres" ma:index="172" nillable="true" ma:displayName="Nombres" ma:format="Dropdown" ma:internalName="Nombres">
      <xsd:simpleType>
        <xsd:restriction base="dms:Text">
          <xsd:maxLength value="255"/>
        </xsd:restriction>
      </xsd:simpleType>
    </xsd:element>
    <xsd:element name="DNI" ma:index="173" nillable="true" ma:displayName="DNI" ma:format="Dropdown" ma:internalName="DNI">
      <xsd:simpleType>
        <xsd:restriction base="dms:Text">
          <xsd:maxLength value="255"/>
        </xsd:restriction>
      </xsd:simpleType>
    </xsd:element>
    <xsd:element name="Sexo" ma:index="174" nillable="true" ma:displayName="Sexo" ma:format="Dropdown" ma:internalName="Sexo">
      <xsd:simpleType>
        <xsd:restriction base="dms:Text">
          <xsd:maxLength value="255"/>
        </xsd:restriction>
      </xsd:simpleType>
    </xsd:element>
    <xsd:element name="Edad" ma:index="175" nillable="true" ma:displayName="Edad" ma:format="Dropdown" ma:internalName="Edad">
      <xsd:simpleType>
        <xsd:restriction base="dms:Text">
          <xsd:maxLength value="255"/>
        </xsd:restriction>
      </xsd:simpleType>
    </xsd:element>
    <xsd:element name="Fecha_Nacimiento" ma:index="176" nillable="true" ma:displayName="Fecha_Nacimiento" ma:format="Dropdown" ma:internalName="Fecha_Nacimiento">
      <xsd:simpleType>
        <xsd:restriction base="dms:Text">
          <xsd:maxLength value="255"/>
        </xsd:restriction>
      </xsd:simpleType>
    </xsd:element>
    <xsd:element name="Calle" ma:index="177" nillable="true" ma:displayName="Calle" ma:format="Dropdown" ma:internalName="Calle">
      <xsd:simpleType>
        <xsd:restriction base="dms:Text">
          <xsd:maxLength value="255"/>
        </xsd:restriction>
      </xsd:simpleType>
    </xsd:element>
    <xsd:element name="Distrito" ma:index="178" nillable="true" ma:displayName="Distrito" ma:format="Dropdown" ma:internalName="Distrito">
      <xsd:simpleType>
        <xsd:restriction base="dms:Text">
          <xsd:maxLength value="255"/>
        </xsd:restriction>
      </xsd:simpleType>
    </xsd:element>
    <xsd:element name="Provincia" ma:index="179" nillable="true" ma:displayName="Provincia" ma:format="Dropdown" ma:internalName="Provincia">
      <xsd:simpleType>
        <xsd:restriction base="dms:Text">
          <xsd:maxLength value="255"/>
        </xsd:restriction>
      </xsd:simpleType>
    </xsd:element>
    <xsd:element name="Departamento" ma:index="180" nillable="true" ma:displayName="Departamento" ma:format="Dropdown" ma:internalName="Departamento">
      <xsd:simpleType>
        <xsd:restriction base="dms:Text">
          <xsd:maxLength value="255"/>
        </xsd:restriction>
      </xsd:simpleType>
    </xsd:element>
    <xsd:element name="Empleador" ma:index="181" nillable="true" ma:displayName="Empleador" ma:format="Dropdown" ma:internalName="Empleador">
      <xsd:simpleType>
        <xsd:restriction base="dms:Text">
          <xsd:maxLength value="255"/>
        </xsd:restriction>
      </xsd:simpleType>
    </xsd:element>
    <xsd:element name="Empresa_Sede" ma:index="182" nillable="true" ma:displayName="Empresa_Sede" ma:format="Dropdown" ma:internalName="Empresa_Sede">
      <xsd:simpleType>
        <xsd:restriction base="dms:Text">
          <xsd:maxLength value="255"/>
        </xsd:restriction>
      </xsd:simpleType>
    </xsd:element>
    <xsd:element name="Actividad" ma:index="183" nillable="true" ma:displayName="Actividad" ma:format="Dropdown" ma:internalName="Actividad">
      <xsd:simpleType>
        <xsd:restriction base="dms:Text">
          <xsd:maxLength value="255"/>
        </xsd:restriction>
      </xsd:simpleType>
    </xsd:element>
    <xsd:element name="Periodo_Laboral" ma:index="184" nillable="true" ma:displayName="Periodo_Laboral" ma:format="Dropdown" ma:internalName="Periodo_Laboral">
      <xsd:simpleType>
        <xsd:restriction base="dms:Text">
          <xsd:maxLength value="255"/>
        </xsd:restriction>
      </xsd:simpleType>
    </xsd:element>
    <xsd:element name="Ocupacion" ma:index="185" nillable="true" ma:displayName="Ocupacion" ma:format="Dropdown" ma:internalName="Ocupacion">
      <xsd:simpleType>
        <xsd:restriction base="dms:Text">
          <xsd:maxLength value="255"/>
        </xsd:restriction>
      </xsd:simpleType>
    </xsd:element>
    <xsd:element name="Fech_I" ma:index="186" nillable="true" ma:displayName="Fech_I" ma:format="Dropdown" ma:internalName="Fech_I">
      <xsd:simpleType>
        <xsd:restriction base="dms:Text">
          <xsd:maxLength value="255"/>
        </xsd:restriction>
      </xsd:simpleType>
    </xsd:element>
    <xsd:element name="Resultado_Informe" ma:index="187" nillable="true" ma:displayName="Resultado_Informe" ma:format="Dropdown" ma:internalName="Resultado_Informe">
      <xsd:simpleType>
        <xsd:restriction base="dms:Text">
          <xsd:maxLength value="255"/>
        </xsd:restriction>
      </xsd:simpleType>
    </xsd:element>
    <xsd:element name="Fech_A" ma:index="188" nillable="true" ma:displayName="Fech_A" ma:format="Dropdown" ma:internalName="Fech_A">
      <xsd:simpleType>
        <xsd:restriction base="dms:Text">
          <xsd:maxLength value="255"/>
        </xsd:restriction>
      </xsd:simpleType>
    </xsd:element>
    <xsd:element name="Resultado_AT" ma:index="189" nillable="true" ma:displayName="Resultado_AT" ma:format="Dropdown" ma:internalName="Resultado_AT">
      <xsd:simpleType>
        <xsd:restriction base="dms:Text">
          <xsd:maxLength value="255"/>
        </xsd:restriction>
      </xsd:simpleType>
    </xsd:element>
    <xsd:element name="Diagnostico_1" ma:index="190" nillable="true" ma:displayName="Diagnostico_1" ma:format="Dropdown" ma:internalName="Diagnostico_1">
      <xsd:simpleType>
        <xsd:restriction base="dms:Text">
          <xsd:maxLength value="255"/>
        </xsd:restriction>
      </xsd:simpleType>
    </xsd:element>
    <xsd:element name="Diagnostico_2" ma:index="191" nillable="true" ma:displayName="Diagnostico_2" ma:format="Dropdown" ma:internalName="Diagnostico_2">
      <xsd:simpleType>
        <xsd:restriction base="dms:Text">
          <xsd:maxLength value="255"/>
        </xsd:restriction>
      </xsd:simpleType>
    </xsd:element>
    <xsd:element name="Diagnostico_3" ma:index="192" nillable="true" ma:displayName="Diagnostico_3" ma:format="Dropdown" ma:internalName="Diagnostico_3">
      <xsd:simpleType>
        <xsd:restriction base="dms:Text">
          <xsd:maxLength value="255"/>
        </xsd:restriction>
      </xsd:simpleType>
    </xsd:element>
    <xsd:element name="Codigo_1" ma:index="193" nillable="true" ma:displayName="Codigo_1" ma:format="Dropdown" ma:internalName="Codigo_1">
      <xsd:simpleType>
        <xsd:restriction base="dms:Text">
          <xsd:maxLength value="255"/>
        </xsd:restriction>
      </xsd:simpleType>
    </xsd:element>
    <xsd:element name="Codigo_2" ma:index="194" nillable="true" ma:displayName="Codigo_2" ma:format="Dropdown" ma:internalName="Codigo_2">
      <xsd:simpleType>
        <xsd:restriction base="dms:Text">
          <xsd:maxLength value="255"/>
        </xsd:restriction>
      </xsd:simpleType>
    </xsd:element>
    <xsd:element name="Codigo_3" ma:index="195" nillable="true" ma:displayName="Codigo_3" ma:format="Dropdown" ma:internalName="Codigo_3">
      <xsd:simpleType>
        <xsd:restriction base="dms:Text">
          <xsd:maxLength value="255"/>
        </xsd:restriction>
      </xsd:simpleType>
    </xsd:element>
    <xsd:element name="N_Temporal" ma:index="196" nillable="true" ma:displayName="N_Temporal" ma:format="Dropdown" ma:internalName="N_Temporal">
      <xsd:simpleType>
        <xsd:restriction base="dms:Text">
          <xsd:maxLength value="255"/>
        </xsd:restriction>
      </xsd:simpleType>
    </xsd:element>
    <xsd:element name="N_Permanente" ma:index="197" nillable="true" ma:displayName="N_Permanente" ma:format="Dropdown" ma:internalName="N_Permanente">
      <xsd:simpleType>
        <xsd:restriction base="dms:Text">
          <xsd:maxLength value="255"/>
        </xsd:restriction>
      </xsd:simpleType>
    </xsd:element>
    <xsd:element name="N_NoIncapa" ma:index="198" nillable="true" ma:displayName="N_NoIncapa" ma:format="Dropdown" ma:internalName="N_NoIncapa">
      <xsd:simpleType>
        <xsd:restriction base="dms:Text">
          <xsd:maxLength value="255"/>
        </xsd:restriction>
      </xsd:simpleType>
    </xsd:element>
    <xsd:element name="I_Parcial" ma:index="199" nillable="true" ma:displayName="I_Parcial" ma:format="Dropdown" ma:internalName="I_Parcial">
      <xsd:simpleType>
        <xsd:restriction base="dms:Text">
          <xsd:maxLength value="255"/>
        </xsd:restriction>
      </xsd:simpleType>
    </xsd:element>
    <xsd:element name="I_Total" ma:index="200" nillable="true" ma:displayName="I_Total" ma:format="Dropdown" ma:internalName="I_Total">
      <xsd:simpleType>
        <xsd:restriction base="dms:Text">
          <xsd:maxLength value="255"/>
        </xsd:restriction>
      </xsd:simpleType>
    </xsd:element>
    <xsd:element name="I_GIncap" ma:index="201" nillable="true" ma:displayName="I_GIncap" ma:format="Dropdown" ma:internalName="I_GIncap">
      <xsd:simpleType>
        <xsd:restriction base="dms:Text">
          <xsd:maxLength value="255"/>
        </xsd:restriction>
      </xsd:simpleType>
    </xsd:element>
    <xsd:element name="Msc_Comb" ma:index="202" nillable="true" ma:displayName="Msc_Comb" ma:format="Dropdown" ma:internalName="Msc_Comb">
      <xsd:simpleType>
        <xsd:restriction base="dms:Text">
          <xsd:maxLength value="255"/>
        </xsd:restriction>
      </xsd:simpleType>
    </xsd:element>
    <xsd:element name="FC_Edad" ma:index="203" nillable="true" ma:displayName="FC_Edad" ma:format="Dropdown" ma:internalName="FC_Edad">
      <xsd:simpleType>
        <xsd:restriction base="dms:Text">
          <xsd:maxLength value="255"/>
        </xsd:restriction>
      </xsd:simpleType>
    </xsd:element>
    <xsd:element name="FC_Grado" ma:index="204" nillable="true" ma:displayName="FC_Grado" ma:format="Dropdown" ma:internalName="FC_Grado">
      <xsd:simpleType>
        <xsd:restriction base="dms:Text">
          <xsd:maxLength value="255"/>
        </xsd:restriction>
      </xsd:simpleType>
    </xsd:element>
    <xsd:element name="FC_Laboral" ma:index="205" nillable="true" ma:displayName="FC_Laboral" ma:format="Dropdown" ma:internalName="FC_Laboral">
      <xsd:simpleType>
        <xsd:restriction base="dms:Text">
          <xsd:maxLength value="255"/>
        </xsd:restriction>
      </xsd:simpleType>
    </xsd:element>
    <xsd:element name="Msc_Global" ma:index="206" nillable="true" ma:displayName="Msc_Global" ma:format="Dropdown" ma:internalName="Msc_Global">
      <xsd:simpleType>
        <xsd:restriction base="dms:Text">
          <xsd:maxLength value="255"/>
        </xsd:restriction>
      </xsd:simpleType>
    </xsd:element>
    <xsd:element name="Nro_Carta" ma:index="207" nillable="true" ma:displayName="Nro_Carta" ma:format="Dropdown" ma:internalName="Nro_Carta">
      <xsd:simpleType>
        <xsd:restriction base="dms:Text">
          <xsd:maxLength value="255"/>
        </xsd:restriction>
      </xsd:simpleType>
    </xsd:element>
    <xsd:element name="Fecha_Carta" ma:index="208" nillable="true" ma:displayName="Fecha_Carta" ma:format="Dropdown" ma:internalName="Fecha_Carta">
      <xsd:simpleType>
        <xsd:restriction base="dms:Text">
          <xsd:maxLength value="255"/>
        </xsd:restriction>
      </xsd:simpleType>
    </xsd:element>
    <xsd:element name="Nombre_Asegurado" ma:index="209" nillable="true" ma:displayName="Nombre_Asegurado" ma:format="Dropdown" ma:internalName="Nombre_Asegurado">
      <xsd:simpleType>
        <xsd:restriction base="dms:Text">
          <xsd:maxLength value="255"/>
        </xsd:restriction>
      </xsd:simpleType>
    </xsd:element>
    <xsd:element name="Correo_Asegurado" ma:index="210" nillable="true" ma:displayName="Correo_Asegurado" ma:format="Dropdown" ma:internalName="Correo_Asegurado">
      <xsd:simpleType>
        <xsd:restriction base="dms:Text">
          <xsd:maxLength value="255"/>
        </xsd:restriction>
      </xsd:simpleType>
    </xsd:element>
    <xsd:element name="Nro_Poliza" ma:index="211" nillable="true" ma:displayName="Nro_Poliza" ma:format="Dropdown" ma:internalName="Nro_Poliza">
      <xsd:simpleType>
        <xsd:restriction base="dms:Text">
          <xsd:maxLength value="255"/>
        </xsd:restriction>
      </xsd:simpleType>
    </xsd:element>
    <xsd:element name="Empresa" ma:index="212" nillable="true" ma:displayName="Empresa" ma:format="Dropdown" ma:internalName="Empresa">
      <xsd:simpleType>
        <xsd:restriction base="dms:Text">
          <xsd:maxLength value="255"/>
        </xsd:restriction>
      </xsd:simpleType>
    </xsd:element>
    <xsd:element name="Fecha_Siniestro" ma:index="213" nillable="true" ma:displayName="Fecha_Siniestro" ma:format="Dropdown" ma:internalName="Fecha_Siniestro">
      <xsd:simpleType>
        <xsd:restriction base="dms:Text">
          <xsd:maxLength value="255"/>
        </xsd:restriction>
      </xsd:simpleType>
    </xsd:element>
    <xsd:element name="Hora_Siniestro" ma:index="214" nillable="true" ma:displayName="Hora_Siniestro" ma:format="Dropdown" ma:internalName="Hora_Siniestro">
      <xsd:simpleType>
        <xsd:restriction base="dms:Text">
          <xsd:maxLength value="255"/>
        </xsd:restriction>
      </xsd:simpleType>
    </xsd:element>
    <xsd:element name="Sustento_Rechazo" ma:index="215" nillable="true" ma:displayName="Sustento_Rechazo" ma:format="Dropdown" ma:internalName="Sustento_Rechazo">
      <xsd:simpleType>
        <xsd:restriction base="dms:Text">
          <xsd:maxLength value="255"/>
        </xsd:restriction>
      </xsd:simpleType>
    </xsd:element>
    <xsd:element name="Fecha_Emision_Constancia" ma:index="216" nillable="true" ma:displayName="Fecha_Emision_Constancia" ma:format="Dropdown" ma:internalName="Fecha_Emision_Constancia">
      <xsd:simpleType>
        <xsd:restriction base="dms:Text">
          <xsd:maxLength value="255"/>
        </xsd:restriction>
      </xsd:simpleType>
    </xsd:element>
    <xsd:element name="Hora_Emision_Constancia" ma:index="217" nillable="true" ma:displayName="Hora_Emision_Constancia" ma:format="Dropdown" ma:internalName="Hora_Emision_Constancia">
      <xsd:simpleType>
        <xsd:restriction base="dms:Text">
          <xsd:maxLength value="255"/>
        </xsd:restriction>
      </xsd:simpleType>
    </xsd:element>
    <xsd:element name="Nro_Constancia" ma:index="218" nillable="true" ma:displayName="Nro_Constancia" ma:format="Dropdown" ma:internalName="Nro_Constancia">
      <xsd:simpleType>
        <xsd:restriction base="dms:Text">
          <xsd:maxLength value="255"/>
        </xsd:restriction>
      </xsd:simpleType>
    </xsd:element>
    <xsd:element name="Vigencia_Constancia" ma:index="219" nillable="true" ma:displayName="Vigencia_Constancia" ma:format="Dropdown" ma:internalName="Vigencia_Constancia">
      <xsd:simpleType>
        <xsd:restriction base="dms:Text">
          <xsd:maxLength value="255"/>
        </xsd:restriction>
      </xsd:simpleType>
    </xsd:element>
    <xsd:element name="Diagnosticos_Enfermedad" ma:index="220" nillable="true" ma:displayName="Diagnosticos_Enfermedad" ma:format="Dropdown" ma:internalName="Diagnosticos_Enfermedad">
      <xsd:simpleType>
        <xsd:restriction base="dms:Text">
          <xsd:maxLength value="255"/>
        </xsd:restriction>
      </xsd:simpleType>
    </xsd:element>
    <xsd:element name="Descripcion_Accidente" ma:index="221" nillable="true" ma:displayName="Descripcion_Accidente" ma:format="Dropdown" ma:internalName="Descripcion_Accidente">
      <xsd:simpleType>
        <xsd:restriction base="dms:Text">
          <xsd:maxLength value="255"/>
        </xsd:restriction>
      </xsd:simpleType>
    </xsd:element>
    <xsd:element name="Motivo_NoRelacion" ma:index="222" nillable="true" ma:displayName="Motivo_NoRelacion" ma:format="Dropdown" ma:internalName="Motivo_NoRelacion">
      <xsd:simpleType>
        <xsd:restriction base="dms:Text">
          <xsd:maxLength value="255"/>
        </xsd:restriction>
      </xsd:simpleType>
    </xsd:element>
    <xsd:element name="Labor_Riesgo" ma:index="223" nillable="true" ma:displayName="Labor_Riesgo" ma:format="Dropdown" ma:internalName="Labor_Riesgo">
      <xsd:simpleType>
        <xsd:restriction base="dms:Text">
          <xsd:maxLength value="255"/>
        </xsd:restriction>
      </xsd:simpleType>
    </xsd:element>
    <xsd:element name="Documentos_Incumplimiento" ma:index="224" nillable="true" ma:displayName="Documentos_Incumplimiento" ma:format="Dropdown" ma:internalName="Documentos_Incumplimiento">
      <xsd:simpleType>
        <xsd:restriction base="dms:Text">
          <xsd:maxLength value="255"/>
        </xsd:restriction>
      </xsd:simpleType>
    </xsd:element>
    <xsd:element name="Detalle_Doc_Incumplimiento" ma:index="225" nillable="true" ma:displayName="Detalle_Doc_Incumplimiento" ma:format="Dropdown" ma:internalName="Detalle_Doc_Incumplimiento">
      <xsd:simpleType>
        <xsd:restriction base="dms:Text">
          <xsd:maxLength value="255"/>
        </xsd:restriction>
      </xsd:simpleType>
    </xsd:element>
    <xsd:element name="Fecha_Siniestro1" ma:index="226" nillable="true" ma:displayName="Fecha_Siniestro1" ma:format="Dropdown" ma:internalName="Fecha_Siniestro1">
      <xsd:simpleType>
        <xsd:restriction base="dms:Text">
          <xsd:maxLength value="255"/>
        </xsd:restriction>
      </xsd:simpleType>
    </xsd:element>
    <xsd:element name="Documentos_Incumplimiento1" ma:index="227" nillable="true" ma:displayName="Documentos_Incumplimiento1" ma:format="Dropdown" ma:internalName="Documentos_Incumplimiento1">
      <xsd:simpleType>
        <xsd:restriction base="dms:Text">
          <xsd:maxLength value="255"/>
        </xsd:restriction>
      </xsd:simpleType>
    </xsd:element>
    <xsd:element name="Estipula1" ma:index="228" nillable="true" ma:displayName="Estipula1" ma:format="Dropdown" ma:internalName="Estipula1">
      <xsd:simpleType>
        <xsd:restriction base="dms:Text">
          <xsd:maxLength value="255"/>
        </xsd:restriction>
      </xsd:simpleType>
    </xsd:element>
    <xsd:element name="Detalle_Doc_Incumplimiento1" ma:index="229" nillable="true" ma:displayName="Detalle_Doc_Incumplimiento1" ma:format="Dropdown" ma:internalName="Detalle_Doc_Incumplimiento1">
      <xsd:simpleType>
        <xsd:restriction base="dms:Text">
          <xsd:maxLength value="255"/>
        </xsd:restriction>
      </xsd:simpleType>
    </xsd:element>
    <xsd:element name="Documentos_Incumplimiento2" ma:index="230" nillable="true" ma:displayName="Documentos_Incumplimiento2" ma:format="Dropdown" ma:internalName="Documentos_Incumplimiento2">
      <xsd:simpleType>
        <xsd:restriction base="dms:Text">
          <xsd:maxLength value="255"/>
        </xsd:restriction>
      </xsd:simpleType>
    </xsd:element>
    <xsd:element name="Estipula2" ma:index="231" nillable="true" ma:displayName="Estipula2" ma:format="Dropdown" ma:internalName="Estipula2">
      <xsd:simpleType>
        <xsd:restriction base="dms:Text">
          <xsd:maxLength value="255"/>
        </xsd:restriction>
      </xsd:simpleType>
    </xsd:element>
    <xsd:element name="Detalle_Doc_Incumplimiento2" ma:index="232" nillable="true" ma:displayName="Detalle_Doc_Incumplimiento2" ma:format="Dropdown" ma:internalName="Detalle_Doc_Incumplimiento2">
      <xsd:simpleType>
        <xsd:restriction base="dms:Text">
          <xsd:maxLength value="255"/>
        </xsd:restriction>
      </xsd:simpleType>
    </xsd:element>
    <xsd:element name="bl" ma:index="233" nillable="true" ma:displayName="bl" ma:format="Dropdown" ma:internalName="bl">
      <xsd:simpleType>
        <xsd:restriction base="dms:Text">
          <xsd:maxLength value="255"/>
        </xsd:restriction>
      </xsd:simpleType>
    </xsd:element>
    <xsd:element name="cl" ma:index="234" nillable="true" ma:displayName="cl" ma:format="Dropdown" ma:internalName="cl">
      <xsd:simpleType>
        <xsd:restriction base="dms:Text">
          <xsd:maxLength value="255"/>
        </xsd:restriction>
      </xsd:simpleType>
    </xsd:element>
    <xsd:element name="MediaServiceBillingMetadata" ma:index="2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Sustento_Rechazo_2" ma:index="236" nillable="true" ma:displayName="Sustento_Rechazo_2" ma:format="Dropdown" ma:internalName="Sustento_Rechazo_2">
      <xsd:simpleType>
        <xsd:restriction base="dms:Text">
          <xsd:maxLength value="255"/>
        </xsd:restriction>
      </xsd:simpleType>
    </xsd:element>
    <xsd:element name="Sustento_Rechazo_3" ma:index="237" nillable="true" ma:displayName="Sustento_Rechazo_3" ma:format="Dropdown" ma:internalName="Sustento_Rechazo_3">
      <xsd:simpleType>
        <xsd:restriction base="dms:Text">
          <xsd:maxLength value="255"/>
        </xsd:restriction>
      </xsd:simpleType>
    </xsd:element>
    <xsd:element name="Sustento_Rechazo_4" ma:index="238" nillable="true" ma:displayName="Sustento_Rechazo_4" ma:format="Dropdown" ma:internalName="Sustento_Rechazo_4">
      <xsd:simpleType>
        <xsd:restriction base="dms:Text">
          <xsd:maxLength value="255"/>
        </xsd:restriction>
      </xsd:simpleType>
    </xsd:element>
    <xsd:element name="Diagnosticos_2" ma:index="239" nillable="true" ma:displayName="Diagnosticos_2" ma:format="Dropdown" ma:internalName="Diagnosticos_2">
      <xsd:simpleType>
        <xsd:restriction base="dms:Text">
          <xsd:maxLength value="255"/>
        </xsd:restriction>
      </xsd:simpleType>
    </xsd:element>
    <xsd:element name="Diagnosticos_3" ma:index="240" nillable="true" ma:displayName="Diagnosticos_3" ma:format="Dropdown" ma:internalName="Diagnosticos_3">
      <xsd:simpleType>
        <xsd:restriction base="dms:Text">
          <xsd:maxLength value="255"/>
        </xsd:restriction>
      </xsd:simpleType>
    </xsd:element>
    <xsd:element name="Descripcion_Accidente_2" ma:index="241" nillable="true" ma:displayName="Descripcion_Accidente_2" ma:format="Dropdown" ma:internalName="Descripcion_Accidente_2">
      <xsd:simpleType>
        <xsd:restriction base="dms:Text">
          <xsd:maxLength value="255"/>
        </xsd:restriction>
      </xsd:simpleType>
    </xsd:element>
    <xsd:element name="Detalle_Doc_2" ma:index="242" nillable="true" ma:displayName="Detalle_Doc_2" ma:format="Dropdown" ma:internalName="Detalle_Doc_2">
      <xsd:simpleType>
        <xsd:restriction base="dms:Text">
          <xsd:maxLength value="255"/>
        </xsd:restriction>
      </xsd:simpleType>
    </xsd:element>
    <xsd:element name="Detalle_Doc_3" ma:index="243" nillable="true" ma:displayName="Detalle_Doc_3" ma:format="Dropdown" ma:internalName="Detalle_Doc_3">
      <xsd:simpleType>
        <xsd:restriction base="dms:Text">
          <xsd:maxLength value="255"/>
        </xsd:restriction>
      </xsd:simpleType>
    </xsd:element>
    <xsd:element name="Detalle_Doc_4" ma:index="244" nillable="true" ma:displayName="Detalle_Doc_4" ma:format="Dropdown" ma:internalName="Detalle_Doc_4">
      <xsd:simpleType>
        <xsd:restriction base="dms:Text">
          <xsd:maxLength value="255"/>
        </xsd:restriction>
      </xsd:simpleType>
    </xsd:element>
    <xsd:element name="Detalle_Doc_5" ma:index="245" nillable="true" ma:displayName="Detalle_Doc_5" ma:format="Dropdown" ma:internalName="Detalle_Doc_5">
      <xsd:simpleType>
        <xsd:restriction base="dms:Text">
          <xsd:maxLength value="255"/>
        </xsd:restriction>
      </xsd:simpleType>
    </xsd:element>
    <xsd:element name="Detalle_Doc_6" ma:index="246" nillable="true" ma:displayName="Detalle_Doc_6" ma:format="Dropdown" ma:internalName="Detalle_Doc_6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6fdf2-8adc-4820-9c71-468ba95576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87b0b0c-1d90-4196-a0dd-e03160816b79}" ma:internalName="TaxCatchAll" ma:showField="CatchAllData" ma:web="b8c6fdf2-8adc-4820-9c71-468ba95576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413E72-4E4E-4B39-B47C-73E0D0C36192}"/>
</file>

<file path=customXml/itemProps2.xml><?xml version="1.0" encoding="utf-8"?>
<ds:datastoreItem xmlns:ds="http://schemas.openxmlformats.org/officeDocument/2006/customXml" ds:itemID="{E5E30029-A50D-403E-8272-4F737B683604}"/>
</file>

<file path=customXml/itemProps3.xml><?xml version="1.0" encoding="utf-8"?>
<ds:datastoreItem xmlns:ds="http://schemas.openxmlformats.org/officeDocument/2006/customXml" ds:itemID="{2ADE1FFA-7229-4CDB-A67A-E85D9D301332}"/>
</file>

<file path=customXml/itemProps4.xml><?xml version="1.0" encoding="utf-8"?>
<ds:datastoreItem xmlns:ds="http://schemas.openxmlformats.org/officeDocument/2006/customXml" ds:itemID="{571C9FF8-0E64-4642-9438-721A47B29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SCTRSalud</cp:lastModifiedBy>
  <cp:revision/>
  <dcterms:created xsi:type="dcterms:W3CDTF">2025-09-10T14:25:23Z</dcterms:created>
  <dcterms:modified xsi:type="dcterms:W3CDTF">2026-10-16T17:04:57Z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0x010100055F873CD8E35B46AA94A8258DDC3D10</vt:lpwstr>
  </property>
  <property fmtid="{D5CDD505-2E9C-101B-9397-08002B2CF9AE}" pid="3" name="MediaServiceImageTags">
    <vt:lpwstr/>
  </property>
</Properties>
</file>