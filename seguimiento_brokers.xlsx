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2403" documentId="11_0637E07DC400413D65989CE850BA2FE85EF0CDCA" xr6:coauthVersionLast="47" xr6:coauthVersionMax="47" xr10:uidLastSave="{E7FA1F8A-5702-4D68-BC71-86A40CD9BD2D}"/>
  <bookViews>
    <workbookView xWindow="0" yWindow="0" windowWidth="0" windowHeight="0" firstSheet="2" activeTab="2" xr2:uid="{00000000-000D-0000-FFFF-FFFF00000000}"/>
  </bookViews>
  <sheets>
    <sheet name="LISTAS" sheetId="1" r:id="rId1"/>
    <sheet name="INDICADORES" sheetId="3" r:id="rId2"/>
    <sheet name="SEGUIMIENTO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2" i="2" l="1"/>
  <c r="T532" i="2"/>
  <c r="U532" i="2"/>
  <c r="V532" i="2"/>
  <c r="Z532" i="2"/>
  <c r="AA532" i="2"/>
  <c r="AB532" i="2"/>
  <c r="AC532" i="2"/>
  <c r="C531" i="2"/>
  <c r="T531" i="2"/>
  <c r="U531" i="2"/>
  <c r="V531" i="2"/>
  <c r="Z531" i="2"/>
  <c r="AA531" i="2"/>
  <c r="AB531" i="2"/>
  <c r="AC531" i="2"/>
  <c r="AC530" i="2"/>
  <c r="AB530" i="2"/>
  <c r="AA530" i="2"/>
  <c r="Z530" i="2"/>
  <c r="V530" i="2"/>
  <c r="U530" i="2"/>
  <c r="T530" i="2"/>
  <c r="C530" i="2"/>
  <c r="AC529" i="2"/>
  <c r="AB529" i="2"/>
  <c r="AA529" i="2"/>
  <c r="Z529" i="2"/>
  <c r="V529" i="2"/>
  <c r="U529" i="2"/>
  <c r="T529" i="2"/>
  <c r="C529" i="2"/>
  <c r="AC528" i="2"/>
  <c r="AB528" i="2"/>
  <c r="AA528" i="2"/>
  <c r="Z528" i="2"/>
  <c r="V528" i="2"/>
  <c r="U528" i="2"/>
  <c r="T528" i="2"/>
  <c r="C528" i="2"/>
  <c r="C527" i="2"/>
  <c r="T527" i="2"/>
  <c r="U527" i="2"/>
  <c r="V527" i="2"/>
  <c r="Z527" i="2"/>
  <c r="AA527" i="2"/>
  <c r="AB527" i="2"/>
  <c r="AC527" i="2"/>
  <c r="C526" i="2"/>
  <c r="T526" i="2"/>
  <c r="U526" i="2"/>
  <c r="V526" i="2"/>
  <c r="Z526" i="2"/>
  <c r="AA526" i="2"/>
  <c r="AB526" i="2"/>
  <c r="AC526" i="2"/>
  <c r="C525" i="2"/>
  <c r="T525" i="2"/>
  <c r="U525" i="2"/>
  <c r="V525" i="2"/>
  <c r="Z525" i="2"/>
  <c r="AA525" i="2"/>
  <c r="AB525" i="2"/>
  <c r="AC525" i="2"/>
  <c r="C524" i="2"/>
  <c r="T524" i="2"/>
  <c r="U524" i="2"/>
  <c r="V524" i="2"/>
  <c r="Z524" i="2"/>
  <c r="AA524" i="2"/>
  <c r="AB524" i="2"/>
  <c r="AC524" i="2"/>
  <c r="C523" i="2"/>
  <c r="T523" i="2"/>
  <c r="U523" i="2"/>
  <c r="V523" i="2"/>
  <c r="Z523" i="2"/>
  <c r="AA523" i="2"/>
  <c r="AB523" i="2"/>
  <c r="AC523" i="2"/>
  <c r="AC522" i="2"/>
  <c r="AB522" i="2"/>
  <c r="AA522" i="2"/>
  <c r="Z522" i="2"/>
  <c r="V522" i="2"/>
  <c r="U522" i="2"/>
  <c r="T522" i="2"/>
  <c r="C522" i="2"/>
  <c r="AC521" i="2"/>
  <c r="AB521" i="2"/>
  <c r="AA521" i="2"/>
  <c r="Z521" i="2"/>
  <c r="V521" i="2"/>
  <c r="U521" i="2"/>
  <c r="T521" i="2"/>
  <c r="C521" i="2"/>
  <c r="C520" i="2"/>
  <c r="T520" i="2"/>
  <c r="U520" i="2"/>
  <c r="V520" i="2"/>
  <c r="Z520" i="2"/>
  <c r="AA520" i="2"/>
  <c r="AB520" i="2"/>
  <c r="AC520" i="2"/>
  <c r="AC519" i="2"/>
  <c r="AB519" i="2"/>
  <c r="AA519" i="2"/>
  <c r="Z519" i="2"/>
  <c r="V519" i="2"/>
  <c r="U519" i="2"/>
  <c r="T519" i="2"/>
  <c r="C519" i="2"/>
  <c r="C518" i="2"/>
  <c r="T518" i="2"/>
  <c r="U518" i="2"/>
  <c r="V518" i="2"/>
  <c r="Z518" i="2"/>
  <c r="AA518" i="2"/>
  <c r="AB518" i="2"/>
  <c r="AC518" i="2"/>
  <c r="C517" i="2"/>
  <c r="T517" i="2"/>
  <c r="U517" i="2"/>
  <c r="V517" i="2"/>
  <c r="Z517" i="2"/>
  <c r="AA517" i="2"/>
  <c r="AB517" i="2"/>
  <c r="AC517" i="2"/>
  <c r="AC516" i="2"/>
  <c r="AB516" i="2"/>
  <c r="AA516" i="2"/>
  <c r="Z516" i="2"/>
  <c r="V516" i="2"/>
  <c r="U516" i="2"/>
  <c r="T516" i="2"/>
  <c r="C516" i="2"/>
  <c r="C515" i="2"/>
  <c r="T515" i="2"/>
  <c r="U515" i="2"/>
  <c r="V515" i="2"/>
  <c r="Z515" i="2"/>
  <c r="AA515" i="2"/>
  <c r="AB515" i="2"/>
  <c r="AC515" i="2"/>
  <c r="C514" i="2"/>
  <c r="T514" i="2"/>
  <c r="U514" i="2"/>
  <c r="V514" i="2"/>
  <c r="Z514" i="2"/>
  <c r="AA514" i="2"/>
  <c r="AB514" i="2"/>
  <c r="AC514" i="2"/>
  <c r="AC513" i="2"/>
  <c r="AB513" i="2"/>
  <c r="AA513" i="2"/>
  <c r="Z513" i="2"/>
  <c r="V513" i="2"/>
  <c r="U513" i="2"/>
  <c r="T513" i="2"/>
  <c r="C513" i="2"/>
  <c r="AC512" i="2"/>
  <c r="AB512" i="2"/>
  <c r="AA512" i="2"/>
  <c r="Z512" i="2"/>
  <c r="V512" i="2"/>
  <c r="U512" i="2"/>
  <c r="T512" i="2"/>
  <c r="C512" i="2"/>
  <c r="AC511" i="2"/>
  <c r="AB511" i="2"/>
  <c r="AA511" i="2"/>
  <c r="Z511" i="2"/>
  <c r="V511" i="2"/>
  <c r="U511" i="2"/>
  <c r="T511" i="2"/>
  <c r="C511" i="2"/>
  <c r="C510" i="2"/>
  <c r="T510" i="2"/>
  <c r="U510" i="2"/>
  <c r="V510" i="2"/>
  <c r="Z510" i="2"/>
  <c r="AA510" i="2"/>
  <c r="AB510" i="2"/>
  <c r="AC510" i="2"/>
  <c r="C509" i="2"/>
  <c r="T509" i="2"/>
  <c r="U509" i="2"/>
  <c r="V509" i="2"/>
  <c r="Z509" i="2"/>
  <c r="AA509" i="2"/>
  <c r="AB509" i="2"/>
  <c r="AC509" i="2"/>
  <c r="C508" i="2"/>
  <c r="T508" i="2"/>
  <c r="U508" i="2"/>
  <c r="V508" i="2"/>
  <c r="Z508" i="2"/>
  <c r="AA508" i="2"/>
  <c r="AB508" i="2"/>
  <c r="AC508" i="2"/>
  <c r="AC507" i="2"/>
  <c r="AB507" i="2"/>
  <c r="AA507" i="2"/>
  <c r="Z507" i="2"/>
  <c r="V507" i="2"/>
  <c r="U507" i="2"/>
  <c r="T507" i="2"/>
  <c r="C507" i="2"/>
  <c r="C506" i="2"/>
  <c r="T506" i="2"/>
  <c r="U506" i="2"/>
  <c r="V506" i="2"/>
  <c r="Z506" i="2"/>
  <c r="AA506" i="2"/>
  <c r="AB506" i="2"/>
  <c r="AC506" i="2"/>
  <c r="C505" i="2"/>
  <c r="T505" i="2"/>
  <c r="U505" i="2"/>
  <c r="V505" i="2"/>
  <c r="Z505" i="2"/>
  <c r="AA505" i="2"/>
  <c r="AB505" i="2"/>
  <c r="AC505" i="2"/>
  <c r="AC504" i="2"/>
  <c r="AB504" i="2"/>
  <c r="AA504" i="2"/>
  <c r="Z504" i="2"/>
  <c r="V504" i="2"/>
  <c r="U504" i="2"/>
  <c r="T504" i="2"/>
  <c r="C504" i="2"/>
  <c r="AC503" i="2"/>
  <c r="AB503" i="2"/>
  <c r="AA503" i="2"/>
  <c r="Z503" i="2"/>
  <c r="V503" i="2"/>
  <c r="U503" i="2"/>
  <c r="T503" i="2"/>
  <c r="C503" i="2"/>
  <c r="C502" i="2"/>
  <c r="T502" i="2"/>
  <c r="U502" i="2"/>
  <c r="V502" i="2"/>
  <c r="Z502" i="2"/>
  <c r="AA502" i="2"/>
  <c r="AB502" i="2"/>
  <c r="AC502" i="2"/>
  <c r="C501" i="2"/>
  <c r="T501" i="2"/>
  <c r="U501" i="2"/>
  <c r="V501" i="2"/>
  <c r="Z501" i="2"/>
  <c r="AA501" i="2"/>
  <c r="AB501" i="2"/>
  <c r="AC501" i="2"/>
  <c r="AC500" i="2"/>
  <c r="AB500" i="2"/>
  <c r="AA500" i="2"/>
  <c r="Z500" i="2"/>
  <c r="V500" i="2"/>
  <c r="U500" i="2"/>
  <c r="T500" i="2"/>
  <c r="C500" i="2"/>
  <c r="C499" i="2"/>
  <c r="T499" i="2"/>
  <c r="U499" i="2"/>
  <c r="V499" i="2"/>
  <c r="Z499" i="2"/>
  <c r="AA499" i="2"/>
  <c r="AB499" i="2"/>
  <c r="AC499" i="2"/>
  <c r="C498" i="2"/>
  <c r="T498" i="2"/>
  <c r="U498" i="2"/>
  <c r="V498" i="2"/>
  <c r="Z498" i="2"/>
  <c r="AA498" i="2"/>
  <c r="AB498" i="2"/>
  <c r="AC498" i="2"/>
  <c r="C497" i="2"/>
  <c r="T497" i="2"/>
  <c r="U497" i="2"/>
  <c r="V497" i="2"/>
  <c r="Z497" i="2"/>
  <c r="AA497" i="2"/>
  <c r="AB497" i="2"/>
  <c r="AC497" i="2"/>
  <c r="C496" i="2"/>
  <c r="T496" i="2"/>
  <c r="U496" i="2"/>
  <c r="V496" i="2"/>
  <c r="Z496" i="2"/>
  <c r="AA496" i="2"/>
  <c r="AB496" i="2"/>
  <c r="AC496" i="2"/>
  <c r="AC495" i="2"/>
  <c r="AB495" i="2"/>
  <c r="AA495" i="2"/>
  <c r="Z495" i="2"/>
  <c r="V495" i="2"/>
  <c r="U495" i="2"/>
  <c r="T495" i="2"/>
  <c r="C495" i="2"/>
  <c r="AC494" i="2"/>
  <c r="AB494" i="2"/>
  <c r="AA494" i="2"/>
  <c r="Z494" i="2"/>
  <c r="V494" i="2"/>
  <c r="U494" i="2"/>
  <c r="T494" i="2"/>
  <c r="C494" i="2"/>
  <c r="AC493" i="2"/>
  <c r="AB493" i="2"/>
  <c r="AA493" i="2"/>
  <c r="Z493" i="2"/>
  <c r="V493" i="2"/>
  <c r="U493" i="2"/>
  <c r="T493" i="2"/>
  <c r="C493" i="2"/>
  <c r="C492" i="2"/>
  <c r="T492" i="2"/>
  <c r="U492" i="2"/>
  <c r="V492" i="2"/>
  <c r="Z492" i="2"/>
  <c r="AA492" i="2"/>
  <c r="AB492" i="2"/>
  <c r="AC492" i="2"/>
  <c r="C491" i="2"/>
  <c r="T491" i="2"/>
  <c r="U491" i="2"/>
  <c r="V491" i="2"/>
  <c r="Z491" i="2"/>
  <c r="AA491" i="2"/>
  <c r="AB491" i="2"/>
  <c r="AC491" i="2"/>
  <c r="C490" i="2"/>
  <c r="T490" i="2"/>
  <c r="U490" i="2"/>
  <c r="V490" i="2"/>
  <c r="Z490" i="2"/>
  <c r="AA490" i="2"/>
  <c r="AB490" i="2"/>
  <c r="AC490" i="2"/>
  <c r="C489" i="2"/>
  <c r="T489" i="2"/>
  <c r="U489" i="2"/>
  <c r="V489" i="2"/>
  <c r="Z489" i="2"/>
  <c r="AA489" i="2"/>
  <c r="AB489" i="2"/>
  <c r="AC489" i="2"/>
  <c r="C488" i="2"/>
  <c r="T488" i="2"/>
  <c r="U488" i="2"/>
  <c r="V488" i="2"/>
  <c r="Z488" i="2"/>
  <c r="AA488" i="2"/>
  <c r="AB488" i="2"/>
  <c r="AC488" i="2"/>
  <c r="C487" i="2"/>
  <c r="T487" i="2"/>
  <c r="U487" i="2"/>
  <c r="V487" i="2"/>
  <c r="Z487" i="2"/>
  <c r="AA487" i="2"/>
  <c r="AB487" i="2"/>
  <c r="AC487" i="2"/>
  <c r="C486" i="2"/>
  <c r="T486" i="2"/>
  <c r="U486" i="2"/>
  <c r="V486" i="2"/>
  <c r="Z486" i="2"/>
  <c r="AA486" i="2"/>
  <c r="AB486" i="2"/>
  <c r="AC486" i="2"/>
  <c r="AC485" i="2"/>
  <c r="AB485" i="2"/>
  <c r="AA485" i="2"/>
  <c r="Z485" i="2"/>
  <c r="V485" i="2"/>
  <c r="U485" i="2"/>
  <c r="T485" i="2"/>
  <c r="C485" i="2"/>
  <c r="C484" i="2"/>
  <c r="T484" i="2"/>
  <c r="U484" i="2"/>
  <c r="V484" i="2"/>
  <c r="Z484" i="2"/>
  <c r="AA484" i="2"/>
  <c r="AB484" i="2"/>
  <c r="AC484" i="2"/>
  <c r="AC483" i="2"/>
  <c r="AB483" i="2"/>
  <c r="AA483" i="2"/>
  <c r="Z483" i="2"/>
  <c r="V483" i="2"/>
  <c r="U483" i="2"/>
  <c r="T483" i="2"/>
  <c r="C483" i="2"/>
  <c r="C482" i="2"/>
  <c r="T482" i="2"/>
  <c r="U482" i="2"/>
  <c r="V482" i="2"/>
  <c r="Z482" i="2"/>
  <c r="AA482" i="2"/>
  <c r="AB482" i="2"/>
  <c r="AC482" i="2"/>
  <c r="C481" i="2"/>
  <c r="T481" i="2"/>
  <c r="U481" i="2"/>
  <c r="V481" i="2"/>
  <c r="Z481" i="2"/>
  <c r="AA481" i="2"/>
  <c r="AB481" i="2"/>
  <c r="AC481" i="2"/>
  <c r="AC480" i="2"/>
  <c r="AB480" i="2"/>
  <c r="AA480" i="2"/>
  <c r="Z480" i="2"/>
  <c r="V480" i="2"/>
  <c r="U480" i="2"/>
  <c r="T480" i="2"/>
  <c r="C480" i="2"/>
  <c r="AC479" i="2"/>
  <c r="AB479" i="2"/>
  <c r="AA479" i="2"/>
  <c r="Z479" i="2"/>
  <c r="V479" i="2"/>
  <c r="U479" i="2"/>
  <c r="T479" i="2"/>
  <c r="C479" i="2"/>
  <c r="AC478" i="2"/>
  <c r="AB478" i="2"/>
  <c r="AA478" i="2"/>
  <c r="Z478" i="2"/>
  <c r="V478" i="2"/>
  <c r="U478" i="2"/>
  <c r="T478" i="2"/>
  <c r="C478" i="2"/>
  <c r="AC477" i="2"/>
  <c r="AB477" i="2"/>
  <c r="AA477" i="2"/>
  <c r="Z477" i="2"/>
  <c r="V477" i="2"/>
  <c r="U477" i="2"/>
  <c r="T477" i="2"/>
  <c r="C477" i="2"/>
  <c r="C476" i="2"/>
  <c r="T476" i="2"/>
  <c r="U476" i="2"/>
  <c r="V476" i="2"/>
  <c r="Z476" i="2"/>
  <c r="AA476" i="2"/>
  <c r="AB476" i="2"/>
  <c r="AC476" i="2"/>
  <c r="C475" i="2"/>
  <c r="T475" i="2"/>
  <c r="U475" i="2"/>
  <c r="V475" i="2"/>
  <c r="Z475" i="2"/>
  <c r="AA475" i="2"/>
  <c r="AB475" i="2"/>
  <c r="AC475" i="2"/>
  <c r="C474" i="2"/>
  <c r="T474" i="2"/>
  <c r="U474" i="2"/>
  <c r="V474" i="2"/>
  <c r="Z474" i="2"/>
  <c r="AA474" i="2"/>
  <c r="AB474" i="2"/>
  <c r="AC474" i="2"/>
  <c r="C473" i="2"/>
  <c r="T473" i="2"/>
  <c r="U473" i="2"/>
  <c r="V473" i="2"/>
  <c r="Z473" i="2"/>
  <c r="AA473" i="2"/>
  <c r="AB473" i="2"/>
  <c r="AC473" i="2"/>
  <c r="C472" i="2"/>
  <c r="T472" i="2"/>
  <c r="U472" i="2"/>
  <c r="V472" i="2"/>
  <c r="Z472" i="2"/>
  <c r="AA472" i="2"/>
  <c r="AB472" i="2"/>
  <c r="AC472" i="2"/>
  <c r="AC471" i="2"/>
  <c r="AB471" i="2"/>
  <c r="AA471" i="2"/>
  <c r="Z471" i="2"/>
  <c r="V471" i="2"/>
  <c r="U471" i="2"/>
  <c r="T471" i="2"/>
  <c r="C471" i="2"/>
  <c r="AC470" i="2"/>
  <c r="AB470" i="2"/>
  <c r="AA470" i="2"/>
  <c r="Z470" i="2"/>
  <c r="V470" i="2"/>
  <c r="U470" i="2"/>
  <c r="T470" i="2"/>
  <c r="C470" i="2"/>
  <c r="AC469" i="2"/>
  <c r="AB469" i="2"/>
  <c r="AA469" i="2"/>
  <c r="Z469" i="2"/>
  <c r="V469" i="2"/>
  <c r="U469" i="2"/>
  <c r="T469" i="2"/>
  <c r="C469" i="2"/>
  <c r="AC468" i="2"/>
  <c r="AB468" i="2"/>
  <c r="AA468" i="2"/>
  <c r="Z468" i="2"/>
  <c r="V468" i="2"/>
  <c r="U468" i="2"/>
  <c r="T468" i="2"/>
  <c r="C468" i="2"/>
  <c r="C467" i="2"/>
  <c r="T467" i="2"/>
  <c r="U467" i="2"/>
  <c r="V467" i="2"/>
  <c r="Z467" i="2"/>
  <c r="AA467" i="2"/>
  <c r="AB467" i="2"/>
  <c r="AC467" i="2"/>
  <c r="C466" i="2"/>
  <c r="T466" i="2"/>
  <c r="U466" i="2"/>
  <c r="V466" i="2"/>
  <c r="Z466" i="2"/>
  <c r="AA466" i="2"/>
  <c r="AB466" i="2"/>
  <c r="AC466" i="2"/>
  <c r="AC465" i="2"/>
  <c r="AB465" i="2"/>
  <c r="AA465" i="2"/>
  <c r="Z465" i="2"/>
  <c r="V465" i="2"/>
  <c r="U465" i="2"/>
  <c r="T465" i="2"/>
  <c r="C465" i="2"/>
  <c r="C464" i="2"/>
  <c r="T464" i="2"/>
  <c r="U464" i="2"/>
  <c r="V464" i="2"/>
  <c r="Z464" i="2"/>
  <c r="AA464" i="2"/>
  <c r="AB464" i="2"/>
  <c r="AC464" i="2"/>
  <c r="C463" i="2"/>
  <c r="T463" i="2"/>
  <c r="U463" i="2"/>
  <c r="V463" i="2"/>
  <c r="Z463" i="2"/>
  <c r="AA463" i="2"/>
  <c r="AB463" i="2"/>
  <c r="AC463" i="2"/>
  <c r="C462" i="2"/>
  <c r="T462" i="2"/>
  <c r="U462" i="2"/>
  <c r="V462" i="2"/>
  <c r="Z462" i="2"/>
  <c r="AA462" i="2"/>
  <c r="AB462" i="2"/>
  <c r="AC462" i="2"/>
  <c r="AC461" i="2"/>
  <c r="AB461" i="2"/>
  <c r="AA461" i="2"/>
  <c r="Z461" i="2"/>
  <c r="V461" i="2"/>
  <c r="U461" i="2"/>
  <c r="T461" i="2"/>
  <c r="C461" i="2"/>
  <c r="C460" i="2"/>
  <c r="T460" i="2"/>
  <c r="U460" i="2"/>
  <c r="V460" i="2"/>
  <c r="Z460" i="2"/>
  <c r="AA460" i="2"/>
  <c r="AB460" i="2"/>
  <c r="AC460" i="2"/>
  <c r="C459" i="2"/>
  <c r="T459" i="2"/>
  <c r="U459" i="2"/>
  <c r="V459" i="2"/>
  <c r="Z459" i="2"/>
  <c r="AA459" i="2"/>
  <c r="AB459" i="2"/>
  <c r="AC459" i="2"/>
  <c r="C458" i="2"/>
  <c r="T458" i="2"/>
  <c r="U458" i="2"/>
  <c r="V458" i="2"/>
  <c r="Z458" i="2"/>
  <c r="AA458" i="2"/>
  <c r="AB458" i="2"/>
  <c r="AC458" i="2"/>
  <c r="C457" i="2"/>
  <c r="T457" i="2"/>
  <c r="U457" i="2"/>
  <c r="V457" i="2"/>
  <c r="Z457" i="2"/>
  <c r="AA457" i="2"/>
  <c r="AB457" i="2"/>
  <c r="AC457" i="2"/>
  <c r="C456" i="2"/>
  <c r="T456" i="2"/>
  <c r="U456" i="2"/>
  <c r="V456" i="2"/>
  <c r="Z456" i="2"/>
  <c r="AA456" i="2"/>
  <c r="AB456" i="2"/>
  <c r="AC456" i="2"/>
  <c r="C455" i="2"/>
  <c r="T455" i="2"/>
  <c r="U455" i="2"/>
  <c r="V455" i="2"/>
  <c r="Z455" i="2"/>
  <c r="AA455" i="2"/>
  <c r="AB455" i="2"/>
  <c r="AC455" i="2"/>
  <c r="AC454" i="2"/>
  <c r="AB454" i="2"/>
  <c r="AA454" i="2"/>
  <c r="Z454" i="2"/>
  <c r="V454" i="2"/>
  <c r="U454" i="2"/>
  <c r="T454" i="2"/>
  <c r="C454" i="2"/>
  <c r="AC453" i="2"/>
  <c r="AB453" i="2"/>
  <c r="AA453" i="2"/>
  <c r="Z453" i="2"/>
  <c r="V453" i="2"/>
  <c r="U453" i="2"/>
  <c r="T453" i="2"/>
  <c r="C453" i="2"/>
  <c r="AC452" i="2"/>
  <c r="AB452" i="2"/>
  <c r="AA452" i="2"/>
  <c r="Z452" i="2"/>
  <c r="V452" i="2"/>
  <c r="U452" i="2"/>
  <c r="T452" i="2"/>
  <c r="C452" i="2"/>
  <c r="AC451" i="2"/>
  <c r="AB451" i="2"/>
  <c r="AA451" i="2"/>
  <c r="Z451" i="2"/>
  <c r="V451" i="2"/>
  <c r="U451" i="2"/>
  <c r="T451" i="2"/>
  <c r="C451" i="2"/>
  <c r="AC450" i="2"/>
  <c r="AB450" i="2"/>
  <c r="AA450" i="2"/>
  <c r="Z450" i="2"/>
  <c r="V450" i="2"/>
  <c r="U450" i="2"/>
  <c r="T450" i="2"/>
  <c r="C450" i="2"/>
  <c r="AC449" i="2"/>
  <c r="AB449" i="2"/>
  <c r="AA449" i="2"/>
  <c r="Z449" i="2"/>
  <c r="V449" i="2"/>
  <c r="U449" i="2"/>
  <c r="T449" i="2"/>
  <c r="C449" i="2"/>
  <c r="AC448" i="2"/>
  <c r="AB448" i="2"/>
  <c r="AA448" i="2"/>
  <c r="Z448" i="2"/>
  <c r="V448" i="2"/>
  <c r="U448" i="2"/>
  <c r="T448" i="2"/>
  <c r="C448" i="2"/>
  <c r="C447" i="2"/>
  <c r="T447" i="2"/>
  <c r="U447" i="2"/>
  <c r="V447" i="2"/>
  <c r="Z447" i="2"/>
  <c r="AA447" i="2"/>
  <c r="AB447" i="2"/>
  <c r="AC447" i="2"/>
  <c r="C446" i="2"/>
  <c r="T446" i="2"/>
  <c r="U446" i="2"/>
  <c r="V446" i="2"/>
  <c r="Z446" i="2"/>
  <c r="AA446" i="2"/>
  <c r="AB446" i="2"/>
  <c r="AC446" i="2"/>
  <c r="AC445" i="2"/>
  <c r="AB445" i="2"/>
  <c r="AA445" i="2"/>
  <c r="Z445" i="2"/>
  <c r="V445" i="2"/>
  <c r="U445" i="2"/>
  <c r="T445" i="2"/>
  <c r="C445" i="2"/>
  <c r="C444" i="2"/>
  <c r="T444" i="2"/>
  <c r="U444" i="2"/>
  <c r="V444" i="2"/>
  <c r="Z444" i="2"/>
  <c r="AA444" i="2"/>
  <c r="AB444" i="2"/>
  <c r="AC444" i="2"/>
  <c r="AC443" i="2"/>
  <c r="AB443" i="2"/>
  <c r="AA443" i="2"/>
  <c r="Z443" i="2"/>
  <c r="V443" i="2"/>
  <c r="U443" i="2"/>
  <c r="T443" i="2"/>
  <c r="C443" i="2"/>
  <c r="C442" i="2"/>
  <c r="T442" i="2"/>
  <c r="U442" i="2"/>
  <c r="V442" i="2"/>
  <c r="Z442" i="2"/>
  <c r="AA442" i="2"/>
  <c r="AB442" i="2"/>
  <c r="AC442" i="2"/>
  <c r="AC441" i="2"/>
  <c r="AB441" i="2"/>
  <c r="AA441" i="2"/>
  <c r="Z441" i="2"/>
  <c r="V441" i="2"/>
  <c r="U441" i="2"/>
  <c r="T441" i="2"/>
  <c r="C441" i="2"/>
  <c r="C440" i="2"/>
  <c r="T440" i="2"/>
  <c r="U440" i="2"/>
  <c r="V440" i="2"/>
  <c r="Z440" i="2"/>
  <c r="AA440" i="2"/>
  <c r="AB440" i="2"/>
  <c r="AC440" i="2"/>
  <c r="AC439" i="2"/>
  <c r="AB439" i="2"/>
  <c r="AA439" i="2"/>
  <c r="Z439" i="2"/>
  <c r="V439" i="2"/>
  <c r="U439" i="2"/>
  <c r="T439" i="2"/>
  <c r="C439" i="2"/>
  <c r="C438" i="2"/>
  <c r="T438" i="2"/>
  <c r="U438" i="2"/>
  <c r="V438" i="2"/>
  <c r="Z438" i="2"/>
  <c r="AA438" i="2"/>
  <c r="AB438" i="2"/>
  <c r="AC438" i="2"/>
  <c r="AC437" i="2"/>
  <c r="AB437" i="2"/>
  <c r="AA437" i="2"/>
  <c r="Z437" i="2"/>
  <c r="V437" i="2"/>
  <c r="U437" i="2"/>
  <c r="T437" i="2"/>
  <c r="C437" i="2"/>
  <c r="C436" i="2"/>
  <c r="T436" i="2"/>
  <c r="U436" i="2"/>
  <c r="V436" i="2"/>
  <c r="Z436" i="2"/>
  <c r="AA436" i="2"/>
  <c r="AB436" i="2"/>
  <c r="AC436" i="2"/>
  <c r="C435" i="2"/>
  <c r="T435" i="2"/>
  <c r="U435" i="2"/>
  <c r="V435" i="2"/>
  <c r="Z435" i="2"/>
  <c r="AA435" i="2"/>
  <c r="AB435" i="2"/>
  <c r="AC435" i="2"/>
  <c r="C434" i="2"/>
  <c r="T434" i="2"/>
  <c r="U434" i="2"/>
  <c r="V434" i="2"/>
  <c r="Z434" i="2"/>
  <c r="AA434" i="2"/>
  <c r="AB434" i="2"/>
  <c r="AC434" i="2"/>
  <c r="C433" i="2"/>
  <c r="T433" i="2"/>
  <c r="U433" i="2"/>
  <c r="V433" i="2"/>
  <c r="Z433" i="2"/>
  <c r="AA433" i="2"/>
  <c r="AB433" i="2"/>
  <c r="AC433" i="2"/>
  <c r="C432" i="2"/>
  <c r="T432" i="2"/>
  <c r="U432" i="2"/>
  <c r="V432" i="2"/>
  <c r="Z432" i="2"/>
  <c r="AA432" i="2"/>
  <c r="AB432" i="2"/>
  <c r="AC432" i="2"/>
  <c r="C431" i="2"/>
  <c r="T431" i="2"/>
  <c r="U431" i="2"/>
  <c r="V431" i="2"/>
  <c r="Z431" i="2"/>
  <c r="AA431" i="2"/>
  <c r="AB431" i="2"/>
  <c r="AC431" i="2"/>
  <c r="C430" i="2"/>
  <c r="T430" i="2"/>
  <c r="U430" i="2"/>
  <c r="V430" i="2"/>
  <c r="Z430" i="2"/>
  <c r="AA430" i="2"/>
  <c r="AB430" i="2"/>
  <c r="AC430" i="2"/>
  <c r="C429" i="2"/>
  <c r="T429" i="2"/>
  <c r="U429" i="2"/>
  <c r="V429" i="2"/>
  <c r="Z429" i="2"/>
  <c r="AA429" i="2"/>
  <c r="AB429" i="2"/>
  <c r="AC429" i="2"/>
  <c r="C428" i="2"/>
  <c r="T428" i="2"/>
  <c r="U428" i="2"/>
  <c r="V428" i="2"/>
  <c r="Z428" i="2"/>
  <c r="AA428" i="2"/>
  <c r="AB428" i="2"/>
  <c r="AC428" i="2"/>
  <c r="C427" i="2"/>
  <c r="T427" i="2"/>
  <c r="U427" i="2"/>
  <c r="V427" i="2"/>
  <c r="Z427" i="2"/>
  <c r="AA427" i="2"/>
  <c r="AB427" i="2"/>
  <c r="AC427" i="2"/>
  <c r="C426" i="2"/>
  <c r="T426" i="2"/>
  <c r="U426" i="2"/>
  <c r="V426" i="2"/>
  <c r="Z426" i="2"/>
  <c r="AA426" i="2"/>
  <c r="AB426" i="2"/>
  <c r="AC426" i="2"/>
  <c r="AC425" i="2"/>
  <c r="AB425" i="2"/>
  <c r="AA425" i="2"/>
  <c r="Z425" i="2"/>
  <c r="V425" i="2"/>
  <c r="U425" i="2"/>
  <c r="T425" i="2"/>
  <c r="C425" i="2"/>
  <c r="C424" i="2"/>
  <c r="T424" i="2"/>
  <c r="U424" i="2"/>
  <c r="V424" i="2"/>
  <c r="Z424" i="2"/>
  <c r="AA424" i="2"/>
  <c r="AB424" i="2"/>
  <c r="AC424" i="2"/>
  <c r="AC423" i="2"/>
  <c r="AB423" i="2"/>
  <c r="AA423" i="2"/>
  <c r="Z423" i="2"/>
  <c r="V423" i="2"/>
  <c r="U423" i="2"/>
  <c r="T423" i="2"/>
  <c r="C423" i="2"/>
  <c r="C422" i="2"/>
  <c r="T422" i="2"/>
  <c r="U422" i="2"/>
  <c r="V422" i="2"/>
  <c r="Z422" i="2"/>
  <c r="AA422" i="2"/>
  <c r="AB422" i="2"/>
  <c r="AC422" i="2"/>
  <c r="C421" i="2"/>
  <c r="T421" i="2"/>
  <c r="U421" i="2"/>
  <c r="V421" i="2"/>
  <c r="Z421" i="2"/>
  <c r="AA421" i="2"/>
  <c r="AB421" i="2"/>
  <c r="AC421" i="2"/>
  <c r="C420" i="2"/>
  <c r="T420" i="2"/>
  <c r="U420" i="2"/>
  <c r="V420" i="2"/>
  <c r="Z420" i="2"/>
  <c r="AA420" i="2"/>
  <c r="AB420" i="2"/>
  <c r="AC420" i="2"/>
  <c r="C419" i="2"/>
  <c r="T419" i="2"/>
  <c r="U419" i="2"/>
  <c r="V419" i="2"/>
  <c r="Z419" i="2"/>
  <c r="AA419" i="2"/>
  <c r="AB419" i="2"/>
  <c r="AC419" i="2"/>
  <c r="C418" i="2"/>
  <c r="T418" i="2"/>
  <c r="U418" i="2"/>
  <c r="V418" i="2"/>
  <c r="Z418" i="2"/>
  <c r="AA418" i="2"/>
  <c r="AB418" i="2"/>
  <c r="AC418" i="2"/>
  <c r="C417" i="2"/>
  <c r="T417" i="2"/>
  <c r="U417" i="2"/>
  <c r="V417" i="2"/>
  <c r="Z417" i="2"/>
  <c r="AA417" i="2"/>
  <c r="AB417" i="2"/>
  <c r="AC417" i="2"/>
  <c r="C416" i="2"/>
  <c r="T416" i="2"/>
  <c r="U416" i="2"/>
  <c r="V416" i="2"/>
  <c r="Z416" i="2"/>
  <c r="AA416" i="2"/>
  <c r="AB416" i="2"/>
  <c r="AC416" i="2"/>
  <c r="C415" i="2"/>
  <c r="T415" i="2"/>
  <c r="U415" i="2"/>
  <c r="V415" i="2"/>
  <c r="Z415" i="2"/>
  <c r="AA415" i="2"/>
  <c r="AB415" i="2"/>
  <c r="AC415" i="2"/>
  <c r="AC414" i="2"/>
  <c r="AB414" i="2"/>
  <c r="AA414" i="2"/>
  <c r="Z414" i="2"/>
  <c r="V414" i="2"/>
  <c r="U414" i="2"/>
  <c r="T414" i="2"/>
  <c r="C414" i="2"/>
  <c r="AC413" i="2"/>
  <c r="AB413" i="2"/>
  <c r="AA413" i="2"/>
  <c r="Z413" i="2"/>
  <c r="V413" i="2"/>
  <c r="U413" i="2"/>
  <c r="T413" i="2"/>
  <c r="C413" i="2"/>
  <c r="AC412" i="2"/>
  <c r="AB412" i="2"/>
  <c r="AA412" i="2"/>
  <c r="Z412" i="2"/>
  <c r="V412" i="2"/>
  <c r="U412" i="2"/>
  <c r="T412" i="2"/>
  <c r="C412" i="2"/>
  <c r="C411" i="2"/>
  <c r="T411" i="2"/>
  <c r="U411" i="2"/>
  <c r="V411" i="2"/>
  <c r="Z411" i="2"/>
  <c r="AA411" i="2"/>
  <c r="AB411" i="2"/>
  <c r="AC411" i="2"/>
  <c r="AC410" i="2"/>
  <c r="AB410" i="2"/>
  <c r="AA410" i="2"/>
  <c r="Z410" i="2"/>
  <c r="V410" i="2"/>
  <c r="U410" i="2"/>
  <c r="T410" i="2"/>
  <c r="C410" i="2"/>
  <c r="AC409" i="2"/>
  <c r="AB409" i="2"/>
  <c r="AA409" i="2"/>
  <c r="Z409" i="2"/>
  <c r="V409" i="2"/>
  <c r="U409" i="2"/>
  <c r="T409" i="2"/>
  <c r="C409" i="2"/>
  <c r="AC408" i="2"/>
  <c r="AB408" i="2"/>
  <c r="AA408" i="2"/>
  <c r="Z408" i="2"/>
  <c r="V408" i="2"/>
  <c r="U408" i="2"/>
  <c r="T408" i="2"/>
  <c r="C408" i="2"/>
  <c r="C407" i="2"/>
  <c r="T407" i="2"/>
  <c r="U407" i="2"/>
  <c r="V407" i="2"/>
  <c r="Z407" i="2"/>
  <c r="AA407" i="2"/>
  <c r="AB407" i="2"/>
  <c r="AC407" i="2"/>
  <c r="C406" i="2"/>
  <c r="T406" i="2"/>
  <c r="U406" i="2"/>
  <c r="V406" i="2"/>
  <c r="Z406" i="2"/>
  <c r="AA406" i="2"/>
  <c r="AB406" i="2"/>
  <c r="AC406" i="2"/>
  <c r="AC405" i="2"/>
  <c r="AB405" i="2"/>
  <c r="AA405" i="2"/>
  <c r="Z405" i="2"/>
  <c r="V405" i="2"/>
  <c r="U405" i="2"/>
  <c r="T405" i="2"/>
  <c r="C405" i="2"/>
  <c r="AC404" i="2"/>
  <c r="AB404" i="2"/>
  <c r="AA404" i="2"/>
  <c r="Z404" i="2"/>
  <c r="V404" i="2"/>
  <c r="U404" i="2"/>
  <c r="T404" i="2"/>
  <c r="C404" i="2"/>
  <c r="AC403" i="2"/>
  <c r="AB403" i="2"/>
  <c r="AA403" i="2"/>
  <c r="Z403" i="2"/>
  <c r="V403" i="2"/>
  <c r="U403" i="2"/>
  <c r="T403" i="2"/>
  <c r="C403" i="2"/>
  <c r="AC402" i="2"/>
  <c r="AB402" i="2"/>
  <c r="AA402" i="2"/>
  <c r="Z402" i="2"/>
  <c r="V402" i="2"/>
  <c r="U402" i="2"/>
  <c r="T402" i="2"/>
  <c r="C402" i="2"/>
  <c r="C401" i="2"/>
  <c r="T401" i="2"/>
  <c r="U401" i="2"/>
  <c r="V401" i="2"/>
  <c r="Z401" i="2"/>
  <c r="AA401" i="2"/>
  <c r="AB401" i="2"/>
  <c r="AC401" i="2"/>
  <c r="C400" i="2"/>
  <c r="T400" i="2"/>
  <c r="U400" i="2"/>
  <c r="V400" i="2"/>
  <c r="Z400" i="2"/>
  <c r="AA400" i="2"/>
  <c r="AB400" i="2"/>
  <c r="AC400" i="2"/>
  <c r="C399" i="2"/>
  <c r="T399" i="2"/>
  <c r="U399" i="2"/>
  <c r="V399" i="2"/>
  <c r="Z399" i="2"/>
  <c r="AA399" i="2"/>
  <c r="AB399" i="2"/>
  <c r="AC399" i="2"/>
  <c r="C398" i="2"/>
  <c r="T398" i="2"/>
  <c r="U398" i="2"/>
  <c r="V398" i="2"/>
  <c r="Z398" i="2"/>
  <c r="AA398" i="2"/>
  <c r="AB398" i="2"/>
  <c r="AC398" i="2"/>
  <c r="AC397" i="2"/>
  <c r="AB397" i="2"/>
  <c r="AA397" i="2"/>
  <c r="Z397" i="2"/>
  <c r="V397" i="2"/>
  <c r="U397" i="2"/>
  <c r="T397" i="2"/>
  <c r="C397" i="2"/>
  <c r="C396" i="2"/>
  <c r="T396" i="2"/>
  <c r="U396" i="2"/>
  <c r="V396" i="2"/>
  <c r="Z396" i="2"/>
  <c r="AA396" i="2"/>
  <c r="AB396" i="2"/>
  <c r="AC396" i="2"/>
  <c r="C395" i="2"/>
  <c r="T395" i="2"/>
  <c r="U395" i="2"/>
  <c r="V395" i="2"/>
  <c r="Z395" i="2"/>
  <c r="AA395" i="2"/>
  <c r="AB395" i="2"/>
  <c r="AC395" i="2"/>
  <c r="C394" i="2"/>
  <c r="T394" i="2"/>
  <c r="U394" i="2"/>
  <c r="V394" i="2"/>
  <c r="Z394" i="2"/>
  <c r="AA394" i="2"/>
  <c r="AB394" i="2"/>
  <c r="AC394" i="2"/>
  <c r="AC393" i="2"/>
  <c r="AB393" i="2"/>
  <c r="AA393" i="2"/>
  <c r="Z393" i="2"/>
  <c r="V393" i="2"/>
  <c r="U393" i="2"/>
  <c r="T393" i="2"/>
  <c r="C393" i="2"/>
  <c r="C392" i="2"/>
  <c r="T392" i="2"/>
  <c r="U392" i="2"/>
  <c r="V392" i="2"/>
  <c r="Z392" i="2"/>
  <c r="AA392" i="2"/>
  <c r="AB392" i="2"/>
  <c r="AC392" i="2"/>
  <c r="AC391" i="2"/>
  <c r="AB391" i="2"/>
  <c r="AA391" i="2"/>
  <c r="Z391" i="2"/>
  <c r="V391" i="2"/>
  <c r="U391" i="2"/>
  <c r="T391" i="2"/>
  <c r="C391" i="2"/>
  <c r="C390" i="2"/>
  <c r="T390" i="2"/>
  <c r="U390" i="2"/>
  <c r="V390" i="2"/>
  <c r="Z390" i="2"/>
  <c r="AA390" i="2"/>
  <c r="AB390" i="2"/>
  <c r="AC390" i="2"/>
  <c r="C389" i="2"/>
  <c r="T389" i="2"/>
  <c r="U389" i="2"/>
  <c r="V389" i="2"/>
  <c r="Z389" i="2"/>
  <c r="AA389" i="2"/>
  <c r="AB389" i="2"/>
  <c r="AC389" i="2"/>
  <c r="C388" i="2"/>
  <c r="T388" i="2"/>
  <c r="U388" i="2"/>
  <c r="V388" i="2"/>
  <c r="Z388" i="2"/>
  <c r="AA388" i="2"/>
  <c r="AB388" i="2"/>
  <c r="AC388" i="2"/>
  <c r="AC387" i="2"/>
  <c r="AB387" i="2"/>
  <c r="AA387" i="2"/>
  <c r="Z387" i="2"/>
  <c r="V387" i="2"/>
  <c r="U387" i="2"/>
  <c r="T387" i="2"/>
  <c r="C387" i="2"/>
  <c r="C386" i="2"/>
  <c r="T386" i="2"/>
  <c r="U386" i="2"/>
  <c r="V386" i="2"/>
  <c r="Z386" i="2"/>
  <c r="AA386" i="2"/>
  <c r="AB386" i="2"/>
  <c r="AC386" i="2"/>
  <c r="C385" i="2"/>
  <c r="T385" i="2"/>
  <c r="U385" i="2"/>
  <c r="V385" i="2"/>
  <c r="Z385" i="2"/>
  <c r="AA385" i="2"/>
  <c r="AB385" i="2"/>
  <c r="AC385" i="2"/>
  <c r="C384" i="2"/>
  <c r="T384" i="2"/>
  <c r="U384" i="2"/>
  <c r="V384" i="2"/>
  <c r="Z384" i="2"/>
  <c r="AA384" i="2"/>
  <c r="AB384" i="2"/>
  <c r="AC384" i="2"/>
  <c r="AC383" i="2"/>
  <c r="AB383" i="2"/>
  <c r="AA383" i="2"/>
  <c r="Z383" i="2"/>
  <c r="V383" i="2"/>
  <c r="U383" i="2"/>
  <c r="T383" i="2"/>
  <c r="C383" i="2"/>
  <c r="AC382" i="2"/>
  <c r="AB382" i="2"/>
  <c r="AA382" i="2"/>
  <c r="Z382" i="2"/>
  <c r="V382" i="2"/>
  <c r="U382" i="2"/>
  <c r="T382" i="2"/>
  <c r="C382" i="2"/>
  <c r="AC381" i="2"/>
  <c r="AB381" i="2"/>
  <c r="AA381" i="2"/>
  <c r="Z381" i="2"/>
  <c r="V381" i="2"/>
  <c r="U381" i="2"/>
  <c r="T381" i="2"/>
  <c r="C381" i="2"/>
  <c r="AC380" i="2"/>
  <c r="AB380" i="2"/>
  <c r="AA380" i="2"/>
  <c r="Z380" i="2"/>
  <c r="V380" i="2"/>
  <c r="U380" i="2"/>
  <c r="T380" i="2"/>
  <c r="C380" i="2"/>
  <c r="AC379" i="2"/>
  <c r="AB379" i="2"/>
  <c r="AA379" i="2"/>
  <c r="Z379" i="2"/>
  <c r="V379" i="2"/>
  <c r="U379" i="2"/>
  <c r="T379" i="2"/>
  <c r="C379" i="2"/>
  <c r="C378" i="2"/>
  <c r="T378" i="2"/>
  <c r="U378" i="2"/>
  <c r="V378" i="2"/>
  <c r="Z378" i="2"/>
  <c r="AA378" i="2"/>
  <c r="AB378" i="2"/>
  <c r="AC378" i="2"/>
  <c r="C377" i="2"/>
  <c r="T377" i="2"/>
  <c r="U377" i="2"/>
  <c r="V377" i="2"/>
  <c r="Z377" i="2"/>
  <c r="AA377" i="2"/>
  <c r="AB377" i="2"/>
  <c r="AC377" i="2"/>
  <c r="C376" i="2"/>
  <c r="T376" i="2"/>
  <c r="U376" i="2"/>
  <c r="V376" i="2"/>
  <c r="Z376" i="2"/>
  <c r="AA376" i="2"/>
  <c r="AB376" i="2"/>
  <c r="AC376" i="2"/>
  <c r="C375" i="2"/>
  <c r="T375" i="2"/>
  <c r="U375" i="2"/>
  <c r="V375" i="2"/>
  <c r="Z375" i="2"/>
  <c r="AA375" i="2"/>
  <c r="AB375" i="2"/>
  <c r="AC375" i="2"/>
  <c r="AC374" i="2"/>
  <c r="AB374" i="2"/>
  <c r="AA374" i="2"/>
  <c r="Z374" i="2"/>
  <c r="V374" i="2"/>
  <c r="U374" i="2"/>
  <c r="T374" i="2"/>
  <c r="C374" i="2"/>
  <c r="C373" i="2"/>
  <c r="T373" i="2"/>
  <c r="U373" i="2"/>
  <c r="V373" i="2"/>
  <c r="Z373" i="2"/>
  <c r="AA373" i="2"/>
  <c r="AB373" i="2"/>
  <c r="AC373" i="2"/>
  <c r="C372" i="2"/>
  <c r="T372" i="2"/>
  <c r="U372" i="2"/>
  <c r="V372" i="2"/>
  <c r="Z372" i="2"/>
  <c r="AA372" i="2"/>
  <c r="AB372" i="2"/>
  <c r="AC372" i="2"/>
  <c r="AC371" i="2"/>
  <c r="AB371" i="2"/>
  <c r="AA371" i="2"/>
  <c r="Z371" i="2"/>
  <c r="V371" i="2"/>
  <c r="U371" i="2"/>
  <c r="T371" i="2"/>
  <c r="C371" i="2"/>
  <c r="C370" i="2"/>
  <c r="T370" i="2"/>
  <c r="U370" i="2"/>
  <c r="V370" i="2"/>
  <c r="Z370" i="2"/>
  <c r="AA370" i="2"/>
  <c r="AB370" i="2"/>
  <c r="AC370" i="2"/>
  <c r="C369" i="2"/>
  <c r="T369" i="2"/>
  <c r="U369" i="2"/>
  <c r="V369" i="2"/>
  <c r="Z369" i="2"/>
  <c r="AA369" i="2"/>
  <c r="AB369" i="2"/>
  <c r="AC369" i="2"/>
  <c r="C368" i="2"/>
  <c r="T368" i="2"/>
  <c r="U368" i="2"/>
  <c r="V368" i="2"/>
  <c r="Z368" i="2"/>
  <c r="AA368" i="2"/>
  <c r="AB368" i="2"/>
  <c r="AC368" i="2"/>
  <c r="C367" i="2"/>
  <c r="T367" i="2"/>
  <c r="U367" i="2"/>
  <c r="V367" i="2"/>
  <c r="Z367" i="2"/>
  <c r="AA367" i="2"/>
  <c r="AB367" i="2"/>
  <c r="AC367" i="2"/>
  <c r="C366" i="2"/>
  <c r="T366" i="2"/>
  <c r="U366" i="2"/>
  <c r="V366" i="2"/>
  <c r="Z366" i="2"/>
  <c r="AA366" i="2"/>
  <c r="AB366" i="2"/>
  <c r="AC366" i="2"/>
  <c r="C365" i="2"/>
  <c r="T365" i="2"/>
  <c r="U365" i="2"/>
  <c r="V365" i="2"/>
  <c r="Z365" i="2"/>
  <c r="AA365" i="2"/>
  <c r="AB365" i="2"/>
  <c r="AC365" i="2"/>
  <c r="AC364" i="2"/>
  <c r="AB364" i="2"/>
  <c r="AA364" i="2"/>
  <c r="Z364" i="2"/>
  <c r="V364" i="2"/>
  <c r="U364" i="2"/>
  <c r="T364" i="2"/>
  <c r="C364" i="2"/>
  <c r="AC363" i="2"/>
  <c r="AB363" i="2"/>
  <c r="AA363" i="2"/>
  <c r="Z363" i="2"/>
  <c r="V363" i="2"/>
  <c r="U363" i="2"/>
  <c r="T363" i="2"/>
  <c r="C363" i="2"/>
  <c r="C362" i="2"/>
  <c r="T362" i="2"/>
  <c r="U362" i="2"/>
  <c r="V362" i="2"/>
  <c r="Z362" i="2"/>
  <c r="AA362" i="2"/>
  <c r="AB362" i="2"/>
  <c r="AC362" i="2"/>
  <c r="C361" i="2"/>
  <c r="T361" i="2"/>
  <c r="U361" i="2"/>
  <c r="V361" i="2"/>
  <c r="Z361" i="2"/>
  <c r="AA361" i="2"/>
  <c r="AB361" i="2"/>
  <c r="AC361" i="2"/>
  <c r="C360" i="2"/>
  <c r="T360" i="2"/>
  <c r="U360" i="2"/>
  <c r="V360" i="2"/>
  <c r="Z360" i="2"/>
  <c r="AA360" i="2"/>
  <c r="AB360" i="2"/>
  <c r="AC360" i="2"/>
  <c r="C359" i="2"/>
  <c r="T359" i="2"/>
  <c r="U359" i="2"/>
  <c r="V359" i="2"/>
  <c r="Z359" i="2"/>
  <c r="AA359" i="2"/>
  <c r="AB359" i="2"/>
  <c r="AC359" i="2"/>
  <c r="AC358" i="2"/>
  <c r="AB358" i="2"/>
  <c r="AA358" i="2"/>
  <c r="Z358" i="2"/>
  <c r="V358" i="2"/>
  <c r="U358" i="2"/>
  <c r="T358" i="2"/>
  <c r="C358" i="2"/>
  <c r="AC357" i="2"/>
  <c r="AB357" i="2"/>
  <c r="AA357" i="2"/>
  <c r="Z357" i="2"/>
  <c r="V357" i="2"/>
  <c r="U357" i="2"/>
  <c r="T357" i="2"/>
  <c r="C357" i="2"/>
  <c r="C356" i="2"/>
  <c r="T356" i="2"/>
  <c r="U356" i="2"/>
  <c r="V356" i="2"/>
  <c r="Z356" i="2"/>
  <c r="AA356" i="2"/>
  <c r="AB356" i="2"/>
  <c r="AC356" i="2"/>
  <c r="C355" i="2"/>
  <c r="T355" i="2"/>
  <c r="U355" i="2"/>
  <c r="V355" i="2"/>
  <c r="Z355" i="2"/>
  <c r="AA355" i="2"/>
  <c r="AB355" i="2"/>
  <c r="AC355" i="2"/>
  <c r="C354" i="2"/>
  <c r="T354" i="2"/>
  <c r="U354" i="2"/>
  <c r="V354" i="2"/>
  <c r="Z354" i="2"/>
  <c r="AA354" i="2"/>
  <c r="AB354" i="2"/>
  <c r="AC354" i="2"/>
  <c r="C353" i="2"/>
  <c r="T353" i="2"/>
  <c r="U353" i="2"/>
  <c r="V353" i="2"/>
  <c r="Z353" i="2"/>
  <c r="AA353" i="2"/>
  <c r="AB353" i="2"/>
  <c r="AC353" i="2"/>
  <c r="AC352" i="2"/>
  <c r="AB352" i="2"/>
  <c r="AA352" i="2"/>
  <c r="Z352" i="2"/>
  <c r="V352" i="2"/>
  <c r="U352" i="2"/>
  <c r="T352" i="2"/>
  <c r="C352" i="2"/>
  <c r="C351" i="2"/>
  <c r="T351" i="2"/>
  <c r="U351" i="2"/>
  <c r="V351" i="2"/>
  <c r="Z351" i="2"/>
  <c r="AA351" i="2"/>
  <c r="AB351" i="2"/>
  <c r="AC351" i="2"/>
  <c r="C350" i="2"/>
  <c r="T350" i="2"/>
  <c r="U350" i="2"/>
  <c r="V350" i="2"/>
  <c r="Z350" i="2"/>
  <c r="AA350" i="2"/>
  <c r="AB350" i="2"/>
  <c r="AC350" i="2"/>
  <c r="C349" i="2"/>
  <c r="T349" i="2"/>
  <c r="U349" i="2"/>
  <c r="V349" i="2"/>
  <c r="Z349" i="2"/>
  <c r="AA349" i="2"/>
  <c r="AB349" i="2"/>
  <c r="AC349" i="2"/>
  <c r="C348" i="2"/>
  <c r="T348" i="2"/>
  <c r="U348" i="2"/>
  <c r="V348" i="2"/>
  <c r="Z348" i="2"/>
  <c r="AA348" i="2"/>
  <c r="AB348" i="2"/>
  <c r="AC348" i="2"/>
  <c r="AC347" i="2"/>
  <c r="AB347" i="2"/>
  <c r="AA347" i="2"/>
  <c r="Z347" i="2"/>
  <c r="V347" i="2"/>
  <c r="U347" i="2"/>
  <c r="T347" i="2"/>
  <c r="C347" i="2"/>
  <c r="AC346" i="2"/>
  <c r="AB346" i="2"/>
  <c r="AA346" i="2"/>
  <c r="Z346" i="2"/>
  <c r="V346" i="2"/>
  <c r="U346" i="2"/>
  <c r="T346" i="2"/>
  <c r="C346" i="2"/>
  <c r="C345" i="2"/>
  <c r="T345" i="2"/>
  <c r="U345" i="2"/>
  <c r="V345" i="2"/>
  <c r="Z345" i="2"/>
  <c r="AA345" i="2"/>
  <c r="AB345" i="2"/>
  <c r="AC345" i="2"/>
  <c r="C344" i="2"/>
  <c r="T344" i="2"/>
  <c r="U344" i="2"/>
  <c r="V344" i="2"/>
  <c r="Z344" i="2"/>
  <c r="AA344" i="2"/>
  <c r="AB344" i="2"/>
  <c r="AC344" i="2"/>
  <c r="AC343" i="2"/>
  <c r="AB343" i="2"/>
  <c r="AA343" i="2"/>
  <c r="Z343" i="2"/>
  <c r="V343" i="2"/>
  <c r="U343" i="2"/>
  <c r="T343" i="2"/>
  <c r="C343" i="2"/>
  <c r="AC342" i="2"/>
  <c r="AB342" i="2"/>
  <c r="AA342" i="2"/>
  <c r="Z342" i="2"/>
  <c r="V342" i="2"/>
  <c r="U342" i="2"/>
  <c r="T342" i="2"/>
  <c r="C342" i="2"/>
  <c r="AC341" i="2"/>
  <c r="AB341" i="2"/>
  <c r="AA341" i="2"/>
  <c r="Z341" i="2"/>
  <c r="V341" i="2"/>
  <c r="U341" i="2"/>
  <c r="T341" i="2"/>
  <c r="C341" i="2"/>
  <c r="C340" i="2"/>
  <c r="T340" i="2"/>
  <c r="U340" i="2"/>
  <c r="V340" i="2"/>
  <c r="Z340" i="2"/>
  <c r="AA340" i="2"/>
  <c r="AB340" i="2"/>
  <c r="AC340" i="2"/>
  <c r="C339" i="2"/>
  <c r="T339" i="2"/>
  <c r="U339" i="2"/>
  <c r="V339" i="2"/>
  <c r="Z339" i="2"/>
  <c r="AA339" i="2"/>
  <c r="AB339" i="2"/>
  <c r="AC339" i="2"/>
  <c r="C338" i="2"/>
  <c r="T338" i="2"/>
  <c r="U338" i="2"/>
  <c r="V338" i="2"/>
  <c r="Z338" i="2"/>
  <c r="AA338" i="2"/>
  <c r="AB338" i="2"/>
  <c r="AC338" i="2"/>
  <c r="AC337" i="2"/>
  <c r="AB337" i="2"/>
  <c r="AA337" i="2"/>
  <c r="Z337" i="2"/>
  <c r="V337" i="2"/>
  <c r="U337" i="2"/>
  <c r="T337" i="2"/>
  <c r="C337" i="2"/>
  <c r="C336" i="2"/>
  <c r="T336" i="2"/>
  <c r="U336" i="2"/>
  <c r="V336" i="2"/>
  <c r="Z336" i="2"/>
  <c r="AA336" i="2"/>
  <c r="AB336" i="2"/>
  <c r="AC336" i="2"/>
  <c r="AC335" i="2"/>
  <c r="AB335" i="2"/>
  <c r="AA335" i="2"/>
  <c r="Z335" i="2"/>
  <c r="V335" i="2"/>
  <c r="U335" i="2"/>
  <c r="T335" i="2"/>
  <c r="C335" i="2"/>
  <c r="AC334" i="2"/>
  <c r="AB334" i="2"/>
  <c r="AA334" i="2"/>
  <c r="Z334" i="2"/>
  <c r="V334" i="2"/>
  <c r="U334" i="2"/>
  <c r="T334" i="2"/>
  <c r="C334" i="2"/>
  <c r="C333" i="2"/>
  <c r="T333" i="2"/>
  <c r="U333" i="2"/>
  <c r="V333" i="2"/>
  <c r="Z333" i="2"/>
  <c r="AA333" i="2"/>
  <c r="AB333" i="2"/>
  <c r="AC333" i="2"/>
  <c r="C332" i="2"/>
  <c r="T332" i="2"/>
  <c r="U332" i="2"/>
  <c r="V332" i="2"/>
  <c r="Z332" i="2"/>
  <c r="AA332" i="2"/>
  <c r="AB332" i="2"/>
  <c r="AC332" i="2"/>
  <c r="C331" i="2"/>
  <c r="T331" i="2"/>
  <c r="U331" i="2"/>
  <c r="V331" i="2"/>
  <c r="Z331" i="2"/>
  <c r="AA331" i="2"/>
  <c r="AB331" i="2"/>
  <c r="AC331" i="2"/>
  <c r="AC330" i="2"/>
  <c r="AB330" i="2"/>
  <c r="AA330" i="2"/>
  <c r="Z330" i="2"/>
  <c r="V330" i="2"/>
  <c r="U330" i="2"/>
  <c r="T330" i="2"/>
  <c r="C330" i="2"/>
  <c r="C329" i="2"/>
  <c r="T329" i="2"/>
  <c r="U329" i="2"/>
  <c r="V329" i="2"/>
  <c r="Z329" i="2"/>
  <c r="AA329" i="2"/>
  <c r="AB329" i="2"/>
  <c r="AC329" i="2"/>
  <c r="C328" i="2"/>
  <c r="T328" i="2"/>
  <c r="U328" i="2"/>
  <c r="V328" i="2"/>
  <c r="Z328" i="2"/>
  <c r="AA328" i="2"/>
  <c r="AB328" i="2"/>
  <c r="AC328" i="2"/>
  <c r="AC327" i="2"/>
  <c r="AB327" i="2"/>
  <c r="AA327" i="2"/>
  <c r="Z327" i="2"/>
  <c r="V327" i="2"/>
  <c r="U327" i="2"/>
  <c r="T327" i="2"/>
  <c r="C327" i="2"/>
  <c r="AC326" i="2"/>
  <c r="AB326" i="2"/>
  <c r="AA326" i="2"/>
  <c r="Z326" i="2"/>
  <c r="V326" i="2"/>
  <c r="U326" i="2"/>
  <c r="T326" i="2"/>
  <c r="C326" i="2"/>
  <c r="C325" i="2"/>
  <c r="T325" i="2"/>
  <c r="U325" i="2"/>
  <c r="V325" i="2"/>
  <c r="Z325" i="2"/>
  <c r="AA325" i="2"/>
  <c r="AB325" i="2"/>
  <c r="AC325" i="2"/>
  <c r="C324" i="2"/>
  <c r="T324" i="2"/>
  <c r="U324" i="2"/>
  <c r="V324" i="2"/>
  <c r="Z324" i="2"/>
  <c r="AA324" i="2"/>
  <c r="AB324" i="2"/>
  <c r="AC324" i="2"/>
  <c r="AC323" i="2"/>
  <c r="AB323" i="2"/>
  <c r="AA323" i="2"/>
  <c r="Z323" i="2"/>
  <c r="V323" i="2"/>
  <c r="U323" i="2"/>
  <c r="T323" i="2"/>
  <c r="C323" i="2"/>
  <c r="C322" i="2"/>
  <c r="T322" i="2"/>
  <c r="U322" i="2"/>
  <c r="V322" i="2"/>
  <c r="Z322" i="2"/>
  <c r="AA322" i="2"/>
  <c r="AB322" i="2"/>
  <c r="AC322" i="2"/>
  <c r="C321" i="2"/>
  <c r="T321" i="2"/>
  <c r="U321" i="2"/>
  <c r="V321" i="2"/>
  <c r="Z321" i="2"/>
  <c r="AA321" i="2"/>
  <c r="AB321" i="2"/>
  <c r="AC321" i="2"/>
  <c r="C320" i="2"/>
  <c r="T320" i="2"/>
  <c r="U320" i="2"/>
  <c r="V320" i="2"/>
  <c r="Z320" i="2"/>
  <c r="AA320" i="2"/>
  <c r="AB320" i="2"/>
  <c r="AC320" i="2"/>
  <c r="C319" i="2"/>
  <c r="T319" i="2"/>
  <c r="U319" i="2"/>
  <c r="V319" i="2"/>
  <c r="Z319" i="2"/>
  <c r="AA319" i="2"/>
  <c r="AB319" i="2"/>
  <c r="AC319" i="2"/>
  <c r="AC318" i="2"/>
  <c r="AB318" i="2"/>
  <c r="AA318" i="2"/>
  <c r="Z318" i="2"/>
  <c r="V318" i="2"/>
  <c r="U318" i="2"/>
  <c r="T318" i="2"/>
  <c r="C318" i="2"/>
  <c r="C317" i="2"/>
  <c r="T317" i="2"/>
  <c r="U317" i="2"/>
  <c r="V317" i="2"/>
  <c r="Z317" i="2"/>
  <c r="AA317" i="2"/>
  <c r="AB317" i="2"/>
  <c r="AC317" i="2"/>
  <c r="AC316" i="2"/>
  <c r="AB316" i="2"/>
  <c r="AA316" i="2"/>
  <c r="Z316" i="2"/>
  <c r="V316" i="2"/>
  <c r="U316" i="2"/>
  <c r="T316" i="2"/>
  <c r="C316" i="2"/>
  <c r="C315" i="2"/>
  <c r="T315" i="2"/>
  <c r="U315" i="2"/>
  <c r="V315" i="2"/>
  <c r="Z315" i="2"/>
  <c r="AA315" i="2"/>
  <c r="AB315" i="2"/>
  <c r="AC315" i="2"/>
  <c r="AC314" i="2"/>
  <c r="AB314" i="2"/>
  <c r="AA314" i="2"/>
  <c r="Z314" i="2"/>
  <c r="V314" i="2"/>
  <c r="U314" i="2"/>
  <c r="T314" i="2"/>
  <c r="C314" i="2"/>
  <c r="C313" i="2"/>
  <c r="T313" i="2"/>
  <c r="U313" i="2"/>
  <c r="V313" i="2"/>
  <c r="Z313" i="2"/>
  <c r="AA313" i="2"/>
  <c r="AB313" i="2"/>
  <c r="AC313" i="2"/>
  <c r="AC312" i="2"/>
  <c r="AB312" i="2"/>
  <c r="AA312" i="2"/>
  <c r="Z312" i="2"/>
  <c r="V312" i="2"/>
  <c r="U312" i="2"/>
  <c r="T312" i="2"/>
  <c r="C312" i="2"/>
  <c r="AC311" i="2"/>
  <c r="AB311" i="2"/>
  <c r="AA311" i="2"/>
  <c r="Z311" i="2"/>
  <c r="V311" i="2"/>
  <c r="U311" i="2"/>
  <c r="T311" i="2"/>
  <c r="C311" i="2"/>
  <c r="C310" i="2"/>
  <c r="T310" i="2"/>
  <c r="U310" i="2"/>
  <c r="V310" i="2"/>
  <c r="Z310" i="2"/>
  <c r="AA310" i="2"/>
  <c r="AB310" i="2"/>
  <c r="AC310" i="2"/>
  <c r="C309" i="2"/>
  <c r="T309" i="2"/>
  <c r="U309" i="2"/>
  <c r="V309" i="2"/>
  <c r="Z309" i="2"/>
  <c r="AA309" i="2"/>
  <c r="AB309" i="2"/>
  <c r="AC309" i="2"/>
  <c r="AC308" i="2"/>
  <c r="AB308" i="2"/>
  <c r="AA308" i="2"/>
  <c r="Z308" i="2"/>
  <c r="V308" i="2"/>
  <c r="U308" i="2"/>
  <c r="T308" i="2"/>
  <c r="C308" i="2"/>
  <c r="C307" i="2"/>
  <c r="T307" i="2"/>
  <c r="U307" i="2"/>
  <c r="V307" i="2"/>
  <c r="Z307" i="2"/>
  <c r="AA307" i="2"/>
  <c r="AB307" i="2"/>
  <c r="AC307" i="2"/>
  <c r="C306" i="2"/>
  <c r="T306" i="2"/>
  <c r="U306" i="2"/>
  <c r="V306" i="2"/>
  <c r="Z306" i="2"/>
  <c r="AA306" i="2"/>
  <c r="AB306" i="2"/>
  <c r="AC306" i="2"/>
  <c r="AC305" i="2"/>
  <c r="AB305" i="2"/>
  <c r="AA305" i="2"/>
  <c r="Z305" i="2"/>
  <c r="V305" i="2"/>
  <c r="U305" i="2"/>
  <c r="T305" i="2"/>
  <c r="C305" i="2"/>
  <c r="AC304" i="2"/>
  <c r="AB304" i="2"/>
  <c r="AA304" i="2"/>
  <c r="Z304" i="2"/>
  <c r="V304" i="2"/>
  <c r="U304" i="2"/>
  <c r="T304" i="2"/>
  <c r="C304" i="2"/>
  <c r="AC303" i="2"/>
  <c r="AB303" i="2"/>
  <c r="AA303" i="2"/>
  <c r="Z303" i="2"/>
  <c r="V303" i="2"/>
  <c r="U303" i="2"/>
  <c r="T303" i="2"/>
  <c r="C303" i="2"/>
  <c r="AC302" i="2"/>
  <c r="AB302" i="2"/>
  <c r="AA302" i="2"/>
  <c r="Z302" i="2"/>
  <c r="V302" i="2"/>
  <c r="U302" i="2"/>
  <c r="T302" i="2"/>
  <c r="C302" i="2"/>
  <c r="C301" i="2"/>
  <c r="T301" i="2"/>
  <c r="U301" i="2"/>
  <c r="V301" i="2"/>
  <c r="Z301" i="2"/>
  <c r="AA301" i="2"/>
  <c r="AB301" i="2"/>
  <c r="AC301" i="2"/>
  <c r="AC300" i="2"/>
  <c r="AB300" i="2"/>
  <c r="AA300" i="2"/>
  <c r="Z300" i="2"/>
  <c r="V300" i="2"/>
  <c r="U300" i="2"/>
  <c r="T300" i="2"/>
  <c r="C300" i="2"/>
  <c r="AC299" i="2"/>
  <c r="AB299" i="2"/>
  <c r="AA299" i="2"/>
  <c r="Z299" i="2"/>
  <c r="V299" i="2"/>
  <c r="U299" i="2"/>
  <c r="T299" i="2"/>
  <c r="C299" i="2"/>
  <c r="AC298" i="2"/>
  <c r="AB298" i="2"/>
  <c r="AA298" i="2"/>
  <c r="Z298" i="2"/>
  <c r="V298" i="2"/>
  <c r="U298" i="2"/>
  <c r="T298" i="2"/>
  <c r="C298" i="2"/>
  <c r="AC297" i="2"/>
  <c r="AB297" i="2"/>
  <c r="AA297" i="2"/>
  <c r="Z297" i="2"/>
  <c r="V297" i="2"/>
  <c r="U297" i="2"/>
  <c r="T297" i="2"/>
  <c r="C297" i="2"/>
  <c r="AC296" i="2"/>
  <c r="AB296" i="2"/>
  <c r="AA296" i="2"/>
  <c r="Z296" i="2"/>
  <c r="V296" i="2"/>
  <c r="U296" i="2"/>
  <c r="T296" i="2"/>
  <c r="C296" i="2"/>
  <c r="C295" i="2"/>
  <c r="T295" i="2"/>
  <c r="U295" i="2"/>
  <c r="V295" i="2"/>
  <c r="Z295" i="2"/>
  <c r="AA295" i="2"/>
  <c r="AB295" i="2"/>
  <c r="AC295" i="2"/>
  <c r="C294" i="2"/>
  <c r="T294" i="2"/>
  <c r="U294" i="2"/>
  <c r="V294" i="2"/>
  <c r="Z294" i="2"/>
  <c r="AA294" i="2"/>
  <c r="AB294" i="2"/>
  <c r="AC294" i="2"/>
  <c r="AC293" i="2"/>
  <c r="AB293" i="2"/>
  <c r="AA293" i="2"/>
  <c r="Z293" i="2"/>
  <c r="V293" i="2"/>
  <c r="U293" i="2"/>
  <c r="T293" i="2"/>
  <c r="C293" i="2"/>
  <c r="AC292" i="2"/>
  <c r="AB292" i="2"/>
  <c r="AA292" i="2"/>
  <c r="Z292" i="2"/>
  <c r="V292" i="2"/>
  <c r="U292" i="2"/>
  <c r="T292" i="2"/>
  <c r="C292" i="2"/>
  <c r="C291" i="2"/>
  <c r="T291" i="2"/>
  <c r="U291" i="2"/>
  <c r="V291" i="2"/>
  <c r="Z291" i="2"/>
  <c r="AA291" i="2"/>
  <c r="AB291" i="2"/>
  <c r="AC291" i="2"/>
  <c r="C290" i="2"/>
  <c r="T290" i="2"/>
  <c r="U290" i="2"/>
  <c r="V290" i="2"/>
  <c r="Z290" i="2"/>
  <c r="AA290" i="2"/>
  <c r="AB290" i="2"/>
  <c r="AC290" i="2"/>
  <c r="C289" i="2"/>
  <c r="T289" i="2"/>
  <c r="U289" i="2"/>
  <c r="V289" i="2"/>
  <c r="Z289" i="2"/>
  <c r="AA289" i="2"/>
  <c r="AB289" i="2"/>
  <c r="AC289" i="2"/>
  <c r="C288" i="2"/>
  <c r="T288" i="2"/>
  <c r="U288" i="2"/>
  <c r="V288" i="2"/>
  <c r="Z288" i="2"/>
  <c r="AA288" i="2"/>
  <c r="AB288" i="2"/>
  <c r="AC288" i="2"/>
  <c r="C287" i="2"/>
  <c r="T287" i="2"/>
  <c r="U287" i="2"/>
  <c r="V287" i="2"/>
  <c r="Z287" i="2"/>
  <c r="AA287" i="2"/>
  <c r="AB287" i="2"/>
  <c r="AC287" i="2"/>
  <c r="AC286" i="2"/>
  <c r="AB286" i="2"/>
  <c r="AA286" i="2"/>
  <c r="Z286" i="2"/>
  <c r="V286" i="2"/>
  <c r="U286" i="2"/>
  <c r="T286" i="2"/>
  <c r="C286" i="2"/>
  <c r="AC285" i="2"/>
  <c r="AB285" i="2"/>
  <c r="AA285" i="2"/>
  <c r="Z285" i="2"/>
  <c r="V285" i="2"/>
  <c r="U285" i="2"/>
  <c r="T285" i="2"/>
  <c r="C285" i="2"/>
  <c r="C284" i="2"/>
  <c r="T284" i="2"/>
  <c r="U284" i="2"/>
  <c r="V284" i="2"/>
  <c r="Z284" i="2"/>
  <c r="AA284" i="2"/>
  <c r="AB284" i="2"/>
  <c r="AC284" i="2"/>
  <c r="C283" i="2"/>
  <c r="T283" i="2"/>
  <c r="U283" i="2"/>
  <c r="V283" i="2"/>
  <c r="Z283" i="2"/>
  <c r="AA283" i="2"/>
  <c r="AB283" i="2"/>
  <c r="AC283" i="2"/>
  <c r="AC282" i="2"/>
  <c r="AB282" i="2"/>
  <c r="AA282" i="2"/>
  <c r="Z282" i="2"/>
  <c r="V282" i="2"/>
  <c r="U282" i="2"/>
  <c r="T282" i="2"/>
  <c r="C282" i="2"/>
  <c r="AC281" i="2"/>
  <c r="AB281" i="2"/>
  <c r="AA281" i="2"/>
  <c r="Z281" i="2"/>
  <c r="V281" i="2"/>
  <c r="U281" i="2"/>
  <c r="T281" i="2"/>
  <c r="C281" i="2"/>
  <c r="AC280" i="2"/>
  <c r="AB280" i="2"/>
  <c r="AA280" i="2"/>
  <c r="Z280" i="2"/>
  <c r="V280" i="2"/>
  <c r="U280" i="2"/>
  <c r="T280" i="2"/>
  <c r="C280" i="2"/>
  <c r="AC279" i="2"/>
  <c r="AB279" i="2"/>
  <c r="AA279" i="2"/>
  <c r="Z279" i="2"/>
  <c r="V279" i="2"/>
  <c r="U279" i="2"/>
  <c r="T279" i="2"/>
  <c r="C279" i="2"/>
  <c r="C278" i="2"/>
  <c r="T278" i="2"/>
  <c r="U278" i="2"/>
  <c r="V278" i="2"/>
  <c r="Z278" i="2"/>
  <c r="AA278" i="2"/>
  <c r="AB278" i="2"/>
  <c r="AC278" i="2"/>
  <c r="AC277" i="2"/>
  <c r="AB277" i="2"/>
  <c r="AA277" i="2"/>
  <c r="Z277" i="2"/>
  <c r="V277" i="2"/>
  <c r="U277" i="2"/>
  <c r="T277" i="2"/>
  <c r="C277" i="2"/>
  <c r="AC276" i="2"/>
  <c r="AB276" i="2"/>
  <c r="AA276" i="2"/>
  <c r="Z276" i="2"/>
  <c r="V276" i="2"/>
  <c r="U276" i="2"/>
  <c r="T276" i="2"/>
  <c r="C276" i="2"/>
  <c r="C275" i="2"/>
  <c r="T275" i="2"/>
  <c r="U275" i="2"/>
  <c r="V275" i="2"/>
  <c r="Z275" i="2"/>
  <c r="AA275" i="2"/>
  <c r="AB275" i="2"/>
  <c r="AC275" i="2"/>
  <c r="AC274" i="2"/>
  <c r="AB274" i="2"/>
  <c r="AA274" i="2"/>
  <c r="Z274" i="2"/>
  <c r="V274" i="2"/>
  <c r="U274" i="2"/>
  <c r="T274" i="2"/>
  <c r="C274" i="2"/>
  <c r="AC273" i="2"/>
  <c r="AB273" i="2"/>
  <c r="AA273" i="2"/>
  <c r="Z273" i="2"/>
  <c r="V273" i="2"/>
  <c r="U273" i="2"/>
  <c r="T273" i="2"/>
  <c r="C273" i="2"/>
  <c r="AC272" i="2"/>
  <c r="AB272" i="2"/>
  <c r="AA272" i="2"/>
  <c r="Z272" i="2"/>
  <c r="V272" i="2"/>
  <c r="U272" i="2"/>
  <c r="T272" i="2"/>
  <c r="C272" i="2"/>
  <c r="C271" i="2"/>
  <c r="T271" i="2"/>
  <c r="U271" i="2"/>
  <c r="V271" i="2"/>
  <c r="Z271" i="2"/>
  <c r="AA271" i="2"/>
  <c r="AB271" i="2"/>
  <c r="AC271" i="2"/>
  <c r="C270" i="2"/>
  <c r="T270" i="2"/>
  <c r="U270" i="2"/>
  <c r="V270" i="2"/>
  <c r="Z270" i="2"/>
  <c r="AA270" i="2"/>
  <c r="AB270" i="2"/>
  <c r="AC270" i="2"/>
  <c r="AC269" i="2"/>
  <c r="AB269" i="2"/>
  <c r="AA269" i="2"/>
  <c r="Z269" i="2"/>
  <c r="V269" i="2"/>
  <c r="U269" i="2"/>
  <c r="T269" i="2"/>
  <c r="C269" i="2"/>
  <c r="C268" i="2"/>
  <c r="T268" i="2"/>
  <c r="U268" i="2"/>
  <c r="V268" i="2"/>
  <c r="Z268" i="2"/>
  <c r="AA268" i="2"/>
  <c r="AB268" i="2"/>
  <c r="AC268" i="2"/>
  <c r="AC267" i="2"/>
  <c r="AB267" i="2"/>
  <c r="AA267" i="2"/>
  <c r="Z267" i="2"/>
  <c r="V267" i="2"/>
  <c r="U267" i="2"/>
  <c r="T267" i="2"/>
  <c r="C267" i="2"/>
  <c r="C266" i="2"/>
  <c r="T266" i="2"/>
  <c r="U266" i="2"/>
  <c r="V266" i="2"/>
  <c r="Z266" i="2"/>
  <c r="AA266" i="2"/>
  <c r="AB266" i="2"/>
  <c r="AC266" i="2"/>
  <c r="C265" i="2"/>
  <c r="T265" i="2"/>
  <c r="U265" i="2"/>
  <c r="V265" i="2"/>
  <c r="Z265" i="2"/>
  <c r="AA265" i="2"/>
  <c r="AB265" i="2"/>
  <c r="AC265" i="2"/>
  <c r="AC264" i="2"/>
  <c r="AB264" i="2"/>
  <c r="AA264" i="2"/>
  <c r="Z264" i="2"/>
  <c r="V264" i="2"/>
  <c r="U264" i="2"/>
  <c r="T264" i="2"/>
  <c r="C264" i="2"/>
  <c r="AC263" i="2"/>
  <c r="AB263" i="2"/>
  <c r="AA263" i="2"/>
  <c r="Z263" i="2"/>
  <c r="V263" i="2"/>
  <c r="U263" i="2"/>
  <c r="T263" i="2"/>
  <c r="C263" i="2"/>
  <c r="AC262" i="2"/>
  <c r="AB262" i="2"/>
  <c r="AA262" i="2"/>
  <c r="Z262" i="2"/>
  <c r="V262" i="2"/>
  <c r="U262" i="2"/>
  <c r="T262" i="2"/>
  <c r="C262" i="2"/>
  <c r="C261" i="2"/>
  <c r="T261" i="2"/>
  <c r="U261" i="2"/>
  <c r="V261" i="2"/>
  <c r="Z261" i="2"/>
  <c r="AA261" i="2"/>
  <c r="AB261" i="2"/>
  <c r="AC261" i="2"/>
  <c r="C260" i="2"/>
  <c r="T260" i="2"/>
  <c r="U260" i="2"/>
  <c r="V260" i="2"/>
  <c r="Z260" i="2"/>
  <c r="AA260" i="2"/>
  <c r="AB260" i="2"/>
  <c r="AC260" i="2"/>
  <c r="C259" i="2"/>
  <c r="T259" i="2"/>
  <c r="U259" i="2"/>
  <c r="V259" i="2"/>
  <c r="Z259" i="2"/>
  <c r="AA259" i="2"/>
  <c r="AB259" i="2"/>
  <c r="AC259" i="2"/>
  <c r="C258" i="2"/>
  <c r="T258" i="2"/>
  <c r="U258" i="2"/>
  <c r="V258" i="2"/>
  <c r="Z258" i="2"/>
  <c r="AA258" i="2"/>
  <c r="AB258" i="2"/>
  <c r="AC258" i="2"/>
  <c r="C257" i="2"/>
  <c r="T257" i="2"/>
  <c r="U257" i="2"/>
  <c r="V257" i="2"/>
  <c r="Z257" i="2"/>
  <c r="AA257" i="2"/>
  <c r="AB257" i="2"/>
  <c r="AC257" i="2"/>
  <c r="C256" i="2"/>
  <c r="T256" i="2"/>
  <c r="U256" i="2"/>
  <c r="V256" i="2"/>
  <c r="Z256" i="2"/>
  <c r="AA256" i="2"/>
  <c r="AB256" i="2"/>
  <c r="AC256" i="2"/>
  <c r="C255" i="2"/>
  <c r="T255" i="2"/>
  <c r="U255" i="2"/>
  <c r="V255" i="2"/>
  <c r="Z255" i="2"/>
  <c r="AA255" i="2"/>
  <c r="AB255" i="2"/>
  <c r="AC255" i="2"/>
  <c r="AC254" i="2"/>
  <c r="AB254" i="2"/>
  <c r="AA254" i="2"/>
  <c r="Z254" i="2"/>
  <c r="V254" i="2"/>
  <c r="U254" i="2"/>
  <c r="T254" i="2"/>
  <c r="C254" i="2"/>
  <c r="C253" i="2"/>
  <c r="T253" i="2"/>
  <c r="U253" i="2"/>
  <c r="V253" i="2"/>
  <c r="Z253" i="2"/>
  <c r="AA253" i="2"/>
  <c r="AB253" i="2"/>
  <c r="AC253" i="2"/>
  <c r="C252" i="2"/>
  <c r="T252" i="2"/>
  <c r="U252" i="2"/>
  <c r="V252" i="2"/>
  <c r="Z252" i="2"/>
  <c r="AA252" i="2"/>
  <c r="AB252" i="2"/>
  <c r="AC252" i="2"/>
  <c r="AC251" i="2"/>
  <c r="AB251" i="2"/>
  <c r="AA251" i="2"/>
  <c r="Z251" i="2"/>
  <c r="V251" i="2"/>
  <c r="U251" i="2"/>
  <c r="T251" i="2"/>
  <c r="C251" i="2"/>
  <c r="C250" i="2"/>
  <c r="T250" i="2"/>
  <c r="U250" i="2"/>
  <c r="V250" i="2"/>
  <c r="Z250" i="2"/>
  <c r="AA250" i="2"/>
  <c r="AB250" i="2"/>
  <c r="AC250" i="2"/>
  <c r="AC249" i="2"/>
  <c r="AB249" i="2"/>
  <c r="AA249" i="2"/>
  <c r="Z249" i="2"/>
  <c r="V249" i="2"/>
  <c r="U249" i="2"/>
  <c r="T249" i="2"/>
  <c r="C249" i="2"/>
  <c r="AC248" i="2"/>
  <c r="AB248" i="2"/>
  <c r="AA248" i="2"/>
  <c r="Z248" i="2"/>
  <c r="V248" i="2"/>
  <c r="U248" i="2"/>
  <c r="T248" i="2"/>
  <c r="C248" i="2"/>
  <c r="C247" i="2"/>
  <c r="T247" i="2"/>
  <c r="U247" i="2"/>
  <c r="V247" i="2"/>
  <c r="Z247" i="2"/>
  <c r="AA247" i="2"/>
  <c r="AB247" i="2"/>
  <c r="AC247" i="2"/>
  <c r="C246" i="2"/>
  <c r="T246" i="2"/>
  <c r="U246" i="2"/>
  <c r="V246" i="2"/>
  <c r="Z246" i="2"/>
  <c r="AA246" i="2"/>
  <c r="AB246" i="2"/>
  <c r="AC246" i="2"/>
  <c r="C245" i="2"/>
  <c r="T245" i="2"/>
  <c r="U245" i="2"/>
  <c r="V245" i="2"/>
  <c r="Z245" i="2"/>
  <c r="AA245" i="2"/>
  <c r="AB245" i="2"/>
  <c r="AC245" i="2"/>
  <c r="AC244" i="2"/>
  <c r="AB244" i="2"/>
  <c r="AA244" i="2"/>
  <c r="Z244" i="2"/>
  <c r="V244" i="2"/>
  <c r="U244" i="2"/>
  <c r="T244" i="2"/>
  <c r="C244" i="2"/>
  <c r="C243" i="2"/>
  <c r="T243" i="2"/>
  <c r="U243" i="2"/>
  <c r="V243" i="2"/>
  <c r="Z243" i="2"/>
  <c r="AA243" i="2"/>
  <c r="AB243" i="2"/>
  <c r="AC243" i="2"/>
  <c r="AC242" i="2"/>
  <c r="AB242" i="2"/>
  <c r="AA242" i="2"/>
  <c r="Z242" i="2"/>
  <c r="V242" i="2"/>
  <c r="U242" i="2"/>
  <c r="T242" i="2"/>
  <c r="C242" i="2"/>
  <c r="AC241" i="2"/>
  <c r="AB241" i="2"/>
  <c r="AA241" i="2"/>
  <c r="Z241" i="2"/>
  <c r="V241" i="2"/>
  <c r="U241" i="2"/>
  <c r="T241" i="2"/>
  <c r="C241" i="2"/>
  <c r="AC240" i="2"/>
  <c r="AB240" i="2"/>
  <c r="AA240" i="2"/>
  <c r="Z240" i="2"/>
  <c r="V240" i="2"/>
  <c r="U240" i="2"/>
  <c r="T240" i="2"/>
  <c r="C240" i="2"/>
  <c r="AC239" i="2"/>
  <c r="AB239" i="2"/>
  <c r="AA239" i="2"/>
  <c r="Z239" i="2"/>
  <c r="V239" i="2"/>
  <c r="U239" i="2"/>
  <c r="T239" i="2"/>
  <c r="C239" i="2"/>
  <c r="C238" i="2"/>
  <c r="T238" i="2"/>
  <c r="U238" i="2"/>
  <c r="V238" i="2"/>
  <c r="Z238" i="2"/>
  <c r="AA238" i="2"/>
  <c r="AB238" i="2"/>
  <c r="AC238" i="2"/>
  <c r="C237" i="2"/>
  <c r="T237" i="2"/>
  <c r="U237" i="2"/>
  <c r="V237" i="2"/>
  <c r="Z237" i="2"/>
  <c r="AA237" i="2"/>
  <c r="AB237" i="2"/>
  <c r="AC237" i="2"/>
  <c r="AC236" i="2"/>
  <c r="AB236" i="2"/>
  <c r="AA236" i="2"/>
  <c r="Z236" i="2"/>
  <c r="V236" i="2"/>
  <c r="U236" i="2"/>
  <c r="T236" i="2"/>
  <c r="C236" i="2"/>
  <c r="AC235" i="2"/>
  <c r="AB235" i="2"/>
  <c r="AA235" i="2"/>
  <c r="Z235" i="2"/>
  <c r="V235" i="2"/>
  <c r="U235" i="2"/>
  <c r="T235" i="2"/>
  <c r="C235" i="2"/>
  <c r="C234" i="2"/>
  <c r="T234" i="2"/>
  <c r="U234" i="2"/>
  <c r="V234" i="2"/>
  <c r="Z234" i="2"/>
  <c r="AA234" i="2"/>
  <c r="AB234" i="2"/>
  <c r="AC234" i="2"/>
  <c r="C233" i="2"/>
  <c r="T233" i="2"/>
  <c r="U233" i="2"/>
  <c r="V233" i="2"/>
  <c r="Z233" i="2"/>
  <c r="AA233" i="2"/>
  <c r="AB233" i="2"/>
  <c r="AC233" i="2"/>
  <c r="C232" i="2"/>
  <c r="T232" i="2"/>
  <c r="U232" i="2"/>
  <c r="V232" i="2"/>
  <c r="Z232" i="2"/>
  <c r="AA232" i="2"/>
  <c r="AB232" i="2"/>
  <c r="AC232" i="2"/>
  <c r="C231" i="2"/>
  <c r="T231" i="2"/>
  <c r="U231" i="2"/>
  <c r="V231" i="2"/>
  <c r="Z231" i="2"/>
  <c r="AA231" i="2"/>
  <c r="AB231" i="2"/>
  <c r="AC231" i="2"/>
  <c r="AC230" i="2"/>
  <c r="AB230" i="2"/>
  <c r="AA230" i="2"/>
  <c r="Z230" i="2"/>
  <c r="V230" i="2"/>
  <c r="U230" i="2"/>
  <c r="T230" i="2"/>
  <c r="C230" i="2"/>
  <c r="AC229" i="2"/>
  <c r="AB229" i="2"/>
  <c r="AA229" i="2"/>
  <c r="Z229" i="2"/>
  <c r="V229" i="2"/>
  <c r="U229" i="2"/>
  <c r="T229" i="2"/>
  <c r="C229" i="2"/>
  <c r="C228" i="2"/>
  <c r="T228" i="2"/>
  <c r="U228" i="2"/>
  <c r="V228" i="2"/>
  <c r="Z228" i="2"/>
  <c r="AA228" i="2"/>
  <c r="AB228" i="2"/>
  <c r="AC228" i="2"/>
  <c r="AC227" i="2"/>
  <c r="AB227" i="2"/>
  <c r="AA227" i="2"/>
  <c r="Z227" i="2"/>
  <c r="V227" i="2"/>
  <c r="U227" i="2"/>
  <c r="T227" i="2"/>
  <c r="C227" i="2"/>
  <c r="C226" i="2"/>
  <c r="T226" i="2"/>
  <c r="U226" i="2"/>
  <c r="V226" i="2"/>
  <c r="Z226" i="2"/>
  <c r="AA226" i="2"/>
  <c r="AB226" i="2"/>
  <c r="AC226" i="2"/>
  <c r="C225" i="2"/>
  <c r="T225" i="2"/>
  <c r="U225" i="2"/>
  <c r="V225" i="2"/>
  <c r="Z225" i="2"/>
  <c r="AA225" i="2"/>
  <c r="AB225" i="2"/>
  <c r="AC225" i="2"/>
  <c r="C224" i="2"/>
  <c r="T224" i="2"/>
  <c r="U224" i="2"/>
  <c r="V224" i="2"/>
  <c r="Z224" i="2"/>
  <c r="AA224" i="2"/>
  <c r="AB224" i="2"/>
  <c r="AC224" i="2"/>
  <c r="C223" i="2"/>
  <c r="T223" i="2"/>
  <c r="U223" i="2"/>
  <c r="V223" i="2"/>
  <c r="Z223" i="2"/>
  <c r="AA223" i="2"/>
  <c r="AB223" i="2"/>
  <c r="AC223" i="2"/>
  <c r="C222" i="2"/>
  <c r="T222" i="2"/>
  <c r="U222" i="2"/>
  <c r="V222" i="2"/>
  <c r="Z222" i="2"/>
  <c r="AA222" i="2"/>
  <c r="AB222" i="2"/>
  <c r="AC222" i="2"/>
  <c r="C221" i="2"/>
  <c r="T221" i="2"/>
  <c r="U221" i="2"/>
  <c r="V221" i="2"/>
  <c r="Z221" i="2"/>
  <c r="AA221" i="2"/>
  <c r="AB221" i="2"/>
  <c r="AC221" i="2"/>
  <c r="C220" i="2"/>
  <c r="T220" i="2"/>
  <c r="U220" i="2"/>
  <c r="V220" i="2"/>
  <c r="Z220" i="2"/>
  <c r="AA220" i="2"/>
  <c r="AB220" i="2"/>
  <c r="AC220" i="2"/>
  <c r="C219" i="2"/>
  <c r="T219" i="2"/>
  <c r="U219" i="2"/>
  <c r="V219" i="2"/>
  <c r="Z219" i="2"/>
  <c r="AA219" i="2"/>
  <c r="AB219" i="2"/>
  <c r="AC219" i="2"/>
  <c r="C218" i="2"/>
  <c r="T218" i="2"/>
  <c r="U218" i="2"/>
  <c r="V218" i="2"/>
  <c r="Z218" i="2"/>
  <c r="AA218" i="2"/>
  <c r="AB218" i="2"/>
  <c r="AC218" i="2"/>
  <c r="C217" i="2"/>
  <c r="T217" i="2"/>
  <c r="U217" i="2"/>
  <c r="V217" i="2"/>
  <c r="Z217" i="2"/>
  <c r="AA217" i="2"/>
  <c r="AB217" i="2"/>
  <c r="AC217" i="2"/>
  <c r="C216" i="2"/>
  <c r="T216" i="2"/>
  <c r="U216" i="2"/>
  <c r="V216" i="2"/>
  <c r="Z216" i="2"/>
  <c r="AA216" i="2"/>
  <c r="AB216" i="2"/>
  <c r="AC216" i="2"/>
  <c r="C215" i="2"/>
  <c r="T215" i="2"/>
  <c r="U215" i="2"/>
  <c r="V215" i="2"/>
  <c r="Z215" i="2"/>
  <c r="AA215" i="2"/>
  <c r="AB215" i="2"/>
  <c r="AC215" i="2"/>
  <c r="AC214" i="2"/>
  <c r="AB214" i="2"/>
  <c r="AA214" i="2"/>
  <c r="Z214" i="2"/>
  <c r="V214" i="2"/>
  <c r="U214" i="2"/>
  <c r="T214" i="2"/>
  <c r="C214" i="2"/>
  <c r="C213" i="2"/>
  <c r="T213" i="2"/>
  <c r="U213" i="2"/>
  <c r="V213" i="2"/>
  <c r="Z213" i="2"/>
  <c r="AA213" i="2"/>
  <c r="AB213" i="2"/>
  <c r="AC213" i="2"/>
  <c r="C212" i="2"/>
  <c r="T212" i="2"/>
  <c r="U212" i="2"/>
  <c r="V212" i="2"/>
  <c r="Z212" i="2"/>
  <c r="AA212" i="2"/>
  <c r="AB212" i="2"/>
  <c r="AC212" i="2"/>
  <c r="C211" i="2"/>
  <c r="T211" i="2"/>
  <c r="U211" i="2"/>
  <c r="V211" i="2"/>
  <c r="Z211" i="2"/>
  <c r="AA211" i="2"/>
  <c r="AB211" i="2"/>
  <c r="AC211" i="2"/>
  <c r="C210" i="2"/>
  <c r="T210" i="2"/>
  <c r="U210" i="2"/>
  <c r="V210" i="2"/>
  <c r="Z210" i="2"/>
  <c r="AA210" i="2"/>
  <c r="AB210" i="2"/>
  <c r="AC210" i="2"/>
  <c r="C209" i="2"/>
  <c r="T209" i="2"/>
  <c r="U209" i="2"/>
  <c r="V209" i="2"/>
  <c r="Z209" i="2"/>
  <c r="AA209" i="2"/>
  <c r="AB209" i="2"/>
  <c r="AC209" i="2"/>
  <c r="C208" i="2"/>
  <c r="T208" i="2"/>
  <c r="U208" i="2"/>
  <c r="V208" i="2"/>
  <c r="Z208" i="2"/>
  <c r="AA208" i="2"/>
  <c r="AB208" i="2"/>
  <c r="AC208" i="2"/>
  <c r="AC207" i="2"/>
  <c r="AB207" i="2"/>
  <c r="AA207" i="2"/>
  <c r="Z207" i="2"/>
  <c r="V207" i="2"/>
  <c r="U207" i="2"/>
  <c r="T207" i="2"/>
  <c r="C207" i="2"/>
  <c r="AC206" i="2"/>
  <c r="AB206" i="2"/>
  <c r="AA206" i="2"/>
  <c r="Z206" i="2"/>
  <c r="V206" i="2"/>
  <c r="U206" i="2"/>
  <c r="T206" i="2"/>
  <c r="C206" i="2"/>
  <c r="AC205" i="2"/>
  <c r="AB205" i="2"/>
  <c r="AA205" i="2"/>
  <c r="Z205" i="2"/>
  <c r="V205" i="2"/>
  <c r="U205" i="2"/>
  <c r="T205" i="2"/>
  <c r="C205" i="2"/>
  <c r="AC204" i="2"/>
  <c r="AB204" i="2"/>
  <c r="AA204" i="2"/>
  <c r="Z204" i="2"/>
  <c r="V204" i="2"/>
  <c r="U204" i="2"/>
  <c r="T204" i="2"/>
  <c r="C204" i="2"/>
  <c r="C203" i="2"/>
  <c r="T203" i="2"/>
  <c r="U203" i="2"/>
  <c r="V203" i="2"/>
  <c r="Z203" i="2"/>
  <c r="AA203" i="2"/>
  <c r="AB203" i="2"/>
  <c r="AC203" i="2"/>
  <c r="C202" i="2"/>
  <c r="T202" i="2"/>
  <c r="U202" i="2"/>
  <c r="V202" i="2"/>
  <c r="Z202" i="2"/>
  <c r="AA202" i="2"/>
  <c r="AB202" i="2"/>
  <c r="AC202" i="2"/>
  <c r="AC201" i="2"/>
  <c r="AB201" i="2"/>
  <c r="AA201" i="2"/>
  <c r="Z201" i="2"/>
  <c r="V201" i="2"/>
  <c r="U201" i="2"/>
  <c r="T201" i="2"/>
  <c r="C201" i="2"/>
  <c r="C200" i="2"/>
  <c r="T200" i="2"/>
  <c r="U200" i="2"/>
  <c r="V200" i="2"/>
  <c r="Z200" i="2"/>
  <c r="AA200" i="2"/>
  <c r="AB200" i="2"/>
  <c r="AC200" i="2"/>
  <c r="C199" i="2"/>
  <c r="T199" i="2"/>
  <c r="U199" i="2"/>
  <c r="V199" i="2"/>
  <c r="Z199" i="2"/>
  <c r="AA199" i="2"/>
  <c r="AB199" i="2"/>
  <c r="AC199" i="2"/>
  <c r="C198" i="2"/>
  <c r="T198" i="2"/>
  <c r="U198" i="2"/>
  <c r="V198" i="2"/>
  <c r="Z198" i="2"/>
  <c r="AA198" i="2"/>
  <c r="AB198" i="2"/>
  <c r="AC198" i="2"/>
  <c r="C197" i="2"/>
  <c r="T197" i="2"/>
  <c r="U197" i="2"/>
  <c r="V197" i="2"/>
  <c r="Z197" i="2"/>
  <c r="AA197" i="2"/>
  <c r="AB197" i="2"/>
  <c r="AC197" i="2"/>
  <c r="C196" i="2"/>
  <c r="T196" i="2"/>
  <c r="U196" i="2"/>
  <c r="V196" i="2"/>
  <c r="Z196" i="2"/>
  <c r="AA196" i="2"/>
  <c r="AB196" i="2"/>
  <c r="AC196" i="2"/>
  <c r="C195" i="2"/>
  <c r="T195" i="2"/>
  <c r="U195" i="2"/>
  <c r="V195" i="2"/>
  <c r="Z195" i="2"/>
  <c r="AA195" i="2"/>
  <c r="AB195" i="2"/>
  <c r="AC195" i="2"/>
  <c r="AC194" i="2"/>
  <c r="AB194" i="2"/>
  <c r="AA194" i="2"/>
  <c r="Z194" i="2"/>
  <c r="V194" i="2"/>
  <c r="U194" i="2"/>
  <c r="T194" i="2"/>
  <c r="C194" i="2"/>
  <c r="C193" i="2"/>
  <c r="T193" i="2"/>
  <c r="U193" i="2"/>
  <c r="V193" i="2"/>
  <c r="Z193" i="2"/>
  <c r="AA193" i="2"/>
  <c r="AB193" i="2"/>
  <c r="AC193" i="2"/>
  <c r="C192" i="2"/>
  <c r="T192" i="2"/>
  <c r="U192" i="2"/>
  <c r="V192" i="2"/>
  <c r="Z192" i="2"/>
  <c r="AA192" i="2"/>
  <c r="AB192" i="2"/>
  <c r="AC192" i="2"/>
  <c r="C191" i="2"/>
  <c r="T191" i="2"/>
  <c r="U191" i="2"/>
  <c r="V191" i="2"/>
  <c r="Z191" i="2"/>
  <c r="AA191" i="2"/>
  <c r="AB191" i="2"/>
  <c r="AC191" i="2"/>
  <c r="C190" i="2"/>
  <c r="T190" i="2"/>
  <c r="U190" i="2"/>
  <c r="V190" i="2"/>
  <c r="Z190" i="2"/>
  <c r="AA190" i="2"/>
  <c r="AB190" i="2"/>
  <c r="AC190" i="2"/>
  <c r="C189" i="2"/>
  <c r="T189" i="2"/>
  <c r="U189" i="2"/>
  <c r="V189" i="2"/>
  <c r="Z189" i="2"/>
  <c r="AA189" i="2"/>
  <c r="AB189" i="2"/>
  <c r="AC189" i="2"/>
  <c r="AC188" i="2"/>
  <c r="AB188" i="2"/>
  <c r="AA188" i="2"/>
  <c r="Z188" i="2"/>
  <c r="V188" i="2"/>
  <c r="U188" i="2"/>
  <c r="T188" i="2"/>
  <c r="C188" i="2"/>
  <c r="C187" i="2"/>
  <c r="T187" i="2"/>
  <c r="U187" i="2"/>
  <c r="V187" i="2"/>
  <c r="Z187" i="2"/>
  <c r="AA187" i="2"/>
  <c r="AB187" i="2"/>
  <c r="AC187" i="2"/>
  <c r="C186" i="2"/>
  <c r="T186" i="2"/>
  <c r="U186" i="2"/>
  <c r="V186" i="2"/>
  <c r="Z186" i="2"/>
  <c r="AA186" i="2"/>
  <c r="AB186" i="2"/>
  <c r="AC186" i="2"/>
  <c r="C185" i="2"/>
  <c r="T185" i="2"/>
  <c r="U185" i="2"/>
  <c r="V185" i="2"/>
  <c r="Z185" i="2"/>
  <c r="AA185" i="2"/>
  <c r="AB185" i="2"/>
  <c r="AC185" i="2"/>
  <c r="AC184" i="2"/>
  <c r="AB184" i="2"/>
  <c r="AA184" i="2"/>
  <c r="Z184" i="2"/>
  <c r="V184" i="2"/>
  <c r="U184" i="2"/>
  <c r="T184" i="2"/>
  <c r="C184" i="2"/>
  <c r="AC183" i="2"/>
  <c r="AB183" i="2"/>
  <c r="AA183" i="2"/>
  <c r="Z183" i="2"/>
  <c r="V183" i="2"/>
  <c r="U183" i="2"/>
  <c r="T183" i="2"/>
  <c r="C183" i="2"/>
  <c r="AC182" i="2"/>
  <c r="AB182" i="2"/>
  <c r="AA182" i="2"/>
  <c r="Z182" i="2"/>
  <c r="V182" i="2"/>
  <c r="U182" i="2"/>
  <c r="T182" i="2"/>
  <c r="C182" i="2"/>
  <c r="AC181" i="2"/>
  <c r="AB181" i="2"/>
  <c r="AA181" i="2"/>
  <c r="Z181" i="2"/>
  <c r="V181" i="2"/>
  <c r="U181" i="2"/>
  <c r="T181" i="2"/>
  <c r="C181" i="2"/>
  <c r="C180" i="2"/>
  <c r="T180" i="2"/>
  <c r="U180" i="2"/>
  <c r="V180" i="2"/>
  <c r="Z180" i="2"/>
  <c r="AA180" i="2"/>
  <c r="AB180" i="2"/>
  <c r="AC180" i="2"/>
  <c r="C179" i="2"/>
  <c r="T179" i="2"/>
  <c r="U179" i="2"/>
  <c r="V179" i="2"/>
  <c r="Z179" i="2"/>
  <c r="AA179" i="2"/>
  <c r="AB179" i="2"/>
  <c r="AC179" i="2"/>
  <c r="C178" i="2"/>
  <c r="T178" i="2"/>
  <c r="U178" i="2"/>
  <c r="V178" i="2"/>
  <c r="Z178" i="2"/>
  <c r="AA178" i="2"/>
  <c r="AB178" i="2"/>
  <c r="AC178" i="2"/>
  <c r="C177" i="2"/>
  <c r="T177" i="2"/>
  <c r="U177" i="2"/>
  <c r="V177" i="2"/>
  <c r="Z177" i="2"/>
  <c r="AA177" i="2"/>
  <c r="AB177" i="2"/>
  <c r="AC177" i="2"/>
  <c r="C176" i="2"/>
  <c r="T176" i="2"/>
  <c r="U176" i="2"/>
  <c r="V176" i="2"/>
  <c r="Z176" i="2"/>
  <c r="AA176" i="2"/>
  <c r="AB176" i="2"/>
  <c r="AC176" i="2"/>
  <c r="C175" i="2"/>
  <c r="T175" i="2"/>
  <c r="U175" i="2"/>
  <c r="V175" i="2"/>
  <c r="Z175" i="2"/>
  <c r="AA175" i="2"/>
  <c r="AB175" i="2"/>
  <c r="AC175" i="2"/>
  <c r="C174" i="2"/>
  <c r="T174" i="2"/>
  <c r="U174" i="2"/>
  <c r="V174" i="2"/>
  <c r="Z174" i="2"/>
  <c r="AA174" i="2"/>
  <c r="AB174" i="2"/>
  <c r="AC174" i="2"/>
  <c r="AC173" i="2"/>
  <c r="AB173" i="2"/>
  <c r="AA173" i="2"/>
  <c r="Z173" i="2"/>
  <c r="V173" i="2"/>
  <c r="U173" i="2"/>
  <c r="T173" i="2"/>
  <c r="C173" i="2"/>
  <c r="AC172" i="2"/>
  <c r="AB172" i="2"/>
  <c r="AA172" i="2"/>
  <c r="Z172" i="2"/>
  <c r="V172" i="2"/>
  <c r="U172" i="2"/>
  <c r="T172" i="2"/>
  <c r="C172" i="2"/>
  <c r="AC171" i="2"/>
  <c r="AB171" i="2"/>
  <c r="AA171" i="2"/>
  <c r="Z171" i="2"/>
  <c r="V171" i="2"/>
  <c r="U171" i="2"/>
  <c r="T171" i="2"/>
  <c r="C171" i="2"/>
  <c r="AC170" i="2"/>
  <c r="AB170" i="2"/>
  <c r="AA170" i="2"/>
  <c r="Z170" i="2"/>
  <c r="V170" i="2"/>
  <c r="U170" i="2"/>
  <c r="T170" i="2"/>
  <c r="C170" i="2"/>
  <c r="AC169" i="2"/>
  <c r="AB169" i="2"/>
  <c r="AA169" i="2"/>
  <c r="Z169" i="2"/>
  <c r="V169" i="2"/>
  <c r="U169" i="2"/>
  <c r="T169" i="2"/>
  <c r="C169" i="2"/>
  <c r="C168" i="2"/>
  <c r="T168" i="2"/>
  <c r="U168" i="2"/>
  <c r="V168" i="2"/>
  <c r="Z168" i="2"/>
  <c r="AA168" i="2"/>
  <c r="AB168" i="2"/>
  <c r="AC168" i="2"/>
  <c r="C167" i="2"/>
  <c r="T167" i="2"/>
  <c r="U167" i="2"/>
  <c r="V167" i="2"/>
  <c r="Z167" i="2"/>
  <c r="AA167" i="2"/>
  <c r="AB167" i="2"/>
  <c r="AC167" i="2"/>
  <c r="AC166" i="2"/>
  <c r="AB166" i="2"/>
  <c r="AA166" i="2"/>
  <c r="Z166" i="2"/>
  <c r="V166" i="2"/>
  <c r="U166" i="2"/>
  <c r="T166" i="2"/>
  <c r="C166" i="2"/>
  <c r="AC165" i="2"/>
  <c r="AB165" i="2"/>
  <c r="AA165" i="2"/>
  <c r="Z165" i="2"/>
  <c r="V165" i="2"/>
  <c r="U165" i="2"/>
  <c r="T165" i="2"/>
  <c r="C165" i="2"/>
  <c r="C164" i="2"/>
  <c r="T164" i="2"/>
  <c r="U164" i="2"/>
  <c r="V164" i="2"/>
  <c r="Z164" i="2"/>
  <c r="AA164" i="2"/>
  <c r="AB164" i="2"/>
  <c r="AC164" i="2"/>
  <c r="AC163" i="2"/>
  <c r="AB163" i="2"/>
  <c r="AA163" i="2"/>
  <c r="Z163" i="2"/>
  <c r="V163" i="2"/>
  <c r="U163" i="2"/>
  <c r="T163" i="2"/>
  <c r="C163" i="2"/>
  <c r="AC162" i="2"/>
  <c r="AB162" i="2"/>
  <c r="AA162" i="2"/>
  <c r="Z162" i="2"/>
  <c r="V162" i="2"/>
  <c r="U162" i="2"/>
  <c r="T162" i="2"/>
  <c r="C162" i="2"/>
  <c r="AC161" i="2"/>
  <c r="AB161" i="2"/>
  <c r="AA161" i="2"/>
  <c r="Z161" i="2"/>
  <c r="V161" i="2"/>
  <c r="U161" i="2"/>
  <c r="T161" i="2"/>
  <c r="C161" i="2"/>
  <c r="AC160" i="2"/>
  <c r="AB160" i="2"/>
  <c r="AA160" i="2"/>
  <c r="Z160" i="2"/>
  <c r="V160" i="2"/>
  <c r="U160" i="2"/>
  <c r="T160" i="2"/>
  <c r="C160" i="2"/>
  <c r="AC159" i="2"/>
  <c r="AB159" i="2"/>
  <c r="AA159" i="2"/>
  <c r="Z159" i="2"/>
  <c r="V159" i="2"/>
  <c r="U159" i="2"/>
  <c r="T159" i="2"/>
  <c r="C159" i="2"/>
  <c r="C158" i="2"/>
  <c r="T158" i="2"/>
  <c r="U158" i="2"/>
  <c r="V158" i="2"/>
  <c r="Z158" i="2"/>
  <c r="AA158" i="2"/>
  <c r="AB158" i="2"/>
  <c r="AC158" i="2"/>
  <c r="C157" i="2"/>
  <c r="T157" i="2"/>
  <c r="U157" i="2"/>
  <c r="V157" i="2"/>
  <c r="Z157" i="2"/>
  <c r="AA157" i="2"/>
  <c r="AB157" i="2"/>
  <c r="AC157" i="2"/>
  <c r="AC156" i="2"/>
  <c r="AB156" i="2"/>
  <c r="AA156" i="2"/>
  <c r="Z156" i="2"/>
  <c r="V156" i="2"/>
  <c r="U156" i="2"/>
  <c r="T156" i="2"/>
  <c r="C156" i="2"/>
  <c r="C155" i="2"/>
  <c r="T155" i="2"/>
  <c r="U155" i="2"/>
  <c r="V155" i="2"/>
  <c r="Z155" i="2"/>
  <c r="AA155" i="2"/>
  <c r="AB155" i="2"/>
  <c r="AC155" i="2"/>
  <c r="C154" i="2"/>
  <c r="T154" i="2"/>
  <c r="U154" i="2"/>
  <c r="V154" i="2"/>
  <c r="Z154" i="2"/>
  <c r="AA154" i="2"/>
  <c r="AB154" i="2"/>
  <c r="AC154" i="2"/>
  <c r="AC153" i="2"/>
  <c r="AB153" i="2"/>
  <c r="AA153" i="2"/>
  <c r="Z153" i="2"/>
  <c r="V153" i="2"/>
  <c r="U153" i="2"/>
  <c r="T153" i="2"/>
  <c r="C153" i="2"/>
  <c r="AC152" i="2"/>
  <c r="AB152" i="2"/>
  <c r="AA152" i="2"/>
  <c r="Z152" i="2"/>
  <c r="V152" i="2"/>
  <c r="U152" i="2"/>
  <c r="T152" i="2"/>
  <c r="C152" i="2"/>
  <c r="C151" i="2"/>
  <c r="T151" i="2"/>
  <c r="U151" i="2"/>
  <c r="V151" i="2"/>
  <c r="Z151" i="2"/>
  <c r="AA151" i="2"/>
  <c r="AB151" i="2"/>
  <c r="AC151" i="2"/>
  <c r="AC150" i="2"/>
  <c r="AB150" i="2"/>
  <c r="AA150" i="2"/>
  <c r="Z150" i="2"/>
  <c r="V150" i="2"/>
  <c r="U150" i="2"/>
  <c r="T150" i="2"/>
  <c r="C150" i="2"/>
  <c r="C149" i="2"/>
  <c r="T149" i="2"/>
  <c r="U149" i="2"/>
  <c r="V149" i="2"/>
  <c r="Z149" i="2"/>
  <c r="AA149" i="2"/>
  <c r="AB149" i="2"/>
  <c r="AC149" i="2"/>
  <c r="AC148" i="2"/>
  <c r="AB148" i="2"/>
  <c r="AA148" i="2"/>
  <c r="Z148" i="2"/>
  <c r="V148" i="2"/>
  <c r="U148" i="2"/>
  <c r="T148" i="2"/>
  <c r="C148" i="2"/>
  <c r="AC147" i="2"/>
  <c r="AB147" i="2"/>
  <c r="AA147" i="2"/>
  <c r="Z147" i="2"/>
  <c r="V147" i="2"/>
  <c r="U147" i="2"/>
  <c r="T147" i="2"/>
  <c r="C147" i="2"/>
  <c r="AC146" i="2"/>
  <c r="AB146" i="2"/>
  <c r="AA146" i="2"/>
  <c r="Z146" i="2"/>
  <c r="V146" i="2"/>
  <c r="U146" i="2"/>
  <c r="T146" i="2"/>
  <c r="C146" i="2"/>
  <c r="AC145" i="2"/>
  <c r="AB145" i="2"/>
  <c r="AA145" i="2"/>
  <c r="Z145" i="2"/>
  <c r="V145" i="2"/>
  <c r="U145" i="2"/>
  <c r="T145" i="2"/>
  <c r="C145" i="2"/>
  <c r="C144" i="2"/>
  <c r="T144" i="2"/>
  <c r="U144" i="2"/>
  <c r="V144" i="2"/>
  <c r="Z144" i="2"/>
  <c r="AA144" i="2"/>
  <c r="AB144" i="2"/>
  <c r="AC144" i="2"/>
  <c r="C143" i="2"/>
  <c r="T143" i="2"/>
  <c r="U143" i="2"/>
  <c r="V143" i="2"/>
  <c r="Z143" i="2"/>
  <c r="AA143" i="2"/>
  <c r="AB143" i="2"/>
  <c r="AC143" i="2"/>
  <c r="C142" i="2"/>
  <c r="T142" i="2"/>
  <c r="U142" i="2"/>
  <c r="V142" i="2"/>
  <c r="Z142" i="2"/>
  <c r="AA142" i="2"/>
  <c r="AB142" i="2"/>
  <c r="AC142" i="2"/>
  <c r="AC141" i="2"/>
  <c r="AB141" i="2"/>
  <c r="AA141" i="2"/>
  <c r="Z141" i="2"/>
  <c r="V141" i="2"/>
  <c r="U141" i="2"/>
  <c r="T141" i="2"/>
  <c r="C141" i="2"/>
  <c r="C140" i="2"/>
  <c r="T140" i="2"/>
  <c r="U140" i="2"/>
  <c r="V140" i="2"/>
  <c r="Z140" i="2"/>
  <c r="AA140" i="2"/>
  <c r="AB140" i="2"/>
  <c r="AC140" i="2"/>
  <c r="C139" i="2"/>
  <c r="T139" i="2"/>
  <c r="U139" i="2"/>
  <c r="V139" i="2"/>
  <c r="Z139" i="2"/>
  <c r="AA139" i="2"/>
  <c r="AB139" i="2"/>
  <c r="AC139" i="2"/>
  <c r="C138" i="2"/>
  <c r="T138" i="2"/>
  <c r="U138" i="2"/>
  <c r="V138" i="2"/>
  <c r="Z138" i="2"/>
  <c r="AA138" i="2"/>
  <c r="AB138" i="2"/>
  <c r="AC138" i="2"/>
  <c r="C137" i="2"/>
  <c r="T137" i="2"/>
  <c r="U137" i="2"/>
  <c r="V137" i="2"/>
  <c r="Z137" i="2"/>
  <c r="AA137" i="2"/>
  <c r="AB137" i="2"/>
  <c r="AC137" i="2"/>
  <c r="C136" i="2"/>
  <c r="T136" i="2"/>
  <c r="U136" i="2"/>
  <c r="V136" i="2"/>
  <c r="Z136" i="2"/>
  <c r="AA136" i="2"/>
  <c r="AB136" i="2"/>
  <c r="AC136" i="2"/>
  <c r="AC135" i="2"/>
  <c r="AB135" i="2"/>
  <c r="AA135" i="2"/>
  <c r="Z135" i="2"/>
  <c r="V135" i="2"/>
  <c r="U135" i="2"/>
  <c r="T135" i="2"/>
  <c r="C135" i="2"/>
  <c r="AC134" i="2"/>
  <c r="AB134" i="2"/>
  <c r="AA134" i="2"/>
  <c r="Z134" i="2"/>
  <c r="V134" i="2"/>
  <c r="U134" i="2"/>
  <c r="T134" i="2"/>
  <c r="C134" i="2"/>
  <c r="AC133" i="2"/>
  <c r="AB133" i="2"/>
  <c r="AA133" i="2"/>
  <c r="Z133" i="2"/>
  <c r="V133" i="2"/>
  <c r="U133" i="2"/>
  <c r="T133" i="2"/>
  <c r="C133" i="2"/>
  <c r="AC132" i="2"/>
  <c r="AB132" i="2"/>
  <c r="AA132" i="2"/>
  <c r="Z132" i="2"/>
  <c r="V132" i="2"/>
  <c r="U132" i="2"/>
  <c r="T132" i="2"/>
  <c r="C132" i="2"/>
  <c r="AC131" i="2"/>
  <c r="AB131" i="2"/>
  <c r="AA131" i="2"/>
  <c r="Z131" i="2"/>
  <c r="V131" i="2"/>
  <c r="U131" i="2"/>
  <c r="T131" i="2"/>
  <c r="C131" i="2"/>
  <c r="AC130" i="2"/>
  <c r="AB130" i="2"/>
  <c r="AA130" i="2"/>
  <c r="Z130" i="2"/>
  <c r="V130" i="2"/>
  <c r="U130" i="2"/>
  <c r="T130" i="2"/>
  <c r="C130" i="2"/>
  <c r="AC129" i="2"/>
  <c r="AB129" i="2"/>
  <c r="AA129" i="2"/>
  <c r="Z129" i="2"/>
  <c r="V129" i="2"/>
  <c r="U129" i="2"/>
  <c r="T129" i="2"/>
  <c r="C129" i="2"/>
  <c r="C128" i="2"/>
  <c r="T128" i="2"/>
  <c r="U128" i="2"/>
  <c r="V128" i="2"/>
  <c r="Z128" i="2"/>
  <c r="AA128" i="2"/>
  <c r="AB128" i="2"/>
  <c r="AC128" i="2"/>
  <c r="AC127" i="2"/>
  <c r="AB127" i="2"/>
  <c r="AA127" i="2"/>
  <c r="Z127" i="2"/>
  <c r="V127" i="2"/>
  <c r="U127" i="2"/>
  <c r="T127" i="2"/>
  <c r="C127" i="2"/>
  <c r="AC126" i="2"/>
  <c r="AB126" i="2"/>
  <c r="AA126" i="2"/>
  <c r="Z126" i="2"/>
  <c r="V126" i="2"/>
  <c r="U126" i="2"/>
  <c r="T126" i="2"/>
  <c r="C126" i="2"/>
  <c r="AC125" i="2"/>
  <c r="AB125" i="2"/>
  <c r="AA125" i="2"/>
  <c r="Z125" i="2"/>
  <c r="V125" i="2"/>
  <c r="U125" i="2"/>
  <c r="T125" i="2"/>
  <c r="C125" i="2"/>
  <c r="C124" i="2"/>
  <c r="T124" i="2"/>
  <c r="U124" i="2"/>
  <c r="V124" i="2"/>
  <c r="Z124" i="2"/>
  <c r="AA124" i="2"/>
  <c r="AB124" i="2"/>
  <c r="AC124" i="2"/>
  <c r="C123" i="2"/>
  <c r="T123" i="2"/>
  <c r="U123" i="2"/>
  <c r="V123" i="2"/>
  <c r="Z123" i="2"/>
  <c r="AA123" i="2"/>
  <c r="AB123" i="2"/>
  <c r="AC123" i="2"/>
  <c r="C122" i="2"/>
  <c r="T122" i="2"/>
  <c r="U122" i="2"/>
  <c r="V122" i="2"/>
  <c r="Z122" i="2"/>
  <c r="AA122" i="2"/>
  <c r="AB122" i="2"/>
  <c r="AC122" i="2"/>
  <c r="C121" i="2"/>
  <c r="T121" i="2"/>
  <c r="U121" i="2"/>
  <c r="V121" i="2"/>
  <c r="Z121" i="2"/>
  <c r="AA121" i="2"/>
  <c r="AB121" i="2"/>
  <c r="AC121" i="2"/>
  <c r="N116" i="2"/>
  <c r="N115" i="2"/>
  <c r="N114" i="2"/>
  <c r="N113" i="2"/>
  <c r="N112" i="2"/>
  <c r="N111" i="2"/>
  <c r="N109" i="2"/>
  <c r="N108" i="2"/>
  <c r="N106" i="2"/>
  <c r="N103" i="2"/>
  <c r="N98" i="2"/>
  <c r="N97" i="2"/>
  <c r="N96" i="2"/>
  <c r="N95" i="2"/>
  <c r="N94" i="2"/>
  <c r="N93" i="2"/>
  <c r="N92" i="2"/>
  <c r="N91" i="2"/>
  <c r="N89" i="2"/>
  <c r="N88" i="2"/>
  <c r="N87" i="2"/>
  <c r="N86" i="2"/>
  <c r="N82" i="2"/>
  <c r="N81" i="2"/>
  <c r="N80" i="2"/>
  <c r="N79" i="2"/>
  <c r="N78" i="2"/>
  <c r="N77" i="2"/>
  <c r="N76" i="2"/>
  <c r="N75" i="2"/>
  <c r="N74" i="2"/>
  <c r="N72" i="2"/>
  <c r="N70" i="2"/>
  <c r="N69" i="2"/>
  <c r="N68" i="2"/>
  <c r="N67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5" i="2"/>
  <c r="N44" i="2"/>
  <c r="N43" i="2"/>
  <c r="N42" i="2"/>
  <c r="N39" i="2"/>
  <c r="N38" i="2"/>
  <c r="N37" i="2"/>
  <c r="N34" i="2"/>
  <c r="N33" i="2"/>
  <c r="N32" i="2"/>
  <c r="N31" i="2"/>
  <c r="N30" i="2"/>
  <c r="N29" i="2"/>
  <c r="N28" i="2"/>
  <c r="N27" i="2"/>
  <c r="N26" i="2"/>
  <c r="N25" i="2"/>
  <c r="N24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L3" i="1" a="1"/>
  <c r="L3" i="1"/>
  <c r="AC120" i="2"/>
  <c r="AB120" i="2"/>
  <c r="AA120" i="2"/>
  <c r="Z120" i="2"/>
  <c r="V120" i="2"/>
  <c r="U120" i="2"/>
  <c r="T120" i="2"/>
  <c r="C120" i="2"/>
  <c r="AC119" i="2"/>
  <c r="AB119" i="2"/>
  <c r="AA119" i="2"/>
  <c r="Z119" i="2"/>
  <c r="V119" i="2"/>
  <c r="U119" i="2"/>
  <c r="T119" i="2"/>
  <c r="C119" i="2"/>
  <c r="AC118" i="2"/>
  <c r="AB118" i="2"/>
  <c r="AA118" i="2"/>
  <c r="Z118" i="2"/>
  <c r="V118" i="2"/>
  <c r="U118" i="2"/>
  <c r="T118" i="2"/>
  <c r="C118" i="2"/>
  <c r="AC117" i="2"/>
  <c r="AB117" i="2"/>
  <c r="AA117" i="2"/>
  <c r="Z117" i="2"/>
  <c r="V117" i="2"/>
  <c r="U117" i="2"/>
  <c r="T117" i="2"/>
  <c r="C117" i="2"/>
  <c r="AC116" i="2"/>
  <c r="AB116" i="2"/>
  <c r="AA116" i="2"/>
  <c r="Z116" i="2"/>
  <c r="V116" i="2"/>
  <c r="U116" i="2"/>
  <c r="T116" i="2"/>
  <c r="C116" i="2"/>
  <c r="C115" i="2"/>
  <c r="T115" i="2"/>
  <c r="U115" i="2"/>
  <c r="V115" i="2"/>
  <c r="Z115" i="2"/>
  <c r="AA115" i="2"/>
  <c r="AB115" i="2"/>
  <c r="AC115" i="2"/>
  <c r="C114" i="2"/>
  <c r="T114" i="2"/>
  <c r="U114" i="2"/>
  <c r="V114" i="2"/>
  <c r="Z114" i="2"/>
  <c r="AA114" i="2"/>
  <c r="AB114" i="2"/>
  <c r="AC114" i="2"/>
  <c r="C113" i="2"/>
  <c r="T113" i="2"/>
  <c r="U113" i="2"/>
  <c r="V113" i="2"/>
  <c r="Z113" i="2"/>
  <c r="AA113" i="2"/>
  <c r="AB113" i="2"/>
  <c r="AC113" i="2"/>
  <c r="C112" i="2"/>
  <c r="T112" i="2"/>
  <c r="U112" i="2"/>
  <c r="V112" i="2"/>
  <c r="Z112" i="2"/>
  <c r="AA112" i="2"/>
  <c r="AB112" i="2"/>
  <c r="AC112" i="2"/>
  <c r="C111" i="2"/>
  <c r="T111" i="2"/>
  <c r="U111" i="2"/>
  <c r="V111" i="2"/>
  <c r="Z111" i="2"/>
  <c r="AA111" i="2"/>
  <c r="AB111" i="2"/>
  <c r="AC111" i="2"/>
  <c r="AC110" i="2"/>
  <c r="AB110" i="2"/>
  <c r="AA110" i="2"/>
  <c r="Z110" i="2"/>
  <c r="V110" i="2"/>
  <c r="U110" i="2"/>
  <c r="T110" i="2"/>
  <c r="C110" i="2"/>
  <c r="C109" i="2"/>
  <c r="T109" i="2"/>
  <c r="U109" i="2"/>
  <c r="V109" i="2"/>
  <c r="Z109" i="2"/>
  <c r="AA109" i="2"/>
  <c r="AB109" i="2"/>
  <c r="AC109" i="2"/>
  <c r="AC108" i="2"/>
  <c r="AB108" i="2"/>
  <c r="AA108" i="2"/>
  <c r="Z108" i="2"/>
  <c r="V108" i="2"/>
  <c r="U108" i="2"/>
  <c r="T108" i="2"/>
  <c r="C108" i="2"/>
  <c r="AC107" i="2"/>
  <c r="AB107" i="2"/>
  <c r="AA107" i="2"/>
  <c r="Z107" i="2"/>
  <c r="V107" i="2"/>
  <c r="U107" i="2"/>
  <c r="T107" i="2"/>
  <c r="C107" i="2"/>
  <c r="C106" i="2"/>
  <c r="T106" i="2"/>
  <c r="U106" i="2"/>
  <c r="V106" i="2"/>
  <c r="Z106" i="2"/>
  <c r="AA106" i="2"/>
  <c r="AB106" i="2"/>
  <c r="AC106" i="2"/>
  <c r="C105" i="2"/>
  <c r="T105" i="2"/>
  <c r="U105" i="2"/>
  <c r="V105" i="2"/>
  <c r="Z105" i="2"/>
  <c r="AA105" i="2"/>
  <c r="AB105" i="2"/>
  <c r="AC105" i="2"/>
  <c r="AC104" i="2"/>
  <c r="AB104" i="2"/>
  <c r="AA104" i="2"/>
  <c r="Z104" i="2"/>
  <c r="V104" i="2"/>
  <c r="U104" i="2"/>
  <c r="T104" i="2"/>
  <c r="C104" i="2"/>
  <c r="C103" i="2"/>
  <c r="T103" i="2"/>
  <c r="U103" i="2"/>
  <c r="V103" i="2"/>
  <c r="Z103" i="2"/>
  <c r="AA103" i="2"/>
  <c r="AB103" i="2"/>
  <c r="AC103" i="2"/>
  <c r="C102" i="2"/>
  <c r="T102" i="2"/>
  <c r="U102" i="2"/>
  <c r="V102" i="2"/>
  <c r="Z102" i="2"/>
  <c r="AA102" i="2"/>
  <c r="AB102" i="2"/>
  <c r="AC102" i="2"/>
  <c r="C101" i="2"/>
  <c r="T101" i="2"/>
  <c r="U101" i="2"/>
  <c r="V101" i="2"/>
  <c r="Z101" i="2"/>
  <c r="AA101" i="2"/>
  <c r="AB101" i="2"/>
  <c r="AC101" i="2"/>
  <c r="C100" i="2"/>
  <c r="T100" i="2"/>
  <c r="U100" i="2"/>
  <c r="V100" i="2"/>
  <c r="Z100" i="2"/>
  <c r="AA100" i="2"/>
  <c r="AB100" i="2"/>
  <c r="AC100" i="2"/>
  <c r="AC99" i="2"/>
  <c r="AB99" i="2"/>
  <c r="AA99" i="2"/>
  <c r="Z99" i="2"/>
  <c r="V99" i="2"/>
  <c r="U99" i="2"/>
  <c r="T99" i="2"/>
  <c r="C99" i="2"/>
  <c r="C98" i="2"/>
  <c r="T98" i="2"/>
  <c r="U98" i="2"/>
  <c r="V98" i="2"/>
  <c r="Z98" i="2"/>
  <c r="AA98" i="2"/>
  <c r="AB98" i="2"/>
  <c r="AC98" i="2"/>
  <c r="AC97" i="2"/>
  <c r="AB97" i="2"/>
  <c r="AA97" i="2"/>
  <c r="Z97" i="2"/>
  <c r="V97" i="2"/>
  <c r="U97" i="2"/>
  <c r="T97" i="2"/>
  <c r="C97" i="2"/>
  <c r="AC96" i="2"/>
  <c r="AB96" i="2"/>
  <c r="AA96" i="2"/>
  <c r="Z96" i="2"/>
  <c r="V96" i="2"/>
  <c r="U96" i="2"/>
  <c r="T96" i="2"/>
  <c r="C96" i="2"/>
  <c r="AC95" i="2"/>
  <c r="AB95" i="2"/>
  <c r="AA95" i="2"/>
  <c r="Z95" i="2"/>
  <c r="V95" i="2"/>
  <c r="U95" i="2"/>
  <c r="T95" i="2"/>
  <c r="C95" i="2"/>
  <c r="AC94" i="2"/>
  <c r="AB94" i="2"/>
  <c r="AA94" i="2"/>
  <c r="Z94" i="2"/>
  <c r="V94" i="2"/>
  <c r="U94" i="2"/>
  <c r="T94" i="2"/>
  <c r="C94" i="2"/>
  <c r="C93" i="2"/>
  <c r="T93" i="2"/>
  <c r="U93" i="2"/>
  <c r="V93" i="2"/>
  <c r="Z93" i="2"/>
  <c r="AA93" i="2"/>
  <c r="AB93" i="2"/>
  <c r="AC93" i="2"/>
  <c r="AC92" i="2"/>
  <c r="AB92" i="2"/>
  <c r="AA92" i="2"/>
  <c r="Z92" i="2"/>
  <c r="V92" i="2"/>
  <c r="U92" i="2"/>
  <c r="T92" i="2"/>
  <c r="C92" i="2"/>
  <c r="C91" i="2"/>
  <c r="T91" i="2"/>
  <c r="U91" i="2"/>
  <c r="V91" i="2"/>
  <c r="Z91" i="2"/>
  <c r="AA91" i="2"/>
  <c r="AB91" i="2"/>
  <c r="AC91" i="2"/>
  <c r="C90" i="2"/>
  <c r="T90" i="2"/>
  <c r="U90" i="2"/>
  <c r="V90" i="2"/>
  <c r="Z90" i="2"/>
  <c r="AA90" i="2"/>
  <c r="AB90" i="2"/>
  <c r="AC90" i="2"/>
  <c r="C89" i="2"/>
  <c r="T89" i="2"/>
  <c r="U89" i="2"/>
  <c r="V89" i="2"/>
  <c r="Z89" i="2"/>
  <c r="AA89" i="2"/>
  <c r="AB89" i="2"/>
  <c r="AC89" i="2"/>
  <c r="AC88" i="2"/>
  <c r="AB88" i="2"/>
  <c r="AA88" i="2"/>
  <c r="Z88" i="2"/>
  <c r="V88" i="2"/>
  <c r="U88" i="2"/>
  <c r="T88" i="2"/>
  <c r="C88" i="2"/>
  <c r="AC87" i="2"/>
  <c r="AB87" i="2"/>
  <c r="AA87" i="2"/>
  <c r="Z87" i="2"/>
  <c r="V87" i="2"/>
  <c r="U87" i="2"/>
  <c r="T87" i="2"/>
  <c r="C87" i="2"/>
  <c r="AC86" i="2"/>
  <c r="AB86" i="2"/>
  <c r="AA86" i="2"/>
  <c r="Z86" i="2"/>
  <c r="V86" i="2"/>
  <c r="U86" i="2"/>
  <c r="T86" i="2"/>
  <c r="C86" i="2"/>
  <c r="C85" i="2"/>
  <c r="T85" i="2"/>
  <c r="U85" i="2"/>
  <c r="V85" i="2"/>
  <c r="Z85" i="2"/>
  <c r="AA85" i="2"/>
  <c r="AB85" i="2"/>
  <c r="AC85" i="2"/>
  <c r="C84" i="2"/>
  <c r="T84" i="2"/>
  <c r="U84" i="2"/>
  <c r="V84" i="2"/>
  <c r="Z84" i="2"/>
  <c r="AA84" i="2"/>
  <c r="AB84" i="2"/>
  <c r="AC84" i="2"/>
  <c r="C83" i="2"/>
  <c r="T83" i="2"/>
  <c r="U83" i="2"/>
  <c r="V83" i="2"/>
  <c r="Z83" i="2"/>
  <c r="AA83" i="2"/>
  <c r="AB83" i="2"/>
  <c r="AC83" i="2"/>
  <c r="C82" i="2"/>
  <c r="T82" i="2"/>
  <c r="U82" i="2"/>
  <c r="V82" i="2"/>
  <c r="Z82" i="2"/>
  <c r="AA82" i="2"/>
  <c r="AB82" i="2"/>
  <c r="AC82" i="2"/>
  <c r="C81" i="2"/>
  <c r="T81" i="2"/>
  <c r="U81" i="2"/>
  <c r="V81" i="2"/>
  <c r="Z81" i="2"/>
  <c r="AA81" i="2"/>
  <c r="AB81" i="2"/>
  <c r="AC81" i="2"/>
  <c r="AC80" i="2"/>
  <c r="AB80" i="2"/>
  <c r="AA80" i="2"/>
  <c r="Z80" i="2"/>
  <c r="V80" i="2"/>
  <c r="U80" i="2"/>
  <c r="T80" i="2"/>
  <c r="C80" i="2"/>
  <c r="C79" i="2"/>
  <c r="T79" i="2"/>
  <c r="U79" i="2"/>
  <c r="V79" i="2"/>
  <c r="Z79" i="2"/>
  <c r="AA79" i="2"/>
  <c r="AB79" i="2"/>
  <c r="AC79" i="2"/>
  <c r="C78" i="2"/>
  <c r="T78" i="2"/>
  <c r="U78" i="2"/>
  <c r="V78" i="2"/>
  <c r="Z78" i="2"/>
  <c r="AA78" i="2"/>
  <c r="AB78" i="2"/>
  <c r="AC78" i="2"/>
  <c r="C77" i="2"/>
  <c r="T77" i="2"/>
  <c r="U77" i="2"/>
  <c r="V77" i="2"/>
  <c r="Z77" i="2"/>
  <c r="AA77" i="2"/>
  <c r="AB77" i="2"/>
  <c r="AC77" i="2"/>
  <c r="C76" i="2"/>
  <c r="T76" i="2"/>
  <c r="U76" i="2"/>
  <c r="V76" i="2"/>
  <c r="Z76" i="2"/>
  <c r="AA76" i="2"/>
  <c r="AB76" i="2"/>
  <c r="AC76" i="2"/>
  <c r="C75" i="2"/>
  <c r="T75" i="2"/>
  <c r="U75" i="2"/>
  <c r="V75" i="2"/>
  <c r="Z75" i="2"/>
  <c r="AA75" i="2"/>
  <c r="AB75" i="2"/>
  <c r="AC75" i="2"/>
  <c r="C74" i="2"/>
  <c r="T74" i="2"/>
  <c r="U74" i="2"/>
  <c r="V74" i="2"/>
  <c r="Z74" i="2"/>
  <c r="AA74" i="2"/>
  <c r="AB74" i="2"/>
  <c r="AC74" i="2"/>
  <c r="C73" i="2"/>
  <c r="T73" i="2"/>
  <c r="U73" i="2"/>
  <c r="V73" i="2"/>
  <c r="Z73" i="2"/>
  <c r="AA73" i="2"/>
  <c r="AB73" i="2"/>
  <c r="AC73" i="2"/>
  <c r="AC72" i="2"/>
  <c r="AB72" i="2"/>
  <c r="AA72" i="2"/>
  <c r="Z72" i="2"/>
  <c r="V72" i="2"/>
  <c r="U72" i="2"/>
  <c r="T72" i="2"/>
  <c r="C72" i="2"/>
  <c r="C71" i="2"/>
  <c r="T71" i="2"/>
  <c r="U71" i="2"/>
  <c r="V71" i="2"/>
  <c r="Z71" i="2"/>
  <c r="AA71" i="2"/>
  <c r="AB71" i="2"/>
  <c r="AC71" i="2"/>
  <c r="AC70" i="2"/>
  <c r="AB70" i="2"/>
  <c r="AA70" i="2"/>
  <c r="Z70" i="2"/>
  <c r="V70" i="2"/>
  <c r="U70" i="2"/>
  <c r="T70" i="2"/>
  <c r="C70" i="2"/>
  <c r="AC69" i="2"/>
  <c r="AB69" i="2"/>
  <c r="AA69" i="2"/>
  <c r="Z69" i="2"/>
  <c r="V69" i="2"/>
  <c r="U69" i="2"/>
  <c r="T69" i="2"/>
  <c r="C69" i="2"/>
  <c r="AC68" i="2"/>
  <c r="AB68" i="2"/>
  <c r="AA68" i="2"/>
  <c r="Z68" i="2"/>
  <c r="V68" i="2"/>
  <c r="U68" i="2"/>
  <c r="T68" i="2"/>
  <c r="C68" i="2"/>
  <c r="AC67" i="2"/>
  <c r="AB67" i="2"/>
  <c r="AA67" i="2"/>
  <c r="Z67" i="2"/>
  <c r="V67" i="2"/>
  <c r="U67" i="2"/>
  <c r="T67" i="2"/>
  <c r="C67" i="2"/>
  <c r="C66" i="2"/>
  <c r="T66" i="2"/>
  <c r="U66" i="2"/>
  <c r="V66" i="2"/>
  <c r="Z66" i="2"/>
  <c r="AA66" i="2"/>
  <c r="AB66" i="2"/>
  <c r="AC66" i="2"/>
  <c r="C65" i="2"/>
  <c r="T65" i="2"/>
  <c r="U65" i="2"/>
  <c r="V65" i="2"/>
  <c r="Z65" i="2"/>
  <c r="AA65" i="2"/>
  <c r="AB65" i="2"/>
  <c r="AC65" i="2"/>
  <c r="C64" i="2"/>
  <c r="T64" i="2"/>
  <c r="U64" i="2"/>
  <c r="V64" i="2"/>
  <c r="Z64" i="2"/>
  <c r="AA64" i="2"/>
  <c r="AB64" i="2"/>
  <c r="AC64" i="2"/>
  <c r="C63" i="2"/>
  <c r="T63" i="2"/>
  <c r="U63" i="2"/>
  <c r="V63" i="2"/>
  <c r="Z63" i="2"/>
  <c r="AA63" i="2"/>
  <c r="AB63" i="2"/>
  <c r="AC63" i="2"/>
  <c r="AC62" i="2"/>
  <c r="AB62" i="2"/>
  <c r="AA62" i="2"/>
  <c r="Z62" i="2"/>
  <c r="V62" i="2"/>
  <c r="U62" i="2"/>
  <c r="T62" i="2"/>
  <c r="C62" i="2"/>
  <c r="AC61" i="2"/>
  <c r="AB61" i="2"/>
  <c r="AA61" i="2"/>
  <c r="Z61" i="2"/>
  <c r="V61" i="2"/>
  <c r="U61" i="2"/>
  <c r="T61" i="2"/>
  <c r="C61" i="2"/>
  <c r="AC60" i="2"/>
  <c r="AB60" i="2"/>
  <c r="AA60" i="2"/>
  <c r="Z60" i="2"/>
  <c r="V60" i="2"/>
  <c r="U60" i="2"/>
  <c r="T60" i="2"/>
  <c r="C60" i="2"/>
  <c r="AC59" i="2"/>
  <c r="AB59" i="2"/>
  <c r="AA59" i="2"/>
  <c r="Z59" i="2"/>
  <c r="V59" i="2"/>
  <c r="U59" i="2"/>
  <c r="T59" i="2"/>
  <c r="C59" i="2"/>
  <c r="AC58" i="2"/>
  <c r="AB58" i="2"/>
  <c r="AA58" i="2"/>
  <c r="Z58" i="2"/>
  <c r="V58" i="2"/>
  <c r="U58" i="2"/>
  <c r="T58" i="2"/>
  <c r="C58" i="2"/>
  <c r="C57" i="2"/>
  <c r="T57" i="2"/>
  <c r="U57" i="2"/>
  <c r="V57" i="2"/>
  <c r="Z57" i="2"/>
  <c r="AA57" i="2"/>
  <c r="AB57" i="2"/>
  <c r="AC57" i="2"/>
  <c r="AC56" i="2"/>
  <c r="AB56" i="2"/>
  <c r="AA56" i="2"/>
  <c r="Z56" i="2"/>
  <c r="V56" i="2"/>
  <c r="U56" i="2"/>
  <c r="T56" i="2"/>
  <c r="C56" i="2"/>
  <c r="AC55" i="2"/>
  <c r="AB55" i="2"/>
  <c r="AA55" i="2"/>
  <c r="Z55" i="2"/>
  <c r="V55" i="2"/>
  <c r="U55" i="2"/>
  <c r="T55" i="2"/>
  <c r="C55" i="2"/>
  <c r="C54" i="2"/>
  <c r="T54" i="2"/>
  <c r="U54" i="2"/>
  <c r="V54" i="2"/>
  <c r="Z54" i="2"/>
  <c r="AA54" i="2"/>
  <c r="AB54" i="2"/>
  <c r="AC54" i="2"/>
  <c r="C53" i="2"/>
  <c r="T53" i="2"/>
  <c r="U53" i="2"/>
  <c r="V53" i="2"/>
  <c r="Z53" i="2"/>
  <c r="AA53" i="2"/>
  <c r="AB53" i="2"/>
  <c r="AC53" i="2"/>
  <c r="C52" i="2"/>
  <c r="T52" i="2"/>
  <c r="U52" i="2"/>
  <c r="V52" i="2"/>
  <c r="Z52" i="2"/>
  <c r="AA52" i="2"/>
  <c r="AB52" i="2"/>
  <c r="AC52" i="2"/>
  <c r="C51" i="2"/>
  <c r="T51" i="2"/>
  <c r="U51" i="2"/>
  <c r="V51" i="2"/>
  <c r="Z51" i="2"/>
  <c r="AA51" i="2"/>
  <c r="AB51" i="2"/>
  <c r="AC51" i="2"/>
  <c r="C50" i="2"/>
  <c r="T50" i="2"/>
  <c r="U50" i="2"/>
  <c r="V50" i="2"/>
  <c r="Z50" i="2"/>
  <c r="AA50" i="2"/>
  <c r="AB50" i="2"/>
  <c r="AC50" i="2"/>
  <c r="C49" i="2"/>
  <c r="T49" i="2"/>
  <c r="U49" i="2"/>
  <c r="V49" i="2"/>
  <c r="Z49" i="2"/>
  <c r="AA49" i="2"/>
  <c r="AB49" i="2"/>
  <c r="AC49" i="2"/>
  <c r="C48" i="2"/>
  <c r="T48" i="2"/>
  <c r="U48" i="2"/>
  <c r="V48" i="2"/>
  <c r="Z48" i="2"/>
  <c r="AA48" i="2"/>
  <c r="AB48" i="2"/>
  <c r="AC48" i="2"/>
  <c r="C47" i="2"/>
  <c r="T47" i="2"/>
  <c r="U47" i="2"/>
  <c r="V47" i="2"/>
  <c r="Z47" i="2"/>
  <c r="AA47" i="2"/>
  <c r="AB47" i="2"/>
  <c r="AC47" i="2"/>
  <c r="AC46" i="2"/>
  <c r="AB46" i="2"/>
  <c r="AA46" i="2"/>
  <c r="Z46" i="2"/>
  <c r="V46" i="2"/>
  <c r="U46" i="2"/>
  <c r="T46" i="2"/>
  <c r="C46" i="2"/>
  <c r="AC45" i="2"/>
  <c r="AB45" i="2"/>
  <c r="AA45" i="2"/>
  <c r="Z45" i="2"/>
  <c r="V45" i="2"/>
  <c r="U45" i="2"/>
  <c r="T45" i="2"/>
  <c r="C45" i="2"/>
  <c r="C44" i="2"/>
  <c r="T44" i="2"/>
  <c r="U44" i="2"/>
  <c r="V44" i="2"/>
  <c r="Z44" i="2"/>
  <c r="AA44" i="2"/>
  <c r="AB44" i="2"/>
  <c r="AC44" i="2"/>
  <c r="C43" i="2"/>
  <c r="T43" i="2"/>
  <c r="U43" i="2"/>
  <c r="V43" i="2"/>
  <c r="Z43" i="2"/>
  <c r="AA43" i="2"/>
  <c r="AB43" i="2"/>
  <c r="AC43" i="2"/>
  <c r="C42" i="2"/>
  <c r="T42" i="2"/>
  <c r="U42" i="2"/>
  <c r="V42" i="2"/>
  <c r="Z42" i="2"/>
  <c r="AA42" i="2"/>
  <c r="AB42" i="2"/>
  <c r="AC42" i="2"/>
  <c r="C41" i="2"/>
  <c r="T41" i="2"/>
  <c r="U41" i="2"/>
  <c r="V41" i="2"/>
  <c r="Z41" i="2"/>
  <c r="AA41" i="2"/>
  <c r="AB41" i="2"/>
  <c r="AC41" i="2"/>
  <c r="AC40" i="2"/>
  <c r="AB40" i="2"/>
  <c r="AA40" i="2"/>
  <c r="Z40" i="2"/>
  <c r="V40" i="2"/>
  <c r="U40" i="2"/>
  <c r="T40" i="2"/>
  <c r="C40" i="2"/>
  <c r="AC39" i="2"/>
  <c r="AB39" i="2"/>
  <c r="AA39" i="2"/>
  <c r="Z39" i="2"/>
  <c r="V39" i="2"/>
  <c r="U39" i="2"/>
  <c r="T39" i="2"/>
  <c r="C39" i="2"/>
  <c r="C38" i="2"/>
  <c r="T38" i="2"/>
  <c r="U38" i="2"/>
  <c r="V38" i="2"/>
  <c r="Z38" i="2"/>
  <c r="AA38" i="2"/>
  <c r="AB38" i="2"/>
  <c r="AC38" i="2"/>
  <c r="AC37" i="2"/>
  <c r="AB37" i="2"/>
  <c r="AA37" i="2"/>
  <c r="Z37" i="2"/>
  <c r="V37" i="2"/>
  <c r="U37" i="2"/>
  <c r="T37" i="2"/>
  <c r="C37" i="2"/>
  <c r="AC36" i="2"/>
  <c r="AB36" i="2"/>
  <c r="AA36" i="2"/>
  <c r="Z36" i="2"/>
  <c r="V36" i="2"/>
  <c r="U36" i="2"/>
  <c r="T36" i="2"/>
  <c r="C36" i="2"/>
  <c r="AC35" i="2"/>
  <c r="AB35" i="2"/>
  <c r="AA35" i="2"/>
  <c r="Z35" i="2"/>
  <c r="V35" i="2"/>
  <c r="U35" i="2"/>
  <c r="T35" i="2"/>
  <c r="C35" i="2"/>
  <c r="AC34" i="2"/>
  <c r="AB34" i="2"/>
  <c r="AA34" i="2"/>
  <c r="Z34" i="2"/>
  <c r="V34" i="2"/>
  <c r="U34" i="2"/>
  <c r="T34" i="2"/>
  <c r="C34" i="2"/>
  <c r="C33" i="2"/>
  <c r="T33" i="2"/>
  <c r="U33" i="2"/>
  <c r="V33" i="2"/>
  <c r="Z33" i="2"/>
  <c r="AA33" i="2"/>
  <c r="AB33" i="2"/>
  <c r="AC33" i="2"/>
  <c r="B19" i="3"/>
  <c r="AC32" i="2"/>
  <c r="AB32" i="2"/>
  <c r="AA32" i="2"/>
  <c r="Z32" i="2"/>
  <c r="V32" i="2"/>
  <c r="U32" i="2"/>
  <c r="T32" i="2"/>
  <c r="C32" i="2"/>
  <c r="C31" i="2"/>
  <c r="T31" i="2"/>
  <c r="U31" i="2"/>
  <c r="V31" i="2"/>
  <c r="Z31" i="2"/>
  <c r="AA31" i="2"/>
  <c r="AB31" i="2"/>
  <c r="AC31" i="2"/>
  <c r="AC30" i="2"/>
  <c r="AB30" i="2"/>
  <c r="AA30" i="2"/>
  <c r="Z30" i="2"/>
  <c r="V30" i="2"/>
  <c r="U30" i="2"/>
  <c r="T30" i="2"/>
  <c r="C30" i="2"/>
  <c r="C29" i="2"/>
  <c r="T29" i="2"/>
  <c r="U29" i="2"/>
  <c r="V29" i="2"/>
  <c r="Z29" i="2"/>
  <c r="AA29" i="2"/>
  <c r="AB29" i="2"/>
  <c r="AC29" i="2"/>
  <c r="AC28" i="2"/>
  <c r="AB28" i="2"/>
  <c r="AA28" i="2"/>
  <c r="Z28" i="2"/>
  <c r="V28" i="2"/>
  <c r="U28" i="2"/>
  <c r="T28" i="2"/>
  <c r="C28" i="2"/>
  <c r="AC27" i="2"/>
  <c r="AB27" i="2"/>
  <c r="AA27" i="2"/>
  <c r="Z27" i="2"/>
  <c r="V27" i="2"/>
  <c r="U27" i="2"/>
  <c r="T27" i="2"/>
  <c r="C27" i="2"/>
  <c r="C26" i="2"/>
  <c r="T26" i="2"/>
  <c r="U26" i="2"/>
  <c r="V26" i="2"/>
  <c r="Z26" i="2"/>
  <c r="AA26" i="2"/>
  <c r="AB26" i="2"/>
  <c r="AC26" i="2"/>
  <c r="C25" i="2"/>
  <c r="T25" i="2"/>
  <c r="U25" i="2"/>
  <c r="V25" i="2"/>
  <c r="Z25" i="2"/>
  <c r="AA25" i="2"/>
  <c r="AB25" i="2"/>
  <c r="AC25" i="2"/>
  <c r="AC24" i="2"/>
  <c r="AB24" i="2"/>
  <c r="AA24" i="2"/>
  <c r="Z24" i="2"/>
  <c r="V24" i="2"/>
  <c r="U24" i="2"/>
  <c r="T24" i="2"/>
  <c r="C24" i="2"/>
  <c r="AC23" i="2"/>
  <c r="AB23" i="2"/>
  <c r="AA23" i="2"/>
  <c r="Z23" i="2"/>
  <c r="V23" i="2"/>
  <c r="U23" i="2"/>
  <c r="T23" i="2"/>
  <c r="C23" i="2"/>
  <c r="C22" i="2"/>
  <c r="T22" i="2"/>
  <c r="U22" i="2"/>
  <c r="V22" i="2"/>
  <c r="Z22" i="2"/>
  <c r="AA22" i="2"/>
  <c r="AB22" i="2"/>
  <c r="AC22" i="2"/>
  <c r="C21" i="2"/>
  <c r="T21" i="2"/>
  <c r="U21" i="2"/>
  <c r="V21" i="2"/>
  <c r="Z21" i="2"/>
  <c r="AA21" i="2"/>
  <c r="AB21" i="2"/>
  <c r="AC21" i="2"/>
  <c r="AC20" i="2"/>
  <c r="AB20" i="2"/>
  <c r="AA20" i="2"/>
  <c r="Z20" i="2"/>
  <c r="V20" i="2"/>
  <c r="U20" i="2"/>
  <c r="T20" i="2"/>
  <c r="C20" i="2"/>
  <c r="AC19" i="2"/>
  <c r="AB19" i="2"/>
  <c r="AA19" i="2"/>
  <c r="Z19" i="2"/>
  <c r="V19" i="2"/>
  <c r="U19" i="2"/>
  <c r="T19" i="2"/>
  <c r="C19" i="2"/>
  <c r="C18" i="2"/>
  <c r="T18" i="2"/>
  <c r="U18" i="2"/>
  <c r="V18" i="2"/>
  <c r="Z18" i="2"/>
  <c r="AA18" i="2"/>
  <c r="AB18" i="2"/>
  <c r="AC18" i="2"/>
  <c r="C17" i="2"/>
  <c r="T17" i="2"/>
  <c r="U17" i="2"/>
  <c r="V17" i="2"/>
  <c r="Z17" i="2"/>
  <c r="AA17" i="2"/>
  <c r="AB17" i="2"/>
  <c r="AC17" i="2"/>
  <c r="AC16" i="2"/>
  <c r="AB16" i="2"/>
  <c r="AA16" i="2"/>
  <c r="Z16" i="2"/>
  <c r="V16" i="2"/>
  <c r="U16" i="2"/>
  <c r="T16" i="2"/>
  <c r="C16" i="2"/>
  <c r="C15" i="2"/>
  <c r="T15" i="2"/>
  <c r="U15" i="2"/>
  <c r="V15" i="2"/>
  <c r="Z15" i="2"/>
  <c r="AA15" i="2"/>
  <c r="AB15" i="2"/>
  <c r="AC15" i="2"/>
  <c r="AC14" i="2"/>
  <c r="AB14" i="2"/>
  <c r="AA14" i="2"/>
  <c r="Z14" i="2"/>
  <c r="V14" i="2"/>
  <c r="U14" i="2"/>
  <c r="T14" i="2"/>
  <c r="C14" i="2"/>
  <c r="C13" i="2"/>
  <c r="T13" i="2"/>
  <c r="U13" i="2"/>
  <c r="V13" i="2"/>
  <c r="Z13" i="2"/>
  <c r="AA13" i="2"/>
  <c r="AB13" i="2"/>
  <c r="AC13" i="2"/>
  <c r="C12" i="2"/>
  <c r="T12" i="2"/>
  <c r="U12" i="2"/>
  <c r="V12" i="2"/>
  <c r="Z12" i="2"/>
  <c r="AA12" i="2"/>
  <c r="AB12" i="2"/>
  <c r="AC12" i="2"/>
  <c r="C11" i="2"/>
  <c r="T11" i="2"/>
  <c r="U11" i="2"/>
  <c r="V11" i="2"/>
  <c r="Z11" i="2"/>
  <c r="AA11" i="2"/>
  <c r="AB11" i="2"/>
  <c r="AC11" i="2"/>
  <c r="C10" i="2"/>
  <c r="T10" i="2"/>
  <c r="U10" i="2"/>
  <c r="V10" i="2"/>
  <c r="Z10" i="2"/>
  <c r="AA10" i="2"/>
  <c r="AB10" i="2"/>
  <c r="AC10" i="2"/>
  <c r="AC9" i="2"/>
  <c r="AB9" i="2"/>
  <c r="AA9" i="2"/>
  <c r="Z9" i="2"/>
  <c r="V9" i="2"/>
  <c r="U9" i="2"/>
  <c r="T9" i="2"/>
  <c r="C9" i="2"/>
  <c r="C8" i="2"/>
  <c r="T8" i="2"/>
  <c r="U8" i="2"/>
  <c r="V8" i="2"/>
  <c r="Z8" i="2"/>
  <c r="AA8" i="2"/>
  <c r="AB8" i="2"/>
  <c r="AC8" i="2"/>
  <c r="C7" i="2"/>
  <c r="T7" i="2"/>
  <c r="U7" i="2"/>
  <c r="V7" i="2"/>
  <c r="Z7" i="2"/>
  <c r="AA7" i="2"/>
  <c r="AB7" i="2"/>
  <c r="AC7" i="2"/>
  <c r="C6" i="2"/>
  <c r="T6" i="2"/>
  <c r="U6" i="2"/>
  <c r="V6" i="2"/>
  <c r="Z6" i="2"/>
  <c r="AA6" i="2"/>
  <c r="AB6" i="2"/>
  <c r="AC6" i="2"/>
  <c r="AC5" i="2"/>
  <c r="AB5" i="2"/>
  <c r="AA5" i="2"/>
  <c r="Z5" i="2"/>
  <c r="V5" i="2"/>
  <c r="U5" i="2"/>
  <c r="T5" i="2"/>
  <c r="C5" i="2"/>
  <c r="AC4" i="2"/>
  <c r="AB4" i="2"/>
  <c r="AA4" i="2"/>
  <c r="Z4" i="2"/>
  <c r="V4" i="2"/>
  <c r="U4" i="2"/>
  <c r="T4" i="2"/>
  <c r="C4" i="2"/>
  <c r="Z2" i="2"/>
  <c r="Z3" i="2"/>
  <c r="AA2" i="2"/>
  <c r="AA3" i="2"/>
  <c r="AB2" i="2"/>
  <c r="AB3" i="2"/>
  <c r="AC2" i="2"/>
  <c r="AC3" i="2"/>
  <c r="V3" i="2"/>
  <c r="U3" i="2"/>
  <c r="T3" i="2"/>
  <c r="C3" i="2"/>
  <c r="V2" i="2"/>
  <c r="U2" i="2"/>
  <c r="T2" i="2"/>
  <c r="C2" i="2"/>
  <c r="C16" i="3"/>
  <c r="C15" i="3"/>
  <c r="C14" i="3"/>
  <c r="C13" i="3"/>
  <c r="C10" i="3"/>
  <c r="C9" i="3"/>
  <c r="C8" i="3"/>
  <c r="C7" i="3"/>
  <c r="C6" i="3"/>
  <c r="C5" i="3"/>
  <c r="C30" i="3"/>
  <c r="C29" i="3"/>
  <c r="C28" i="3"/>
  <c r="C27" i="3"/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8" i="2"/>
  <c r="R149" i="2"/>
  <c r="R150" i="2"/>
  <c r="R151" i="2"/>
  <c r="R152" i="2"/>
  <c r="R153" i="2"/>
  <c r="R154" i="2"/>
  <c r="R157" i="2"/>
  <c r="R158" i="2"/>
  <c r="R160" i="2"/>
  <c r="R161" i="2"/>
  <c r="R162" i="2"/>
  <c r="R163" i="2"/>
  <c r="R164" i="2"/>
  <c r="R165" i="2"/>
  <c r="R166" i="2"/>
  <c r="Y166" i="2"/>
  <c r="X166" i="2"/>
  <c r="W166" i="2"/>
  <c r="Y165" i="2"/>
  <c r="X165" i="2"/>
  <c r="W165" i="2"/>
  <c r="Y163" i="2"/>
  <c r="X163" i="2"/>
  <c r="W163" i="2"/>
  <c r="Y162" i="2"/>
  <c r="X162" i="2"/>
  <c r="W162" i="2"/>
  <c r="Y161" i="2"/>
  <c r="X161" i="2"/>
  <c r="W161" i="2"/>
  <c r="Y160" i="2"/>
  <c r="X160" i="2"/>
  <c r="W160" i="2"/>
  <c r="Y153" i="2"/>
  <c r="X153" i="2"/>
  <c r="W153" i="2"/>
  <c r="Y152" i="2"/>
  <c r="X152" i="2"/>
  <c r="W152" i="2"/>
  <c r="Y150" i="2"/>
  <c r="X150" i="2"/>
  <c r="W150" i="2"/>
  <c r="Y148" i="2"/>
  <c r="X148" i="2"/>
  <c r="W148" i="2"/>
  <c r="Y146" i="2"/>
  <c r="X146" i="2"/>
  <c r="W146" i="2"/>
  <c r="Y145" i="2"/>
  <c r="X145" i="2"/>
  <c r="W145" i="2"/>
  <c r="Y141" i="2"/>
  <c r="X141" i="2"/>
  <c r="W141" i="2"/>
  <c r="Y135" i="2"/>
  <c r="X135" i="2"/>
  <c r="W135" i="2"/>
  <c r="Y134" i="2"/>
  <c r="X134" i="2"/>
  <c r="W134" i="2"/>
  <c r="Y133" i="2"/>
  <c r="X133" i="2"/>
  <c r="W133" i="2"/>
  <c r="Y132" i="2"/>
  <c r="X132" i="2"/>
  <c r="W132" i="2"/>
  <c r="Y131" i="2"/>
  <c r="X131" i="2"/>
  <c r="W131" i="2"/>
  <c r="Y130" i="2"/>
  <c r="X130" i="2"/>
  <c r="W130" i="2"/>
  <c r="Y129" i="2"/>
  <c r="X129" i="2"/>
  <c r="W129" i="2"/>
  <c r="Y127" i="2"/>
  <c r="X127" i="2"/>
  <c r="W127" i="2"/>
  <c r="Y126" i="2"/>
  <c r="X126" i="2"/>
  <c r="W126" i="2"/>
  <c r="Y125" i="2"/>
  <c r="X125" i="2"/>
  <c r="W125" i="2"/>
  <c r="N120" i="2"/>
  <c r="N119" i="2"/>
  <c r="N118" i="2"/>
  <c r="N117" i="2"/>
  <c r="N110" i="2"/>
  <c r="N107" i="2"/>
  <c r="N105" i="2"/>
  <c r="N104" i="2"/>
  <c r="N102" i="2"/>
  <c r="N101" i="2"/>
  <c r="N100" i="2"/>
  <c r="N99" i="2"/>
  <c r="N90" i="2"/>
  <c r="N85" i="2"/>
  <c r="N84" i="2"/>
  <c r="N83" i="2"/>
  <c r="N73" i="2"/>
  <c r="N71" i="2"/>
  <c r="N66" i="2"/>
  <c r="N47" i="2"/>
  <c r="N46" i="2"/>
  <c r="N41" i="2"/>
  <c r="N40" i="2"/>
  <c r="N36" i="2"/>
  <c r="N35" i="2"/>
  <c r="N23" i="2"/>
  <c r="Y120" i="2"/>
  <c r="X120" i="2"/>
  <c r="W120" i="2"/>
  <c r="Y119" i="2"/>
  <c r="X119" i="2"/>
  <c r="W119" i="2"/>
  <c r="Y118" i="2"/>
  <c r="X118" i="2"/>
  <c r="W118" i="2"/>
  <c r="Y117" i="2"/>
  <c r="X117" i="2"/>
  <c r="W117" i="2"/>
  <c r="Y116" i="2"/>
  <c r="X116" i="2"/>
  <c r="W116" i="2"/>
  <c r="Y110" i="2"/>
  <c r="X110" i="2"/>
  <c r="W110" i="2"/>
  <c r="Y108" i="2"/>
  <c r="X108" i="2"/>
  <c r="W108" i="2"/>
  <c r="Y107" i="2"/>
  <c r="X107" i="2"/>
  <c r="W107" i="2"/>
  <c r="Y104" i="2"/>
  <c r="X104" i="2"/>
  <c r="W104" i="2"/>
  <c r="Y99" i="2"/>
  <c r="X99" i="2"/>
  <c r="W99" i="2"/>
  <c r="Y97" i="2"/>
  <c r="X97" i="2"/>
  <c r="W97" i="2"/>
  <c r="Y96" i="2"/>
  <c r="X96" i="2"/>
  <c r="W96" i="2"/>
  <c r="Y95" i="2"/>
  <c r="X95" i="2"/>
  <c r="W95" i="2"/>
  <c r="Y94" i="2"/>
  <c r="X94" i="2"/>
  <c r="W94" i="2"/>
  <c r="Y92" i="2"/>
  <c r="X92" i="2"/>
  <c r="W92" i="2"/>
  <c r="Y88" i="2"/>
  <c r="X88" i="2"/>
  <c r="W88" i="2"/>
  <c r="Y87" i="2"/>
  <c r="X87" i="2"/>
  <c r="W87" i="2"/>
  <c r="Y86" i="2"/>
  <c r="X86" i="2"/>
  <c r="W86" i="2"/>
  <c r="Y80" i="2"/>
  <c r="X80" i="2"/>
  <c r="W80" i="2"/>
  <c r="Y72" i="2"/>
  <c r="X72" i="2"/>
  <c r="W72" i="2"/>
  <c r="Y70" i="2"/>
  <c r="X70" i="2"/>
  <c r="W70" i="2"/>
  <c r="Y69" i="2"/>
  <c r="X69" i="2"/>
  <c r="W69" i="2"/>
  <c r="Y68" i="2"/>
  <c r="X68" i="2"/>
  <c r="W68" i="2"/>
  <c r="Y67" i="2"/>
  <c r="X67" i="2"/>
  <c r="W67" i="2"/>
  <c r="Y62" i="2"/>
  <c r="X62" i="2"/>
  <c r="W62" i="2"/>
  <c r="Y61" i="2"/>
  <c r="X61" i="2"/>
  <c r="W61" i="2"/>
  <c r="Y60" i="2"/>
  <c r="X60" i="2"/>
  <c r="W60" i="2"/>
  <c r="Y59" i="2"/>
  <c r="X59" i="2"/>
  <c r="W59" i="2"/>
  <c r="Y58" i="2"/>
  <c r="X58" i="2"/>
  <c r="W58" i="2"/>
  <c r="Y56" i="2"/>
  <c r="X56" i="2"/>
  <c r="W56" i="2"/>
  <c r="Y55" i="2"/>
  <c r="X55" i="2"/>
  <c r="W55" i="2"/>
  <c r="Y46" i="2"/>
  <c r="X46" i="2"/>
  <c r="W46" i="2"/>
  <c r="Y45" i="2"/>
  <c r="X45" i="2"/>
  <c r="W45" i="2"/>
  <c r="Y40" i="2"/>
  <c r="X40" i="2"/>
  <c r="W40" i="2"/>
  <c r="Y39" i="2"/>
  <c r="X39" i="2"/>
  <c r="W39" i="2"/>
  <c r="Y37" i="2"/>
  <c r="X37" i="2"/>
  <c r="W37" i="2"/>
  <c r="Y36" i="2"/>
  <c r="X36" i="2"/>
  <c r="W36" i="2"/>
  <c r="Y35" i="2"/>
  <c r="X35" i="2"/>
  <c r="W35" i="2"/>
  <c r="Y34" i="2"/>
  <c r="X34" i="2"/>
  <c r="W34" i="2"/>
  <c r="Y32" i="2"/>
  <c r="X32" i="2"/>
  <c r="W32" i="2"/>
  <c r="Y30" i="2"/>
  <c r="X30" i="2"/>
  <c r="W30" i="2"/>
  <c r="Y28" i="2"/>
  <c r="X28" i="2"/>
  <c r="W28" i="2"/>
  <c r="Y27" i="2"/>
  <c r="X27" i="2"/>
  <c r="W27" i="2"/>
  <c r="Y24" i="2"/>
  <c r="X24" i="2"/>
  <c r="W24" i="2"/>
  <c r="Y23" i="2"/>
  <c r="X23" i="2"/>
  <c r="W23" i="2"/>
  <c r="Y20" i="2"/>
  <c r="X20" i="2"/>
  <c r="W20" i="2"/>
  <c r="Y19" i="2"/>
  <c r="X19" i="2"/>
  <c r="W19" i="2"/>
  <c r="Y16" i="2"/>
  <c r="X16" i="2"/>
  <c r="W16" i="2"/>
  <c r="Y14" i="2"/>
  <c r="X14" i="2"/>
  <c r="W14" i="2"/>
  <c r="Y9" i="2"/>
  <c r="X9" i="2"/>
  <c r="W9" i="2"/>
  <c r="Y5" i="2"/>
  <c r="X5" i="2"/>
  <c r="W5" i="2"/>
  <c r="Y4" i="2"/>
  <c r="X4" i="2"/>
  <c r="W4" i="2"/>
  <c r="W164" i="2" l="1"/>
  <c r="X164" i="2"/>
  <c r="Y164" i="2"/>
  <c r="W158" i="2"/>
  <c r="X158" i="2"/>
  <c r="Y158" i="2"/>
  <c r="W157" i="2"/>
  <c r="X157" i="2"/>
  <c r="Y157" i="2"/>
  <c r="W154" i="2"/>
  <c r="X154" i="2"/>
  <c r="Y154" i="2"/>
  <c r="W151" i="2"/>
  <c r="X151" i="2"/>
  <c r="Y151" i="2"/>
  <c r="W149" i="2"/>
  <c r="X149" i="2"/>
  <c r="Y149" i="2"/>
  <c r="W144" i="2"/>
  <c r="X144" i="2"/>
  <c r="Y144" i="2"/>
  <c r="W143" i="2"/>
  <c r="X143" i="2"/>
  <c r="Y143" i="2"/>
  <c r="W142" i="2"/>
  <c r="X142" i="2"/>
  <c r="Y142" i="2"/>
  <c r="W140" i="2"/>
  <c r="X140" i="2"/>
  <c r="Y140" i="2"/>
  <c r="W139" i="2"/>
  <c r="X139" i="2"/>
  <c r="Y139" i="2"/>
  <c r="W138" i="2"/>
  <c r="X138" i="2"/>
  <c r="Y138" i="2"/>
  <c r="W137" i="2"/>
  <c r="X137" i="2"/>
  <c r="Y137" i="2"/>
  <c r="W136" i="2"/>
  <c r="X136" i="2"/>
  <c r="Y136" i="2"/>
  <c r="W128" i="2"/>
  <c r="X128" i="2"/>
  <c r="Y128" i="2"/>
  <c r="W124" i="2"/>
  <c r="X124" i="2"/>
  <c r="Y124" i="2"/>
  <c r="W123" i="2"/>
  <c r="X123" i="2"/>
  <c r="Y123" i="2"/>
  <c r="W122" i="2"/>
  <c r="X122" i="2"/>
  <c r="Y122" i="2"/>
  <c r="W121" i="2"/>
  <c r="X121" i="2"/>
  <c r="Y121" i="2"/>
  <c r="W115" i="2"/>
  <c r="X115" i="2"/>
  <c r="Y115" i="2"/>
  <c r="W114" i="2"/>
  <c r="X114" i="2"/>
  <c r="Y114" i="2"/>
  <c r="W113" i="2"/>
  <c r="X113" i="2"/>
  <c r="Y113" i="2"/>
  <c r="W112" i="2"/>
  <c r="X112" i="2"/>
  <c r="Y112" i="2"/>
  <c r="W111" i="2"/>
  <c r="X111" i="2"/>
  <c r="Y111" i="2"/>
  <c r="W109" i="2"/>
  <c r="X109" i="2"/>
  <c r="Y109" i="2"/>
  <c r="W106" i="2"/>
  <c r="X106" i="2"/>
  <c r="Y106" i="2"/>
  <c r="W105" i="2"/>
  <c r="X105" i="2"/>
  <c r="Y105" i="2"/>
  <c r="W103" i="2"/>
  <c r="X103" i="2"/>
  <c r="Y103" i="2"/>
  <c r="W102" i="2"/>
  <c r="X102" i="2"/>
  <c r="Y102" i="2"/>
  <c r="W101" i="2"/>
  <c r="X101" i="2"/>
  <c r="Y101" i="2"/>
  <c r="W100" i="2"/>
  <c r="X100" i="2"/>
  <c r="Y100" i="2"/>
  <c r="W98" i="2"/>
  <c r="X98" i="2"/>
  <c r="Y98" i="2"/>
  <c r="W93" i="2"/>
  <c r="X93" i="2"/>
  <c r="Y93" i="2"/>
  <c r="W91" i="2"/>
  <c r="X91" i="2"/>
  <c r="Y91" i="2"/>
  <c r="W90" i="2"/>
  <c r="X90" i="2"/>
  <c r="Y90" i="2"/>
  <c r="W89" i="2"/>
  <c r="X89" i="2"/>
  <c r="Y89" i="2"/>
  <c r="W85" i="2"/>
  <c r="X85" i="2"/>
  <c r="Y85" i="2"/>
  <c r="W84" i="2"/>
  <c r="X84" i="2"/>
  <c r="Y84" i="2"/>
  <c r="W83" i="2"/>
  <c r="X83" i="2"/>
  <c r="Y83" i="2"/>
  <c r="W82" i="2"/>
  <c r="X82" i="2"/>
  <c r="Y82" i="2"/>
  <c r="W81" i="2"/>
  <c r="X81" i="2"/>
  <c r="Y81" i="2"/>
  <c r="W79" i="2"/>
  <c r="X79" i="2"/>
  <c r="Y79" i="2"/>
  <c r="W78" i="2"/>
  <c r="X78" i="2"/>
  <c r="Y78" i="2"/>
  <c r="W77" i="2"/>
  <c r="X77" i="2"/>
  <c r="Y77" i="2"/>
  <c r="W76" i="2"/>
  <c r="X76" i="2"/>
  <c r="Y76" i="2"/>
  <c r="W75" i="2"/>
  <c r="X75" i="2"/>
  <c r="Y75" i="2"/>
  <c r="W74" i="2"/>
  <c r="X74" i="2"/>
  <c r="Y74" i="2"/>
  <c r="W73" i="2"/>
  <c r="X73" i="2"/>
  <c r="Y73" i="2"/>
  <c r="W71" i="2"/>
  <c r="X71" i="2"/>
  <c r="Y71" i="2"/>
  <c r="W66" i="2"/>
  <c r="X66" i="2"/>
  <c r="Y66" i="2"/>
  <c r="W65" i="2"/>
  <c r="X65" i="2"/>
  <c r="Y65" i="2"/>
  <c r="W64" i="2"/>
  <c r="X64" i="2"/>
  <c r="Y64" i="2"/>
  <c r="W63" i="2"/>
  <c r="X63" i="2"/>
  <c r="Y63" i="2"/>
  <c r="W57" i="2"/>
  <c r="X57" i="2"/>
  <c r="Y57" i="2"/>
  <c r="W54" i="2"/>
  <c r="X54" i="2"/>
  <c r="Y54" i="2"/>
  <c r="W53" i="2"/>
  <c r="X53" i="2"/>
  <c r="Y53" i="2"/>
  <c r="W52" i="2"/>
  <c r="X52" i="2"/>
  <c r="Y52" i="2"/>
  <c r="W51" i="2"/>
  <c r="X51" i="2"/>
  <c r="Y51" i="2"/>
  <c r="W50" i="2"/>
  <c r="X50" i="2"/>
  <c r="Y50" i="2"/>
  <c r="W49" i="2"/>
  <c r="X49" i="2"/>
  <c r="Y49" i="2"/>
  <c r="W48" i="2"/>
  <c r="X48" i="2"/>
  <c r="Y48" i="2"/>
  <c r="W47" i="2"/>
  <c r="X47" i="2"/>
  <c r="Y47" i="2"/>
  <c r="W44" i="2"/>
  <c r="X44" i="2"/>
  <c r="Y44" i="2"/>
  <c r="W43" i="2"/>
  <c r="X43" i="2"/>
  <c r="Y43" i="2"/>
  <c r="W42" i="2"/>
  <c r="X42" i="2"/>
  <c r="Y42" i="2"/>
  <c r="W41" i="2"/>
  <c r="X41" i="2"/>
  <c r="Y41" i="2"/>
  <c r="W38" i="2"/>
  <c r="X38" i="2"/>
  <c r="Y38" i="2"/>
  <c r="W33" i="2"/>
  <c r="X33" i="2"/>
  <c r="Y33" i="2"/>
  <c r="W31" i="2"/>
  <c r="X31" i="2"/>
  <c r="Y31" i="2"/>
  <c r="W29" i="2"/>
  <c r="X29" i="2"/>
  <c r="Y29" i="2"/>
  <c r="W26" i="2"/>
  <c r="X26" i="2"/>
  <c r="Y26" i="2"/>
  <c r="W25" i="2"/>
  <c r="X25" i="2"/>
  <c r="Y25" i="2"/>
  <c r="W22" i="2"/>
  <c r="X22" i="2"/>
  <c r="Y22" i="2"/>
  <c r="W21" i="2"/>
  <c r="X21" i="2"/>
  <c r="Y21" i="2"/>
  <c r="W18" i="2"/>
  <c r="X18" i="2"/>
  <c r="Y18" i="2"/>
  <c r="W17" i="2"/>
  <c r="X17" i="2"/>
  <c r="Y17" i="2"/>
  <c r="W15" i="2"/>
  <c r="X15" i="2"/>
  <c r="Y15" i="2"/>
  <c r="W13" i="2"/>
  <c r="X13" i="2"/>
  <c r="Y13" i="2"/>
  <c r="W12" i="2"/>
  <c r="X12" i="2"/>
  <c r="Y12" i="2"/>
  <c r="W11" i="2"/>
  <c r="X11" i="2"/>
  <c r="Y11" i="2"/>
  <c r="W10" i="2"/>
  <c r="X10" i="2"/>
  <c r="Y10" i="2"/>
  <c r="W8" i="2"/>
  <c r="X8" i="2"/>
  <c r="Y8" i="2"/>
  <c r="W7" i="2"/>
  <c r="X7" i="2"/>
  <c r="Y7" i="2"/>
  <c r="W6" i="2"/>
  <c r="X6" i="2"/>
  <c r="Y6" i="2"/>
  <c r="Y3" i="2"/>
  <c r="X3" i="2"/>
  <c r="W3" i="2"/>
  <c r="Y2" i="2"/>
  <c r="X2" i="2"/>
  <c r="W2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R147" i="2" s="1"/>
  <c r="N148" i="2"/>
  <c r="N149" i="2"/>
  <c r="N150" i="2"/>
  <c r="N151" i="2"/>
  <c r="N152" i="2"/>
  <c r="N153" i="2"/>
  <c r="N154" i="2"/>
  <c r="N155" i="2"/>
  <c r="R155" i="2" s="1"/>
  <c r="N156" i="2"/>
  <c r="R156" i="2" s="1"/>
  <c r="N157" i="2"/>
  <c r="N158" i="2"/>
  <c r="N159" i="2"/>
  <c r="R159" i="2" s="1"/>
  <c r="N160" i="2"/>
  <c r="N161" i="2"/>
  <c r="N162" i="2"/>
  <c r="N163" i="2"/>
  <c r="N164" i="2"/>
  <c r="N165" i="2"/>
  <c r="N166" i="2"/>
  <c r="N167" i="2"/>
  <c r="R167" i="2" s="1"/>
  <c r="W167" i="2" l="1"/>
  <c r="X167" i="2"/>
  <c r="Y167" i="2"/>
  <c r="Y159" i="2"/>
  <c r="X159" i="2"/>
  <c r="W159" i="2"/>
  <c r="Y156" i="2"/>
  <c r="X156" i="2"/>
  <c r="W156" i="2"/>
  <c r="W155" i="2"/>
  <c r="X155" i="2"/>
  <c r="Y155" i="2"/>
  <c r="Y147" i="2"/>
  <c r="X147" i="2"/>
  <c r="W147" i="2"/>
  <c r="N168" i="2"/>
  <c r="R168" i="2"/>
  <c r="Y168" i="2"/>
  <c r="X168" i="2"/>
  <c r="W168" i="2"/>
  <c r="N169" i="2"/>
  <c r="R169" i="2"/>
  <c r="W169" i="2"/>
  <c r="X169" i="2"/>
  <c r="Y169" i="2"/>
  <c r="N170" i="2"/>
  <c r="R170" i="2"/>
  <c r="W170" i="2"/>
  <c r="X170" i="2"/>
  <c r="Y170" i="2"/>
  <c r="N171" i="2"/>
  <c r="R171" i="2"/>
  <c r="W171" i="2"/>
  <c r="X171" i="2"/>
  <c r="Y171" i="2"/>
  <c r="N172" i="2"/>
  <c r="R172" i="2"/>
  <c r="W172" i="2"/>
  <c r="X172" i="2"/>
  <c r="Y172" i="2"/>
  <c r="N173" i="2"/>
  <c r="R173" i="2"/>
  <c r="W173" i="2"/>
  <c r="X173" i="2"/>
  <c r="Y173" i="2"/>
  <c r="N174" i="2"/>
  <c r="R174" i="2"/>
  <c r="Y174" i="2"/>
  <c r="X174" i="2"/>
  <c r="W174" i="2"/>
  <c r="N175" i="2"/>
  <c r="R175" i="2"/>
  <c r="Y175" i="2"/>
  <c r="X175" i="2"/>
  <c r="W175" i="2"/>
  <c r="N176" i="2"/>
  <c r="R176" i="2"/>
  <c r="Y176" i="2"/>
  <c r="X176" i="2"/>
  <c r="W176" i="2"/>
  <c r="N177" i="2"/>
  <c r="R177" i="2"/>
  <c r="Y177" i="2"/>
  <c r="X177" i="2"/>
  <c r="W177" i="2"/>
  <c r="N178" i="2"/>
  <c r="R178" i="2"/>
  <c r="Y178" i="2"/>
  <c r="X178" i="2"/>
  <c r="W178" i="2"/>
  <c r="N179" i="2"/>
  <c r="R179" i="2"/>
  <c r="Y179" i="2"/>
  <c r="X179" i="2"/>
  <c r="W179" i="2"/>
  <c r="N180" i="2"/>
  <c r="R180" i="2"/>
  <c r="Y180" i="2"/>
  <c r="X180" i="2"/>
  <c r="W180" i="2"/>
  <c r="N181" i="2"/>
  <c r="R181" i="2"/>
  <c r="W181" i="2"/>
  <c r="X181" i="2"/>
  <c r="Y181" i="2"/>
  <c r="N182" i="2"/>
  <c r="R182" i="2"/>
  <c r="W182" i="2"/>
  <c r="X182" i="2"/>
  <c r="Y182" i="2"/>
  <c r="N183" i="2"/>
  <c r="R183" i="2"/>
  <c r="W183" i="2"/>
  <c r="X183" i="2"/>
  <c r="Y183" i="2"/>
  <c r="N184" i="2"/>
  <c r="R184" i="2"/>
  <c r="W184" i="2"/>
  <c r="X184" i="2"/>
  <c r="Y184" i="2"/>
  <c r="N185" i="2"/>
  <c r="R185" i="2"/>
  <c r="Y185" i="2"/>
  <c r="X185" i="2"/>
  <c r="W185" i="2"/>
  <c r="N186" i="2"/>
  <c r="R186" i="2"/>
  <c r="Y186" i="2"/>
  <c r="X186" i="2"/>
  <c r="W186" i="2"/>
  <c r="N187" i="2"/>
  <c r="R187" i="2"/>
  <c r="Y187" i="2"/>
  <c r="X187" i="2"/>
  <c r="W187" i="2"/>
  <c r="N188" i="2"/>
  <c r="R188" i="2"/>
  <c r="W188" i="2"/>
  <c r="X188" i="2"/>
  <c r="Y188" i="2"/>
  <c r="N189" i="2"/>
  <c r="R189" i="2"/>
  <c r="Y189" i="2"/>
  <c r="X189" i="2"/>
  <c r="W189" i="2"/>
  <c r="N190" i="2"/>
  <c r="R190" i="2"/>
  <c r="Y190" i="2"/>
  <c r="X190" i="2"/>
  <c r="W190" i="2"/>
  <c r="N191" i="2"/>
  <c r="R191" i="2"/>
  <c r="Y191" i="2"/>
  <c r="X191" i="2"/>
  <c r="W191" i="2"/>
  <c r="N192" i="2"/>
  <c r="R192" i="2"/>
  <c r="Y192" i="2"/>
  <c r="X192" i="2"/>
  <c r="W192" i="2"/>
  <c r="N193" i="2"/>
  <c r="R193" i="2"/>
  <c r="Y193" i="2"/>
  <c r="X193" i="2"/>
  <c r="W193" i="2"/>
  <c r="N194" i="2"/>
  <c r="R194" i="2"/>
  <c r="W194" i="2"/>
  <c r="X194" i="2"/>
  <c r="Y194" i="2"/>
  <c r="N195" i="2"/>
  <c r="R195" i="2"/>
  <c r="Y195" i="2"/>
  <c r="X195" i="2"/>
  <c r="W195" i="2"/>
  <c r="N196" i="2"/>
  <c r="R196" i="2"/>
  <c r="Y196" i="2"/>
  <c r="X196" i="2"/>
  <c r="W196" i="2"/>
  <c r="N197" i="2"/>
  <c r="R197" i="2"/>
  <c r="Y197" i="2"/>
  <c r="X197" i="2"/>
  <c r="W197" i="2"/>
  <c r="N198" i="2"/>
  <c r="R198" i="2"/>
  <c r="Y198" i="2"/>
  <c r="X198" i="2"/>
  <c r="W198" i="2"/>
  <c r="N199" i="2"/>
  <c r="R199" i="2"/>
  <c r="Y199" i="2"/>
  <c r="X199" i="2"/>
  <c r="W199" i="2"/>
  <c r="N200" i="2"/>
  <c r="R200" i="2"/>
  <c r="Y200" i="2"/>
  <c r="X200" i="2"/>
  <c r="W200" i="2"/>
  <c r="N201" i="2"/>
  <c r="R201" i="2"/>
  <c r="W201" i="2"/>
  <c r="X201" i="2"/>
  <c r="Y201" i="2"/>
  <c r="N202" i="2"/>
  <c r="R202" i="2"/>
  <c r="Y202" i="2"/>
  <c r="X202" i="2"/>
  <c r="W202" i="2"/>
  <c r="N203" i="2"/>
  <c r="R203" i="2"/>
  <c r="Y203" i="2"/>
  <c r="X203" i="2"/>
  <c r="W203" i="2"/>
  <c r="N204" i="2"/>
  <c r="R204" i="2"/>
  <c r="W204" i="2"/>
  <c r="X204" i="2"/>
  <c r="Y204" i="2"/>
  <c r="N205" i="2"/>
  <c r="R205" i="2"/>
  <c r="W205" i="2"/>
  <c r="X205" i="2"/>
  <c r="Y205" i="2"/>
  <c r="N206" i="2"/>
  <c r="R206" i="2"/>
  <c r="W206" i="2"/>
  <c r="X206" i="2"/>
  <c r="Y206" i="2"/>
  <c r="N207" i="2"/>
  <c r="R207" i="2"/>
  <c r="W207" i="2"/>
  <c r="X207" i="2"/>
  <c r="Y207" i="2"/>
  <c r="N208" i="2"/>
  <c r="R208" i="2"/>
  <c r="Y208" i="2"/>
  <c r="X208" i="2"/>
  <c r="W208" i="2"/>
  <c r="N209" i="2"/>
  <c r="R209" i="2"/>
  <c r="Y209" i="2"/>
  <c r="X209" i="2"/>
  <c r="W209" i="2"/>
  <c r="N210" i="2"/>
  <c r="R210" i="2"/>
  <c r="Y210" i="2"/>
  <c r="X210" i="2"/>
  <c r="W210" i="2"/>
  <c r="N211" i="2"/>
  <c r="R211" i="2"/>
  <c r="Y211" i="2"/>
  <c r="X211" i="2"/>
  <c r="W211" i="2"/>
  <c r="N212" i="2"/>
  <c r="R212" i="2"/>
  <c r="Y212" i="2"/>
  <c r="X212" i="2"/>
  <c r="W212" i="2"/>
  <c r="N213" i="2"/>
  <c r="R213" i="2"/>
  <c r="Y213" i="2"/>
  <c r="X213" i="2"/>
  <c r="W213" i="2"/>
  <c r="N214" i="2"/>
  <c r="R214" i="2"/>
  <c r="W214" i="2"/>
  <c r="X214" i="2"/>
  <c r="Y214" i="2"/>
  <c r="N215" i="2"/>
  <c r="R215" i="2"/>
  <c r="Y215" i="2"/>
  <c r="X215" i="2"/>
  <c r="W215" i="2"/>
  <c r="N216" i="2"/>
  <c r="R216" i="2"/>
  <c r="Y216" i="2"/>
  <c r="X216" i="2"/>
  <c r="W216" i="2"/>
  <c r="N217" i="2"/>
  <c r="R217" i="2"/>
  <c r="Y217" i="2"/>
  <c r="X217" i="2"/>
  <c r="W217" i="2"/>
  <c r="N218" i="2"/>
  <c r="R218" i="2"/>
  <c r="Y218" i="2"/>
  <c r="X218" i="2"/>
  <c r="W218" i="2"/>
  <c r="N219" i="2"/>
  <c r="R219" i="2"/>
  <c r="Y219" i="2"/>
  <c r="X219" i="2"/>
  <c r="W219" i="2"/>
  <c r="N220" i="2"/>
  <c r="R220" i="2"/>
  <c r="Y220" i="2"/>
  <c r="X220" i="2"/>
  <c r="W220" i="2"/>
  <c r="N221" i="2"/>
  <c r="R221" i="2"/>
  <c r="Y221" i="2"/>
  <c r="X221" i="2"/>
  <c r="W221" i="2"/>
  <c r="N222" i="2"/>
  <c r="R222" i="2"/>
  <c r="Y222" i="2"/>
  <c r="X222" i="2"/>
  <c r="W222" i="2"/>
  <c r="N223" i="2"/>
  <c r="R223" i="2"/>
  <c r="Y223" i="2"/>
  <c r="X223" i="2"/>
  <c r="W223" i="2"/>
  <c r="N224" i="2"/>
  <c r="R224" i="2"/>
  <c r="Y224" i="2"/>
  <c r="X224" i="2"/>
  <c r="W224" i="2"/>
  <c r="N225" i="2"/>
  <c r="R225" i="2"/>
  <c r="Y225" i="2"/>
  <c r="X225" i="2"/>
  <c r="W225" i="2"/>
  <c r="N226" i="2"/>
  <c r="R226" i="2"/>
  <c r="Y226" i="2"/>
  <c r="X226" i="2"/>
  <c r="W226" i="2"/>
  <c r="N227" i="2"/>
  <c r="R227" i="2"/>
  <c r="W227" i="2"/>
  <c r="X227" i="2"/>
  <c r="Y227" i="2"/>
  <c r="N228" i="2"/>
  <c r="R228" i="2"/>
  <c r="Y228" i="2"/>
  <c r="X228" i="2"/>
  <c r="W228" i="2"/>
  <c r="N229" i="2"/>
  <c r="R229" i="2"/>
  <c r="W229" i="2"/>
  <c r="X229" i="2"/>
  <c r="Y229" i="2"/>
  <c r="N230" i="2"/>
  <c r="R230" i="2"/>
  <c r="W230" i="2"/>
  <c r="X230" i="2"/>
  <c r="Y230" i="2"/>
  <c r="N231" i="2"/>
  <c r="R231" i="2"/>
  <c r="Y231" i="2"/>
  <c r="X231" i="2"/>
  <c r="W231" i="2"/>
  <c r="N232" i="2"/>
  <c r="R232" i="2"/>
  <c r="Y232" i="2"/>
  <c r="X232" i="2"/>
  <c r="W232" i="2"/>
  <c r="N233" i="2"/>
  <c r="R233" i="2"/>
  <c r="Y233" i="2"/>
  <c r="X233" i="2"/>
  <c r="W233" i="2"/>
  <c r="N234" i="2"/>
  <c r="R234" i="2"/>
  <c r="Y234" i="2"/>
  <c r="X234" i="2"/>
  <c r="W234" i="2"/>
  <c r="N235" i="2"/>
  <c r="R235" i="2"/>
  <c r="W235" i="2"/>
  <c r="X235" i="2"/>
  <c r="Y235" i="2"/>
  <c r="N236" i="2"/>
  <c r="R236" i="2"/>
  <c r="W236" i="2"/>
  <c r="X236" i="2"/>
  <c r="Y236" i="2"/>
  <c r="N237" i="2"/>
  <c r="R237" i="2"/>
  <c r="Y237" i="2"/>
  <c r="X237" i="2"/>
  <c r="W237" i="2"/>
  <c r="N238" i="2"/>
  <c r="R238" i="2"/>
  <c r="Y238" i="2"/>
  <c r="X238" i="2"/>
  <c r="W238" i="2"/>
  <c r="N239" i="2"/>
  <c r="R239" i="2"/>
  <c r="W239" i="2"/>
  <c r="X239" i="2"/>
  <c r="Y239" i="2"/>
  <c r="N240" i="2"/>
  <c r="R240" i="2"/>
  <c r="W240" i="2"/>
  <c r="X240" i="2"/>
  <c r="Y240" i="2"/>
  <c r="N241" i="2"/>
  <c r="R241" i="2"/>
  <c r="W241" i="2"/>
  <c r="X241" i="2"/>
  <c r="Y241" i="2"/>
  <c r="N242" i="2"/>
  <c r="R242" i="2"/>
  <c r="W242" i="2"/>
  <c r="X242" i="2"/>
  <c r="Y242" i="2"/>
  <c r="N243" i="2"/>
  <c r="R243" i="2"/>
  <c r="Y243" i="2"/>
  <c r="X243" i="2"/>
  <c r="W243" i="2"/>
  <c r="N244" i="2"/>
  <c r="R244" i="2"/>
  <c r="W244" i="2"/>
  <c r="X244" i="2"/>
  <c r="Y244" i="2"/>
  <c r="N245" i="2"/>
  <c r="R245" i="2"/>
  <c r="Y245" i="2"/>
  <c r="X245" i="2"/>
  <c r="W245" i="2"/>
  <c r="N246" i="2"/>
  <c r="R246" i="2"/>
  <c r="Y246" i="2"/>
  <c r="X246" i="2"/>
  <c r="W246" i="2"/>
  <c r="N247" i="2"/>
  <c r="R247" i="2"/>
  <c r="Y247" i="2"/>
  <c r="X247" i="2"/>
  <c r="W247" i="2"/>
  <c r="N248" i="2"/>
  <c r="R248" i="2"/>
  <c r="W248" i="2"/>
  <c r="X248" i="2"/>
  <c r="Y248" i="2"/>
  <c r="N249" i="2"/>
  <c r="R249" i="2"/>
  <c r="W249" i="2"/>
  <c r="X249" i="2"/>
  <c r="Y249" i="2"/>
  <c r="N250" i="2"/>
  <c r="R250" i="2"/>
  <c r="Y250" i="2"/>
  <c r="X250" i="2"/>
  <c r="W250" i="2"/>
  <c r="N251" i="2"/>
  <c r="R251" i="2"/>
  <c r="W251" i="2"/>
  <c r="X251" i="2"/>
  <c r="Y251" i="2"/>
  <c r="N252" i="2"/>
  <c r="R252" i="2"/>
  <c r="Y252" i="2"/>
  <c r="X252" i="2"/>
  <c r="W252" i="2"/>
  <c r="N253" i="2"/>
  <c r="R253" i="2"/>
  <c r="Y253" i="2"/>
  <c r="X253" i="2"/>
  <c r="W253" i="2"/>
  <c r="N254" i="2"/>
  <c r="R254" i="2"/>
  <c r="W254" i="2"/>
  <c r="X254" i="2"/>
  <c r="Y254" i="2"/>
  <c r="N255" i="2"/>
  <c r="R255" i="2"/>
  <c r="Y255" i="2"/>
  <c r="X255" i="2"/>
  <c r="W255" i="2"/>
  <c r="N256" i="2"/>
  <c r="R256" i="2"/>
  <c r="Y256" i="2"/>
  <c r="X256" i="2"/>
  <c r="W256" i="2"/>
  <c r="N257" i="2"/>
  <c r="R257" i="2"/>
  <c r="Y257" i="2"/>
  <c r="X257" i="2"/>
  <c r="W257" i="2"/>
  <c r="N258" i="2"/>
  <c r="R258" i="2"/>
  <c r="Y258" i="2"/>
  <c r="X258" i="2"/>
  <c r="W258" i="2"/>
  <c r="N259" i="2"/>
  <c r="R259" i="2"/>
  <c r="Y259" i="2"/>
  <c r="X259" i="2"/>
  <c r="W259" i="2"/>
  <c r="N260" i="2"/>
  <c r="R260" i="2"/>
  <c r="Y260" i="2"/>
  <c r="X260" i="2"/>
  <c r="W260" i="2"/>
  <c r="N261" i="2"/>
  <c r="R261" i="2"/>
  <c r="Y261" i="2"/>
  <c r="X261" i="2"/>
  <c r="W261" i="2"/>
  <c r="N262" i="2"/>
  <c r="R262" i="2"/>
  <c r="W262" i="2"/>
  <c r="X262" i="2"/>
  <c r="Y262" i="2"/>
  <c r="N263" i="2"/>
  <c r="R263" i="2"/>
  <c r="W263" i="2"/>
  <c r="X263" i="2"/>
  <c r="Y263" i="2"/>
  <c r="N264" i="2"/>
  <c r="R264" i="2"/>
  <c r="W264" i="2"/>
  <c r="X264" i="2"/>
  <c r="Y264" i="2"/>
  <c r="N265" i="2"/>
  <c r="R265" i="2"/>
  <c r="Y265" i="2"/>
  <c r="X265" i="2"/>
  <c r="W265" i="2"/>
  <c r="N266" i="2"/>
  <c r="R266" i="2"/>
  <c r="Y266" i="2"/>
  <c r="X266" i="2"/>
  <c r="W266" i="2"/>
  <c r="N267" i="2"/>
  <c r="R267" i="2"/>
  <c r="W267" i="2"/>
  <c r="X267" i="2"/>
  <c r="Y267" i="2"/>
  <c r="N268" i="2"/>
  <c r="R268" i="2"/>
  <c r="Y268" i="2"/>
  <c r="X268" i="2"/>
  <c r="W268" i="2"/>
  <c r="N269" i="2"/>
  <c r="R269" i="2"/>
  <c r="W269" i="2"/>
  <c r="X269" i="2"/>
  <c r="Y269" i="2"/>
  <c r="N270" i="2"/>
  <c r="R270" i="2"/>
  <c r="Y270" i="2"/>
  <c r="X270" i="2"/>
  <c r="W270" i="2"/>
  <c r="N271" i="2"/>
  <c r="R271" i="2"/>
  <c r="Y271" i="2"/>
  <c r="X271" i="2"/>
  <c r="W271" i="2"/>
  <c r="N272" i="2"/>
  <c r="R272" i="2"/>
  <c r="W272" i="2"/>
  <c r="X272" i="2"/>
  <c r="Y272" i="2"/>
  <c r="N273" i="2"/>
  <c r="R273" i="2"/>
  <c r="W273" i="2"/>
  <c r="X273" i="2"/>
  <c r="Y273" i="2"/>
  <c r="N274" i="2"/>
  <c r="R274" i="2"/>
  <c r="W274" i="2"/>
  <c r="X274" i="2"/>
  <c r="Y274" i="2"/>
  <c r="N275" i="2"/>
  <c r="R275" i="2"/>
  <c r="Y275" i="2"/>
  <c r="X275" i="2"/>
  <c r="W275" i="2"/>
  <c r="N276" i="2"/>
  <c r="R276" i="2"/>
  <c r="W276" i="2"/>
  <c r="X276" i="2"/>
  <c r="Y276" i="2"/>
  <c r="N277" i="2"/>
  <c r="R277" i="2"/>
  <c r="W277" i="2"/>
  <c r="X277" i="2"/>
  <c r="Y277" i="2"/>
  <c r="N278" i="2"/>
  <c r="R278" i="2"/>
  <c r="Y278" i="2"/>
  <c r="X278" i="2"/>
  <c r="W278" i="2"/>
  <c r="N279" i="2"/>
  <c r="R279" i="2"/>
  <c r="W279" i="2"/>
  <c r="X279" i="2"/>
  <c r="Y279" i="2"/>
  <c r="N280" i="2"/>
  <c r="R280" i="2"/>
  <c r="W280" i="2"/>
  <c r="X280" i="2"/>
  <c r="Y280" i="2"/>
  <c r="N281" i="2"/>
  <c r="R281" i="2"/>
  <c r="W281" i="2"/>
  <c r="X281" i="2"/>
  <c r="Y281" i="2"/>
  <c r="N282" i="2"/>
  <c r="R282" i="2"/>
  <c r="W282" i="2"/>
  <c r="X282" i="2"/>
  <c r="Y282" i="2"/>
  <c r="N283" i="2"/>
  <c r="R283" i="2"/>
  <c r="Y283" i="2"/>
  <c r="X283" i="2"/>
  <c r="W283" i="2"/>
  <c r="N284" i="2"/>
  <c r="R284" i="2"/>
  <c r="Y284" i="2"/>
  <c r="X284" i="2"/>
  <c r="W284" i="2"/>
  <c r="N285" i="2"/>
  <c r="R285" i="2"/>
  <c r="W285" i="2"/>
  <c r="X285" i="2"/>
  <c r="Y285" i="2"/>
  <c r="N286" i="2"/>
  <c r="R286" i="2"/>
  <c r="W286" i="2"/>
  <c r="X286" i="2"/>
  <c r="Y286" i="2"/>
  <c r="N287" i="2"/>
  <c r="R287" i="2"/>
  <c r="Y287" i="2"/>
  <c r="X287" i="2"/>
  <c r="W287" i="2"/>
  <c r="N288" i="2"/>
  <c r="R288" i="2"/>
  <c r="Y288" i="2"/>
  <c r="X288" i="2"/>
  <c r="W288" i="2"/>
  <c r="N289" i="2"/>
  <c r="R289" i="2"/>
  <c r="Y289" i="2"/>
  <c r="X289" i="2"/>
  <c r="W289" i="2"/>
  <c r="N290" i="2"/>
  <c r="R290" i="2"/>
  <c r="Y290" i="2"/>
  <c r="X290" i="2"/>
  <c r="W290" i="2"/>
  <c r="N291" i="2"/>
  <c r="R291" i="2"/>
  <c r="Y291" i="2"/>
  <c r="X291" i="2"/>
  <c r="W291" i="2"/>
  <c r="N292" i="2"/>
  <c r="R292" i="2"/>
  <c r="W292" i="2"/>
  <c r="X292" i="2"/>
  <c r="Y292" i="2"/>
  <c r="N293" i="2"/>
  <c r="R293" i="2"/>
  <c r="W293" i="2"/>
  <c r="X293" i="2"/>
  <c r="Y293" i="2"/>
  <c r="N294" i="2"/>
  <c r="R294" i="2"/>
  <c r="Y294" i="2"/>
  <c r="X294" i="2"/>
  <c r="W294" i="2"/>
  <c r="N295" i="2"/>
  <c r="R295" i="2"/>
  <c r="Y295" i="2"/>
  <c r="X295" i="2"/>
  <c r="W295" i="2"/>
  <c r="N296" i="2"/>
  <c r="R296" i="2"/>
  <c r="W296" i="2"/>
  <c r="X296" i="2"/>
  <c r="Y296" i="2"/>
  <c r="N297" i="2"/>
  <c r="R297" i="2"/>
  <c r="W297" i="2"/>
  <c r="X297" i="2"/>
  <c r="Y297" i="2"/>
  <c r="N298" i="2"/>
  <c r="R298" i="2"/>
  <c r="W298" i="2"/>
  <c r="X298" i="2"/>
  <c r="Y298" i="2"/>
  <c r="N299" i="2"/>
  <c r="R299" i="2"/>
  <c r="W299" i="2"/>
  <c r="X299" i="2"/>
  <c r="Y299" i="2"/>
  <c r="N300" i="2"/>
  <c r="R300" i="2"/>
  <c r="W300" i="2"/>
  <c r="X300" i="2"/>
  <c r="Y300" i="2"/>
  <c r="N301" i="2"/>
  <c r="R301" i="2"/>
  <c r="Y301" i="2"/>
  <c r="X301" i="2"/>
  <c r="W301" i="2"/>
  <c r="N302" i="2"/>
  <c r="R302" i="2"/>
  <c r="W302" i="2"/>
  <c r="X302" i="2"/>
  <c r="Y302" i="2"/>
  <c r="N303" i="2"/>
  <c r="R303" i="2"/>
  <c r="W303" i="2"/>
  <c r="X303" i="2"/>
  <c r="Y303" i="2"/>
  <c r="N304" i="2"/>
  <c r="R304" i="2"/>
  <c r="W304" i="2"/>
  <c r="X304" i="2"/>
  <c r="Y304" i="2"/>
  <c r="N305" i="2"/>
  <c r="R305" i="2"/>
  <c r="W305" i="2"/>
  <c r="X305" i="2"/>
  <c r="Y305" i="2"/>
  <c r="N306" i="2"/>
  <c r="R306" i="2"/>
  <c r="Y306" i="2"/>
  <c r="X306" i="2"/>
  <c r="W306" i="2"/>
  <c r="N307" i="2"/>
  <c r="R307" i="2"/>
  <c r="Y307" i="2"/>
  <c r="X307" i="2"/>
  <c r="W307" i="2"/>
  <c r="N308" i="2"/>
  <c r="R308" i="2"/>
  <c r="W308" i="2"/>
  <c r="X308" i="2"/>
  <c r="Y308" i="2"/>
  <c r="N309" i="2"/>
  <c r="R309" i="2"/>
  <c r="Y309" i="2"/>
  <c r="X309" i="2"/>
  <c r="W309" i="2"/>
  <c r="N310" i="2"/>
  <c r="R310" i="2"/>
  <c r="Y310" i="2"/>
  <c r="X310" i="2"/>
  <c r="W310" i="2"/>
  <c r="N311" i="2"/>
  <c r="R311" i="2"/>
  <c r="W311" i="2"/>
  <c r="X311" i="2"/>
  <c r="Y311" i="2"/>
  <c r="N312" i="2"/>
  <c r="R312" i="2"/>
  <c r="W312" i="2"/>
  <c r="X312" i="2"/>
  <c r="Y312" i="2"/>
  <c r="N313" i="2"/>
  <c r="R313" i="2"/>
  <c r="Y313" i="2"/>
  <c r="X313" i="2"/>
  <c r="W313" i="2"/>
  <c r="N314" i="2"/>
  <c r="R314" i="2"/>
  <c r="W314" i="2"/>
  <c r="X314" i="2"/>
  <c r="Y314" i="2"/>
  <c r="N315" i="2"/>
  <c r="R315" i="2"/>
  <c r="Y315" i="2"/>
  <c r="X315" i="2"/>
  <c r="W315" i="2"/>
  <c r="N316" i="2"/>
  <c r="R316" i="2"/>
  <c r="W316" i="2"/>
  <c r="X316" i="2"/>
  <c r="Y316" i="2"/>
  <c r="N317" i="2"/>
  <c r="R317" i="2"/>
  <c r="Y317" i="2"/>
  <c r="X317" i="2"/>
  <c r="W317" i="2"/>
  <c r="N318" i="2"/>
  <c r="R318" i="2"/>
  <c r="W318" i="2"/>
  <c r="X318" i="2"/>
  <c r="Y318" i="2"/>
  <c r="N319" i="2"/>
  <c r="R319" i="2"/>
  <c r="Y319" i="2"/>
  <c r="X319" i="2"/>
  <c r="W319" i="2"/>
  <c r="N320" i="2"/>
  <c r="R320" i="2"/>
  <c r="Y320" i="2"/>
  <c r="X320" i="2"/>
  <c r="W320" i="2"/>
  <c r="N321" i="2"/>
  <c r="R321" i="2"/>
  <c r="Y321" i="2"/>
  <c r="X321" i="2"/>
  <c r="W321" i="2"/>
  <c r="N322" i="2"/>
  <c r="R322" i="2"/>
  <c r="Y322" i="2"/>
  <c r="X322" i="2"/>
  <c r="W322" i="2"/>
  <c r="N323" i="2"/>
  <c r="R323" i="2"/>
  <c r="W323" i="2"/>
  <c r="X323" i="2"/>
  <c r="Y323" i="2"/>
  <c r="N324" i="2"/>
  <c r="R324" i="2"/>
  <c r="Y324" i="2"/>
  <c r="X324" i="2"/>
  <c r="W324" i="2"/>
  <c r="N325" i="2"/>
  <c r="R325" i="2"/>
  <c r="Y325" i="2"/>
  <c r="X325" i="2"/>
  <c r="W325" i="2"/>
  <c r="N326" i="2"/>
  <c r="R326" i="2"/>
  <c r="W326" i="2"/>
  <c r="X326" i="2"/>
  <c r="Y326" i="2"/>
  <c r="N327" i="2"/>
  <c r="R327" i="2"/>
  <c r="W327" i="2"/>
  <c r="X327" i="2"/>
  <c r="Y327" i="2"/>
  <c r="N328" i="2"/>
  <c r="R328" i="2"/>
  <c r="Y328" i="2"/>
  <c r="X328" i="2"/>
  <c r="W328" i="2"/>
  <c r="N329" i="2"/>
  <c r="R329" i="2"/>
  <c r="Y329" i="2"/>
  <c r="X329" i="2"/>
  <c r="W329" i="2"/>
  <c r="N330" i="2"/>
  <c r="R330" i="2"/>
  <c r="W330" i="2"/>
  <c r="X330" i="2"/>
  <c r="Y330" i="2"/>
  <c r="N331" i="2"/>
  <c r="R331" i="2"/>
  <c r="Y331" i="2"/>
  <c r="X331" i="2"/>
  <c r="W331" i="2"/>
  <c r="N332" i="2"/>
  <c r="R332" i="2"/>
  <c r="Y332" i="2"/>
  <c r="X332" i="2"/>
  <c r="W332" i="2"/>
  <c r="N333" i="2"/>
  <c r="R333" i="2"/>
  <c r="Y333" i="2"/>
  <c r="X333" i="2"/>
  <c r="W333" i="2"/>
  <c r="N334" i="2"/>
  <c r="R334" i="2"/>
  <c r="W334" i="2"/>
  <c r="X334" i="2"/>
  <c r="Y334" i="2"/>
  <c r="N335" i="2"/>
  <c r="R335" i="2"/>
  <c r="W335" i="2"/>
  <c r="X335" i="2"/>
  <c r="Y335" i="2"/>
  <c r="N336" i="2"/>
  <c r="R336" i="2"/>
  <c r="Y336" i="2"/>
  <c r="X336" i="2"/>
  <c r="W336" i="2"/>
  <c r="N337" i="2"/>
  <c r="R337" i="2"/>
  <c r="W337" i="2"/>
  <c r="X337" i="2"/>
  <c r="Y337" i="2"/>
  <c r="N338" i="2"/>
  <c r="R338" i="2"/>
  <c r="Y338" i="2"/>
  <c r="X338" i="2"/>
  <c r="W338" i="2"/>
  <c r="N339" i="2"/>
  <c r="R339" i="2"/>
  <c r="Y339" i="2"/>
  <c r="X339" i="2"/>
  <c r="W339" i="2"/>
  <c r="N340" i="2"/>
  <c r="R340" i="2"/>
  <c r="Y340" i="2"/>
  <c r="X340" i="2"/>
  <c r="W340" i="2"/>
  <c r="N341" i="2"/>
  <c r="R341" i="2"/>
  <c r="W341" i="2"/>
  <c r="X341" i="2"/>
  <c r="Y341" i="2"/>
  <c r="N342" i="2"/>
  <c r="R342" i="2"/>
  <c r="W342" i="2"/>
  <c r="X342" i="2"/>
  <c r="Y342" i="2"/>
  <c r="N343" i="2"/>
  <c r="R343" i="2"/>
  <c r="W343" i="2"/>
  <c r="X343" i="2"/>
  <c r="Y343" i="2"/>
  <c r="N344" i="2"/>
  <c r="R344" i="2"/>
  <c r="Y344" i="2"/>
  <c r="X344" i="2"/>
  <c r="W344" i="2"/>
  <c r="N345" i="2"/>
  <c r="R345" i="2"/>
  <c r="Y345" i="2"/>
  <c r="X345" i="2"/>
  <c r="W345" i="2"/>
  <c r="N346" i="2"/>
  <c r="R346" i="2"/>
  <c r="W346" i="2"/>
  <c r="X346" i="2"/>
  <c r="Y346" i="2"/>
  <c r="N347" i="2"/>
  <c r="R347" i="2"/>
  <c r="W347" i="2"/>
  <c r="X347" i="2"/>
  <c r="Y347" i="2"/>
  <c r="N348" i="2"/>
  <c r="R348" i="2"/>
  <c r="Y348" i="2"/>
  <c r="X348" i="2"/>
  <c r="W348" i="2"/>
  <c r="N349" i="2"/>
  <c r="R349" i="2"/>
  <c r="Y349" i="2"/>
  <c r="X349" i="2"/>
  <c r="W349" i="2"/>
  <c r="N350" i="2"/>
  <c r="R350" i="2"/>
  <c r="Y350" i="2"/>
  <c r="X350" i="2"/>
  <c r="W350" i="2"/>
  <c r="N351" i="2"/>
  <c r="R351" i="2"/>
  <c r="Y351" i="2"/>
  <c r="X351" i="2"/>
  <c r="W351" i="2"/>
  <c r="N352" i="2"/>
  <c r="R352" i="2"/>
  <c r="W352" i="2"/>
  <c r="X352" i="2"/>
  <c r="Y352" i="2"/>
  <c r="N353" i="2"/>
  <c r="R353" i="2"/>
  <c r="Y353" i="2"/>
  <c r="X353" i="2"/>
  <c r="W353" i="2"/>
  <c r="N354" i="2"/>
  <c r="R354" i="2"/>
  <c r="Y354" i="2"/>
  <c r="X354" i="2"/>
  <c r="W354" i="2"/>
  <c r="N355" i="2"/>
  <c r="R355" i="2"/>
  <c r="Y355" i="2"/>
  <c r="X355" i="2"/>
  <c r="W355" i="2"/>
  <c r="N356" i="2"/>
  <c r="R356" i="2"/>
  <c r="Y356" i="2"/>
  <c r="X356" i="2"/>
  <c r="W356" i="2"/>
  <c r="N357" i="2"/>
  <c r="R357" i="2"/>
  <c r="W357" i="2"/>
  <c r="X357" i="2"/>
  <c r="Y357" i="2"/>
  <c r="N358" i="2"/>
  <c r="R358" i="2"/>
  <c r="W358" i="2"/>
  <c r="X358" i="2"/>
  <c r="Y358" i="2"/>
  <c r="N359" i="2"/>
  <c r="R359" i="2"/>
  <c r="Y359" i="2"/>
  <c r="X359" i="2"/>
  <c r="W359" i="2"/>
  <c r="N360" i="2"/>
  <c r="R360" i="2"/>
  <c r="Y360" i="2"/>
  <c r="X360" i="2"/>
  <c r="W360" i="2"/>
  <c r="N361" i="2"/>
  <c r="R361" i="2"/>
  <c r="Y361" i="2"/>
  <c r="X361" i="2"/>
  <c r="W361" i="2"/>
  <c r="N362" i="2"/>
  <c r="R362" i="2"/>
  <c r="Y362" i="2"/>
  <c r="X362" i="2"/>
  <c r="W362" i="2"/>
  <c r="N363" i="2"/>
  <c r="R363" i="2"/>
  <c r="W363" i="2"/>
  <c r="X363" i="2"/>
  <c r="Y363" i="2"/>
  <c r="N364" i="2"/>
  <c r="R364" i="2"/>
  <c r="W364" i="2"/>
  <c r="X364" i="2"/>
  <c r="Y364" i="2"/>
  <c r="N365" i="2"/>
  <c r="R365" i="2"/>
  <c r="Y365" i="2"/>
  <c r="X365" i="2"/>
  <c r="W365" i="2"/>
  <c r="N366" i="2"/>
  <c r="R366" i="2"/>
  <c r="Y366" i="2"/>
  <c r="X366" i="2"/>
  <c r="W366" i="2"/>
  <c r="N367" i="2"/>
  <c r="R367" i="2"/>
  <c r="Y367" i="2"/>
  <c r="X367" i="2"/>
  <c r="W367" i="2"/>
  <c r="N368" i="2"/>
  <c r="R368" i="2"/>
  <c r="Y368" i="2"/>
  <c r="X368" i="2"/>
  <c r="W368" i="2"/>
  <c r="N369" i="2"/>
  <c r="R369" i="2"/>
  <c r="Y369" i="2"/>
  <c r="X369" i="2"/>
  <c r="W369" i="2"/>
  <c r="N370" i="2"/>
  <c r="R370" i="2"/>
  <c r="Y370" i="2"/>
  <c r="X370" i="2"/>
  <c r="W370" i="2"/>
  <c r="N371" i="2"/>
  <c r="R371" i="2"/>
  <c r="W371" i="2"/>
  <c r="X371" i="2"/>
  <c r="Y371" i="2"/>
  <c r="N372" i="2"/>
  <c r="R372" i="2"/>
  <c r="Y372" i="2"/>
  <c r="X372" i="2"/>
  <c r="W372" i="2"/>
  <c r="N373" i="2"/>
  <c r="R373" i="2"/>
  <c r="Y373" i="2"/>
  <c r="X373" i="2"/>
  <c r="W373" i="2"/>
  <c r="N374" i="2"/>
  <c r="R374" i="2"/>
  <c r="W374" i="2"/>
  <c r="X374" i="2"/>
  <c r="Y374" i="2"/>
  <c r="N375" i="2"/>
  <c r="R375" i="2"/>
  <c r="Y375" i="2"/>
  <c r="X375" i="2"/>
  <c r="W375" i="2"/>
  <c r="N376" i="2"/>
  <c r="R376" i="2"/>
  <c r="Y376" i="2"/>
  <c r="X376" i="2"/>
  <c r="W376" i="2"/>
  <c r="N377" i="2"/>
  <c r="R377" i="2"/>
  <c r="Y377" i="2"/>
  <c r="X377" i="2"/>
  <c r="W377" i="2"/>
  <c r="N378" i="2"/>
  <c r="R378" i="2"/>
  <c r="Y378" i="2"/>
  <c r="X378" i="2"/>
  <c r="W378" i="2"/>
  <c r="N379" i="2"/>
  <c r="R379" i="2"/>
  <c r="W379" i="2"/>
  <c r="X379" i="2"/>
  <c r="Y379" i="2"/>
  <c r="N380" i="2"/>
  <c r="R380" i="2"/>
  <c r="W380" i="2"/>
  <c r="X380" i="2"/>
  <c r="Y380" i="2"/>
  <c r="N381" i="2"/>
  <c r="R381" i="2"/>
  <c r="W381" i="2"/>
  <c r="X381" i="2"/>
  <c r="Y381" i="2"/>
  <c r="N382" i="2"/>
  <c r="R382" i="2"/>
  <c r="W382" i="2"/>
  <c r="X382" i="2"/>
  <c r="Y382" i="2"/>
  <c r="N383" i="2"/>
  <c r="R383" i="2"/>
  <c r="W383" i="2"/>
  <c r="X383" i="2"/>
  <c r="Y383" i="2"/>
  <c r="N384" i="2"/>
  <c r="R384" i="2"/>
  <c r="Y384" i="2"/>
  <c r="X384" i="2"/>
  <c r="W384" i="2"/>
  <c r="N385" i="2"/>
  <c r="R385" i="2"/>
  <c r="Y385" i="2"/>
  <c r="X385" i="2"/>
  <c r="W385" i="2"/>
  <c r="N386" i="2"/>
  <c r="R386" i="2"/>
  <c r="Y386" i="2"/>
  <c r="X386" i="2"/>
  <c r="W386" i="2"/>
  <c r="N387" i="2"/>
  <c r="R387" i="2"/>
  <c r="W387" i="2"/>
  <c r="X387" i="2"/>
  <c r="Y387" i="2"/>
  <c r="N388" i="2"/>
  <c r="R388" i="2"/>
  <c r="Y388" i="2"/>
  <c r="X388" i="2"/>
  <c r="W388" i="2"/>
  <c r="N389" i="2"/>
  <c r="R389" i="2"/>
  <c r="Y389" i="2"/>
  <c r="X389" i="2"/>
  <c r="W389" i="2"/>
  <c r="N390" i="2"/>
  <c r="R390" i="2"/>
  <c r="Y390" i="2"/>
  <c r="X390" i="2"/>
  <c r="W390" i="2"/>
  <c r="N391" i="2"/>
  <c r="R391" i="2"/>
  <c r="W391" i="2"/>
  <c r="X391" i="2"/>
  <c r="Y391" i="2"/>
  <c r="N392" i="2"/>
  <c r="R392" i="2"/>
  <c r="Y392" i="2"/>
  <c r="X392" i="2"/>
  <c r="W392" i="2"/>
  <c r="N393" i="2"/>
  <c r="R393" i="2"/>
  <c r="W393" i="2"/>
  <c r="X393" i="2"/>
  <c r="Y393" i="2"/>
  <c r="N394" i="2"/>
  <c r="R394" i="2"/>
  <c r="Y394" i="2"/>
  <c r="X394" i="2"/>
  <c r="W394" i="2"/>
  <c r="N395" i="2"/>
  <c r="R395" i="2"/>
  <c r="Y395" i="2"/>
  <c r="X395" i="2"/>
  <c r="W395" i="2"/>
  <c r="N396" i="2"/>
  <c r="R396" i="2"/>
  <c r="Y396" i="2"/>
  <c r="X396" i="2"/>
  <c r="W396" i="2"/>
  <c r="N397" i="2"/>
  <c r="R397" i="2"/>
  <c r="W397" i="2"/>
  <c r="X397" i="2"/>
  <c r="Y397" i="2"/>
  <c r="N398" i="2"/>
  <c r="R398" i="2"/>
  <c r="Y398" i="2"/>
  <c r="X398" i="2"/>
  <c r="W398" i="2"/>
  <c r="N399" i="2"/>
  <c r="R399" i="2"/>
  <c r="Y399" i="2"/>
  <c r="X399" i="2"/>
  <c r="W399" i="2"/>
  <c r="N400" i="2"/>
  <c r="R400" i="2"/>
  <c r="Y400" i="2"/>
  <c r="X400" i="2"/>
  <c r="W400" i="2"/>
  <c r="N401" i="2"/>
  <c r="R401" i="2"/>
  <c r="Y401" i="2"/>
  <c r="X401" i="2"/>
  <c r="W401" i="2"/>
  <c r="N402" i="2"/>
  <c r="R402" i="2"/>
  <c r="W402" i="2"/>
  <c r="X402" i="2"/>
  <c r="Y402" i="2"/>
  <c r="N403" i="2"/>
  <c r="R403" i="2"/>
  <c r="W403" i="2"/>
  <c r="X403" i="2"/>
  <c r="Y403" i="2"/>
  <c r="N404" i="2"/>
  <c r="R404" i="2"/>
  <c r="W404" i="2"/>
  <c r="X404" i="2"/>
  <c r="Y404" i="2"/>
  <c r="N405" i="2"/>
  <c r="R405" i="2"/>
  <c r="W405" i="2"/>
  <c r="X405" i="2"/>
  <c r="Y405" i="2"/>
  <c r="N406" i="2"/>
  <c r="R406" i="2"/>
  <c r="Y406" i="2"/>
  <c r="X406" i="2"/>
  <c r="W406" i="2"/>
  <c r="N407" i="2"/>
  <c r="R407" i="2"/>
  <c r="Y407" i="2"/>
  <c r="X407" i="2"/>
  <c r="W407" i="2"/>
  <c r="N408" i="2"/>
  <c r="R408" i="2"/>
  <c r="W408" i="2"/>
  <c r="X408" i="2"/>
  <c r="Y408" i="2"/>
  <c r="N409" i="2"/>
  <c r="R409" i="2"/>
  <c r="W409" i="2"/>
  <c r="X409" i="2"/>
  <c r="Y409" i="2"/>
  <c r="N410" i="2"/>
  <c r="R410" i="2"/>
  <c r="W410" i="2"/>
  <c r="X410" i="2"/>
  <c r="Y410" i="2"/>
  <c r="N411" i="2"/>
  <c r="R411" i="2"/>
  <c r="Y411" i="2"/>
  <c r="X411" i="2"/>
  <c r="W411" i="2"/>
  <c r="N412" i="2"/>
  <c r="R412" i="2"/>
  <c r="W412" i="2"/>
  <c r="X412" i="2"/>
  <c r="Y412" i="2"/>
  <c r="N413" i="2"/>
  <c r="R413" i="2"/>
  <c r="W413" i="2"/>
  <c r="X413" i="2"/>
  <c r="Y413" i="2"/>
  <c r="N414" i="2"/>
  <c r="R414" i="2"/>
  <c r="W414" i="2"/>
  <c r="X414" i="2"/>
  <c r="Y414" i="2"/>
  <c r="N415" i="2"/>
  <c r="R415" i="2"/>
  <c r="Y415" i="2"/>
  <c r="X415" i="2"/>
  <c r="W415" i="2"/>
  <c r="N416" i="2"/>
  <c r="R416" i="2"/>
  <c r="Y416" i="2"/>
  <c r="X416" i="2"/>
  <c r="W416" i="2"/>
  <c r="N417" i="2"/>
  <c r="R417" i="2"/>
  <c r="Y417" i="2"/>
  <c r="X417" i="2"/>
  <c r="W417" i="2"/>
  <c r="N418" i="2"/>
  <c r="R418" i="2"/>
  <c r="Y418" i="2"/>
  <c r="X418" i="2"/>
  <c r="W418" i="2"/>
  <c r="N419" i="2"/>
  <c r="R419" i="2"/>
  <c r="Y419" i="2"/>
  <c r="X419" i="2"/>
  <c r="W419" i="2"/>
  <c r="N420" i="2"/>
  <c r="R420" i="2"/>
  <c r="Y420" i="2"/>
  <c r="X420" i="2"/>
  <c r="W420" i="2"/>
  <c r="N421" i="2"/>
  <c r="R421" i="2"/>
  <c r="Y421" i="2"/>
  <c r="X421" i="2"/>
  <c r="W421" i="2"/>
  <c r="N422" i="2"/>
  <c r="R422" i="2"/>
  <c r="Y422" i="2"/>
  <c r="X422" i="2"/>
  <c r="W422" i="2"/>
  <c r="N423" i="2"/>
  <c r="R423" i="2"/>
  <c r="W423" i="2"/>
  <c r="X423" i="2"/>
  <c r="Y423" i="2"/>
  <c r="N424" i="2"/>
  <c r="R424" i="2"/>
  <c r="Y424" i="2"/>
  <c r="X424" i="2"/>
  <c r="W424" i="2"/>
  <c r="N425" i="2"/>
  <c r="R425" i="2"/>
  <c r="W425" i="2"/>
  <c r="X425" i="2"/>
  <c r="Y425" i="2"/>
  <c r="N426" i="2"/>
  <c r="R426" i="2"/>
  <c r="Y426" i="2"/>
  <c r="X426" i="2"/>
  <c r="W426" i="2"/>
  <c r="N427" i="2"/>
  <c r="R427" i="2"/>
  <c r="Y427" i="2"/>
  <c r="X427" i="2"/>
  <c r="W427" i="2"/>
  <c r="N428" i="2"/>
  <c r="R428" i="2"/>
  <c r="Y428" i="2"/>
  <c r="X428" i="2"/>
  <c r="W428" i="2"/>
  <c r="N429" i="2"/>
  <c r="R429" i="2"/>
  <c r="Y429" i="2"/>
  <c r="X429" i="2"/>
  <c r="W429" i="2"/>
  <c r="N430" i="2"/>
  <c r="R430" i="2"/>
  <c r="Y430" i="2"/>
  <c r="X430" i="2"/>
  <c r="W430" i="2"/>
  <c r="N431" i="2"/>
  <c r="R431" i="2"/>
  <c r="Y431" i="2"/>
  <c r="X431" i="2"/>
  <c r="W431" i="2"/>
  <c r="N432" i="2"/>
  <c r="R432" i="2"/>
  <c r="Y432" i="2"/>
  <c r="X432" i="2"/>
  <c r="W432" i="2"/>
  <c r="N433" i="2"/>
  <c r="R433" i="2"/>
  <c r="Y433" i="2"/>
  <c r="X433" i="2"/>
  <c r="W433" i="2"/>
  <c r="N434" i="2"/>
  <c r="R434" i="2"/>
  <c r="Y434" i="2"/>
  <c r="X434" i="2"/>
  <c r="W434" i="2"/>
  <c r="N435" i="2"/>
  <c r="R435" i="2"/>
  <c r="Y435" i="2"/>
  <c r="X435" i="2"/>
  <c r="W435" i="2"/>
  <c r="N436" i="2"/>
  <c r="R436" i="2"/>
  <c r="Y436" i="2"/>
  <c r="X436" i="2"/>
  <c r="W436" i="2"/>
  <c r="N437" i="2"/>
  <c r="R437" i="2"/>
  <c r="W437" i="2"/>
  <c r="X437" i="2"/>
  <c r="Y437" i="2"/>
  <c r="N438" i="2"/>
  <c r="R438" i="2"/>
  <c r="Y438" i="2"/>
  <c r="X438" i="2"/>
  <c r="W438" i="2"/>
  <c r="N439" i="2"/>
  <c r="R439" i="2"/>
  <c r="W439" i="2"/>
  <c r="X439" i="2"/>
  <c r="Y439" i="2"/>
  <c r="N440" i="2"/>
  <c r="R440" i="2"/>
  <c r="Y440" i="2"/>
  <c r="X440" i="2"/>
  <c r="W440" i="2"/>
  <c r="N441" i="2"/>
  <c r="R441" i="2"/>
  <c r="W441" i="2"/>
  <c r="X441" i="2"/>
  <c r="Y441" i="2"/>
  <c r="N442" i="2"/>
  <c r="R442" i="2"/>
  <c r="Y442" i="2"/>
  <c r="X442" i="2"/>
  <c r="W442" i="2"/>
  <c r="N443" i="2"/>
  <c r="R443" i="2"/>
  <c r="W443" i="2"/>
  <c r="X443" i="2"/>
  <c r="Y443" i="2"/>
  <c r="N444" i="2"/>
  <c r="R444" i="2"/>
  <c r="Y444" i="2"/>
  <c r="X444" i="2"/>
  <c r="W444" i="2"/>
  <c r="N445" i="2"/>
  <c r="R445" i="2"/>
  <c r="W445" i="2"/>
  <c r="X445" i="2"/>
  <c r="Y445" i="2"/>
  <c r="N446" i="2"/>
  <c r="R446" i="2"/>
  <c r="Y446" i="2"/>
  <c r="X446" i="2"/>
  <c r="W446" i="2"/>
  <c r="N447" i="2"/>
  <c r="R447" i="2"/>
  <c r="Y447" i="2"/>
  <c r="X447" i="2"/>
  <c r="W447" i="2"/>
  <c r="N448" i="2"/>
  <c r="R448" i="2"/>
  <c r="W448" i="2"/>
  <c r="X448" i="2"/>
  <c r="Y448" i="2"/>
  <c r="N449" i="2"/>
  <c r="R449" i="2"/>
  <c r="W449" i="2"/>
  <c r="X449" i="2"/>
  <c r="Y449" i="2"/>
  <c r="N450" i="2"/>
  <c r="R450" i="2"/>
  <c r="W450" i="2"/>
  <c r="X450" i="2"/>
  <c r="Y450" i="2"/>
  <c r="N451" i="2"/>
  <c r="R451" i="2"/>
  <c r="W451" i="2"/>
  <c r="X451" i="2"/>
  <c r="Y451" i="2"/>
  <c r="N452" i="2"/>
  <c r="R452" i="2"/>
  <c r="W452" i="2"/>
  <c r="X452" i="2"/>
  <c r="Y452" i="2"/>
  <c r="N453" i="2"/>
  <c r="R453" i="2"/>
  <c r="W453" i="2"/>
  <c r="X453" i="2"/>
  <c r="Y453" i="2"/>
  <c r="N454" i="2"/>
  <c r="R454" i="2"/>
  <c r="W454" i="2"/>
  <c r="X454" i="2"/>
  <c r="Y454" i="2"/>
  <c r="N455" i="2"/>
  <c r="R455" i="2"/>
  <c r="Y455" i="2"/>
  <c r="X455" i="2"/>
  <c r="W455" i="2"/>
  <c r="N456" i="2"/>
  <c r="R456" i="2"/>
  <c r="Y456" i="2"/>
  <c r="X456" i="2"/>
  <c r="W456" i="2"/>
  <c r="N457" i="2"/>
  <c r="R457" i="2"/>
  <c r="Y457" i="2"/>
  <c r="X457" i="2"/>
  <c r="W457" i="2"/>
  <c r="N458" i="2"/>
  <c r="R458" i="2"/>
  <c r="Y458" i="2"/>
  <c r="X458" i="2"/>
  <c r="W458" i="2"/>
  <c r="N459" i="2"/>
  <c r="R459" i="2"/>
  <c r="Y459" i="2"/>
  <c r="X459" i="2"/>
  <c r="W459" i="2"/>
  <c r="N460" i="2"/>
  <c r="R460" i="2"/>
  <c r="Y460" i="2"/>
  <c r="X460" i="2"/>
  <c r="W460" i="2"/>
  <c r="N461" i="2"/>
  <c r="R461" i="2"/>
  <c r="W461" i="2"/>
  <c r="X461" i="2"/>
  <c r="Y461" i="2"/>
  <c r="N462" i="2"/>
  <c r="R462" i="2"/>
  <c r="Y462" i="2"/>
  <c r="X462" i="2"/>
  <c r="W462" i="2"/>
  <c r="N463" i="2"/>
  <c r="R463" i="2"/>
  <c r="Y463" i="2"/>
  <c r="X463" i="2"/>
  <c r="W463" i="2"/>
  <c r="N464" i="2"/>
  <c r="R464" i="2"/>
  <c r="Y464" i="2"/>
  <c r="X464" i="2"/>
  <c r="W464" i="2"/>
  <c r="N465" i="2"/>
  <c r="R465" i="2"/>
  <c r="W465" i="2"/>
  <c r="X465" i="2"/>
  <c r="Y465" i="2"/>
  <c r="N466" i="2"/>
  <c r="R466" i="2"/>
  <c r="Y466" i="2"/>
  <c r="X466" i="2"/>
  <c r="W466" i="2"/>
  <c r="N467" i="2"/>
  <c r="R467" i="2"/>
  <c r="Y467" i="2"/>
  <c r="X467" i="2"/>
  <c r="W467" i="2"/>
  <c r="N468" i="2"/>
  <c r="R468" i="2"/>
  <c r="W468" i="2"/>
  <c r="X468" i="2"/>
  <c r="Y468" i="2"/>
  <c r="N469" i="2"/>
  <c r="R469" i="2"/>
  <c r="W469" i="2"/>
  <c r="X469" i="2"/>
  <c r="Y469" i="2"/>
  <c r="N470" i="2"/>
  <c r="R470" i="2"/>
  <c r="W470" i="2"/>
  <c r="X470" i="2"/>
  <c r="Y470" i="2"/>
  <c r="N471" i="2"/>
  <c r="R471" i="2"/>
  <c r="W471" i="2"/>
  <c r="X471" i="2"/>
  <c r="Y471" i="2"/>
  <c r="N472" i="2"/>
  <c r="R472" i="2"/>
  <c r="Y472" i="2"/>
  <c r="X472" i="2"/>
  <c r="W472" i="2"/>
  <c r="N473" i="2"/>
  <c r="R473" i="2"/>
  <c r="Y473" i="2"/>
  <c r="X473" i="2"/>
  <c r="W473" i="2"/>
  <c r="N474" i="2"/>
  <c r="R474" i="2"/>
  <c r="Y474" i="2"/>
  <c r="X474" i="2"/>
  <c r="W474" i="2"/>
  <c r="N475" i="2"/>
  <c r="R475" i="2"/>
  <c r="Y475" i="2"/>
  <c r="X475" i="2"/>
  <c r="W475" i="2"/>
  <c r="N476" i="2"/>
  <c r="R476" i="2"/>
  <c r="Y476" i="2"/>
  <c r="X476" i="2"/>
  <c r="W476" i="2"/>
  <c r="N477" i="2"/>
  <c r="R477" i="2"/>
  <c r="W477" i="2"/>
  <c r="X477" i="2"/>
  <c r="Y477" i="2"/>
  <c r="N478" i="2"/>
  <c r="R478" i="2"/>
  <c r="W478" i="2"/>
  <c r="X478" i="2"/>
  <c r="Y478" i="2"/>
  <c r="N480" i="2"/>
  <c r="N479" i="2"/>
  <c r="R480" i="2"/>
  <c r="W480" i="2"/>
  <c r="X480" i="2"/>
  <c r="Y480" i="2"/>
  <c r="R479" i="2"/>
  <c r="W479" i="2"/>
  <c r="X479" i="2"/>
  <c r="Y479" i="2"/>
  <c r="N481" i="2"/>
  <c r="R481" i="2"/>
  <c r="Y481" i="2"/>
  <c r="X481" i="2"/>
  <c r="W481" i="2"/>
  <c r="N482" i="2"/>
  <c r="R482" i="2"/>
  <c r="Y482" i="2"/>
  <c r="X482" i="2"/>
  <c r="W482" i="2"/>
  <c r="N483" i="2"/>
  <c r="R483" i="2"/>
  <c r="W483" i="2"/>
  <c r="X483" i="2"/>
  <c r="Y483" i="2"/>
  <c r="N484" i="2"/>
  <c r="R484" i="2"/>
  <c r="Y484" i="2"/>
  <c r="X484" i="2"/>
  <c r="W484" i="2"/>
  <c r="N485" i="2"/>
  <c r="R485" i="2"/>
  <c r="W485" i="2"/>
  <c r="X485" i="2"/>
  <c r="Y485" i="2"/>
  <c r="N486" i="2"/>
  <c r="R486" i="2"/>
  <c r="Y486" i="2"/>
  <c r="X486" i="2"/>
  <c r="W486" i="2"/>
  <c r="N487" i="2"/>
  <c r="R487" i="2"/>
  <c r="Y487" i="2"/>
  <c r="X487" i="2"/>
  <c r="W487" i="2"/>
  <c r="N488" i="2"/>
  <c r="R488" i="2"/>
  <c r="Y488" i="2"/>
  <c r="X488" i="2"/>
  <c r="W488" i="2"/>
  <c r="N489" i="2"/>
  <c r="R489" i="2"/>
  <c r="Y489" i="2"/>
  <c r="X489" i="2"/>
  <c r="W489" i="2"/>
  <c r="N490" i="2"/>
  <c r="R490" i="2"/>
  <c r="Y490" i="2"/>
  <c r="X490" i="2"/>
  <c r="W490" i="2"/>
  <c r="N491" i="2"/>
  <c r="R491" i="2"/>
  <c r="Y491" i="2"/>
  <c r="X491" i="2"/>
  <c r="W491" i="2"/>
  <c r="N492" i="2"/>
  <c r="R492" i="2"/>
  <c r="Y492" i="2"/>
  <c r="X492" i="2"/>
  <c r="W492" i="2"/>
  <c r="N493" i="2"/>
  <c r="R493" i="2"/>
  <c r="W493" i="2"/>
  <c r="X493" i="2"/>
  <c r="Y493" i="2"/>
  <c r="N494" i="2"/>
  <c r="R494" i="2"/>
  <c r="W494" i="2"/>
  <c r="X494" i="2"/>
  <c r="Y494" i="2"/>
  <c r="N495" i="2"/>
  <c r="R495" i="2"/>
  <c r="W495" i="2"/>
  <c r="X495" i="2"/>
  <c r="Y495" i="2"/>
  <c r="N496" i="2"/>
  <c r="R496" i="2"/>
  <c r="Y496" i="2"/>
  <c r="X496" i="2"/>
  <c r="W496" i="2"/>
  <c r="N497" i="2"/>
  <c r="R497" i="2"/>
  <c r="Y497" i="2"/>
  <c r="X497" i="2"/>
  <c r="W497" i="2"/>
  <c r="N498" i="2"/>
  <c r="R498" i="2"/>
  <c r="Y498" i="2"/>
  <c r="X498" i="2"/>
  <c r="W498" i="2"/>
  <c r="N499" i="2"/>
  <c r="R499" i="2"/>
  <c r="Y499" i="2"/>
  <c r="X499" i="2"/>
  <c r="W499" i="2"/>
  <c r="N500" i="2"/>
  <c r="R500" i="2"/>
  <c r="W500" i="2"/>
  <c r="X500" i="2"/>
  <c r="Y500" i="2"/>
  <c r="N501" i="2"/>
  <c r="R501" i="2"/>
  <c r="Y501" i="2"/>
  <c r="X501" i="2"/>
  <c r="W501" i="2"/>
  <c r="N502" i="2"/>
  <c r="R502" i="2"/>
  <c r="Y502" i="2"/>
  <c r="X502" i="2"/>
  <c r="W502" i="2"/>
  <c r="N503" i="2"/>
  <c r="R503" i="2"/>
  <c r="W503" i="2"/>
  <c r="X503" i="2"/>
  <c r="Y503" i="2"/>
  <c r="N504" i="2"/>
  <c r="R504" i="2"/>
  <c r="W504" i="2"/>
  <c r="X504" i="2"/>
  <c r="Y504" i="2"/>
  <c r="N505" i="2"/>
  <c r="R505" i="2"/>
  <c r="Y505" i="2"/>
  <c r="X505" i="2"/>
  <c r="W505" i="2"/>
  <c r="N506" i="2"/>
  <c r="R506" i="2"/>
  <c r="Y506" i="2"/>
  <c r="X506" i="2"/>
  <c r="W506" i="2"/>
  <c r="N507" i="2"/>
  <c r="R507" i="2"/>
  <c r="W507" i="2"/>
  <c r="X507" i="2"/>
  <c r="Y507" i="2"/>
  <c r="N508" i="2"/>
  <c r="R508" i="2"/>
  <c r="Y508" i="2"/>
  <c r="X508" i="2"/>
  <c r="W508" i="2"/>
  <c r="N509" i="2"/>
  <c r="R509" i="2"/>
  <c r="Y509" i="2"/>
  <c r="X509" i="2"/>
  <c r="W509" i="2"/>
  <c r="N510" i="2"/>
  <c r="R510" i="2"/>
  <c r="Y510" i="2"/>
  <c r="X510" i="2"/>
  <c r="W510" i="2"/>
  <c r="N511" i="2"/>
  <c r="R511" i="2"/>
  <c r="W511" i="2"/>
  <c r="X511" i="2"/>
  <c r="Y511" i="2"/>
  <c r="N512" i="2"/>
  <c r="R512" i="2"/>
  <c r="W512" i="2"/>
  <c r="X512" i="2"/>
  <c r="Y512" i="2"/>
  <c r="N513" i="2"/>
  <c r="R513" i="2"/>
  <c r="W513" i="2"/>
  <c r="X513" i="2"/>
  <c r="Y513" i="2"/>
  <c r="N514" i="2"/>
  <c r="R514" i="2"/>
  <c r="Y514" i="2"/>
  <c r="X514" i="2"/>
  <c r="W514" i="2"/>
  <c r="N515" i="2"/>
  <c r="R515" i="2"/>
  <c r="Y515" i="2"/>
  <c r="X515" i="2"/>
  <c r="W515" i="2"/>
  <c r="N516" i="2"/>
  <c r="R516" i="2"/>
  <c r="W516" i="2"/>
  <c r="X516" i="2"/>
  <c r="Y516" i="2"/>
  <c r="N517" i="2"/>
  <c r="R517" i="2"/>
  <c r="Y517" i="2"/>
  <c r="X517" i="2"/>
  <c r="W517" i="2"/>
  <c r="N518" i="2"/>
  <c r="R518" i="2"/>
  <c r="Y518" i="2"/>
  <c r="X518" i="2"/>
  <c r="W518" i="2"/>
  <c r="N519" i="2"/>
  <c r="R519" i="2"/>
  <c r="W519" i="2"/>
  <c r="X519" i="2"/>
  <c r="Y519" i="2"/>
  <c r="N520" i="2"/>
  <c r="R520" i="2"/>
  <c r="Y520" i="2"/>
  <c r="X520" i="2"/>
  <c r="W520" i="2"/>
  <c r="N521" i="2"/>
  <c r="R521" i="2"/>
  <c r="W521" i="2"/>
  <c r="X521" i="2"/>
  <c r="Y521" i="2"/>
  <c r="N522" i="2"/>
  <c r="R522" i="2"/>
  <c r="W522" i="2"/>
  <c r="X522" i="2"/>
  <c r="Y522" i="2"/>
  <c r="N523" i="2"/>
  <c r="R523" i="2"/>
  <c r="Y523" i="2"/>
  <c r="X523" i="2"/>
  <c r="W523" i="2"/>
  <c r="N524" i="2"/>
  <c r="R524" i="2"/>
  <c r="Y524" i="2"/>
  <c r="X524" i="2"/>
  <c r="W524" i="2"/>
  <c r="N525" i="2"/>
  <c r="R525" i="2"/>
  <c r="Y525" i="2"/>
  <c r="X525" i="2"/>
  <c r="W525" i="2"/>
  <c r="N526" i="2"/>
  <c r="R526" i="2"/>
  <c r="Y526" i="2"/>
  <c r="X526" i="2"/>
  <c r="W526" i="2"/>
  <c r="N527" i="2"/>
  <c r="R527" i="2"/>
  <c r="Y527" i="2"/>
  <c r="X527" i="2"/>
  <c r="W527" i="2"/>
  <c r="N528" i="2"/>
  <c r="R528" i="2"/>
  <c r="W528" i="2"/>
  <c r="X528" i="2"/>
  <c r="Y528" i="2"/>
  <c r="N529" i="2"/>
  <c r="R529" i="2"/>
  <c r="W529" i="2"/>
  <c r="X529" i="2"/>
  <c r="Y529" i="2"/>
  <c r="N530" i="2"/>
  <c r="R530" i="2"/>
  <c r="W530" i="2"/>
  <c r="X530" i="2"/>
  <c r="Y530" i="2"/>
  <c r="N531" i="2"/>
  <c r="R531" i="2"/>
  <c r="Y531" i="2"/>
  <c r="X531" i="2"/>
  <c r="W531" i="2"/>
  <c r="N532" i="2"/>
  <c r="R532" i="2"/>
  <c r="Y532" i="2"/>
  <c r="X532" i="2"/>
  <c r="W532" i="2"/>
  <c r="C21" i="3"/>
  <c r="C22" i="3"/>
  <c r="C23" i="3"/>
  <c r="C2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<sst xmlns="http://schemas.openxmlformats.org/spreadsheetml/2006/main" count="3451" uniqueCount="1142">
  <si>
    <t>Estado</t>
  </si>
  <si>
    <t>Broker</t>
  </si>
  <si>
    <t>Plazo_max_horas</t>
  </si>
  <si>
    <t>Doctor</t>
  </si>
  <si>
    <t>Correo</t>
  </si>
  <si>
    <t>Plazo</t>
  </si>
  <si>
    <t>DIAS_NO_LABORABLES</t>
  </si>
  <si>
    <t>FINALIZADO</t>
  </si>
  <si>
    <t>ARTHUR GALLAGHER</t>
  </si>
  <si>
    <t>DR PEREZ</t>
  </si>
  <si>
    <t>jlperez@mapfre.com.pe</t>
  </si>
  <si>
    <t>Dentro</t>
  </si>
  <si>
    <t>&lt;-- Automático: feriados de Perú del año actual y los 3 anteriores (64 fechas). No escribir aquí abajo. Para más años, en L3 cambiar SECUENCIA(64) por 80, 96, etc. (16 por año).</t>
  </si>
  <si>
    <t>SOLICITA INFORMACIÓN</t>
  </si>
  <si>
    <t>GABEL</t>
  </si>
  <si>
    <t>&lt;-- E3 es el plazo en horas. Cambia ese número si cambia el SeviceLevelAgreement.</t>
  </si>
  <si>
    <t>DRA ANA</t>
  </si>
  <si>
    <t>anavf2110@gmail.com</t>
  </si>
  <si>
    <t>Fuera</t>
  </si>
  <si>
    <t>INFORMACIÓN ENVIADA</t>
  </si>
  <si>
    <t>HOWDEN</t>
  </si>
  <si>
    <t>MARSH</t>
  </si>
  <si>
    <t>(en blanco = PENDIENTE)</t>
  </si>
  <si>
    <t>UIB</t>
  </si>
  <si>
    <t>INDICADORES BROKERS</t>
  </si>
  <si>
    <t>CORREOS POR BROKER</t>
  </si>
  <si>
    <t>TOTAL</t>
  </si>
  <si>
    <t>ESTADO</t>
  </si>
  <si>
    <t>PENDIENTE (en blanco)</t>
  </si>
  <si>
    <t>Finalizados DENTRO</t>
  </si>
  <si>
    <t>Finalizados FUERA</t>
  </si>
  <si>
    <t>Pendientes FUERA</t>
  </si>
  <si>
    <t>% cumplimiento</t>
  </si>
  <si>
    <t>ÁREA MÉDICA</t>
  </si>
  <si>
    <t>Solicitudes al doctor</t>
  </si>
  <si>
    <t>Informes recibidos</t>
  </si>
  <si>
    <t>Pendientes de doctor</t>
  </si>
  <si>
    <t>Horas prom. respuesta</t>
  </si>
  <si>
    <t>ConversationId</t>
  </si>
  <si>
    <t>ConversationId_Alt</t>
  </si>
  <si>
    <t>CasoId</t>
  </si>
  <si>
    <t>Asunto</t>
  </si>
  <si>
    <t>FechaRecepcion</t>
  </si>
  <si>
    <t>FechaUltimaRespuesta</t>
  </si>
  <si>
    <t>PersonaUltimaRespuesta</t>
  </si>
  <si>
    <t>Observaciones</t>
  </si>
  <si>
    <t>Encargado</t>
  </si>
  <si>
    <t>CorreoDoctor</t>
  </si>
  <si>
    <t>DoctorEncargado</t>
  </si>
  <si>
    <t>Horas_Transcurridas</t>
  </si>
  <si>
    <t>Fecha_Solic_Informe</t>
  </si>
  <si>
    <t>Fecha_Informe</t>
  </si>
  <si>
    <t>Fecha_Cierre</t>
  </si>
  <si>
    <t>Derivado</t>
  </si>
  <si>
    <t>Mes</t>
  </si>
  <si>
    <t>EsFinalizado</t>
  </si>
  <si>
    <t>EsPendiente</t>
  </si>
  <si>
    <t>DentroPlazo_Finalizado</t>
  </si>
  <si>
    <t>FueraPlazo_Finalizado</t>
  </si>
  <si>
    <t>PendienteFueraPlazo</t>
  </si>
  <si>
    <t>SolicitoInforme</t>
  </si>
  <si>
    <t>InformeRecibido</t>
  </si>
  <si>
    <t>PendienteDoctor</t>
  </si>
  <si>
    <t>HorasRespuestaDoctor</t>
  </si>
  <si>
    <t>AAQkADdkNThjNzFkLWM0ZmMtNDJhYS04MDVlLTIwNzE4ZDI1Mzg4YgAQAJce04pfmOxCjc66JQ_YqAI=</t>
  </si>
  <si>
    <t>RE: TAMSHI: ACCIDENTE LABORAL_REATEGUI CURICHIMBA MARCOS (mordedura de serpiente)</t>
  </si>
  <si>
    <t>Katherine.Andrade@marsh.com</t>
  </si>
  <si>
    <t>SCTR SALUD</t>
  </si>
  <si>
    <t>AAQkADdkNThjNzFkLWM0ZmMtNDJhYS04MDVlLTIwNzE4ZDI1Mzg4YgAQAH-nDgfBdEb_vQ6M26ET90Q=</t>
  </si>
  <si>
    <t>MOTIVO DEL RECHAZO DE CG _ DNI 10615639 _ PAREDES CANDELA DANIEL WALTER _REPRESENTACIONES YAGO SAC _ RUC 20505006675 _ SCTR</t>
  </si>
  <si>
    <t>sctrsalud@mapfre.com.pe</t>
  </si>
  <si>
    <t>AAQkADdkNThjNzFkLWM0ZmMtNDJhYS04MDVlLTIwNzE4ZDI1Mzg4YgAQAJt1sQcA00SYr0ix69nzDCs=</t>
  </si>
  <si>
    <t xml:space="preserve">DERIVACION PROVEEDOR ECOGRAFIA CODO - CONTRATISTAS MINEROS ALFA - SCTR SALUD </t>
  </si>
  <si>
    <t>Jackeline_Murayari@ajg.com</t>
  </si>
  <si>
    <t>AAQkADdkNThjNzFkLWM0ZmMtNDJhYS04MDVlLTIwNzE4ZDI1Mzg4YgAQAO6d2gmjtd5Kpw0zInaJXh8=</t>
  </si>
  <si>
    <t>Re: GRUPO INTERCORP // HOMECENTER // SOLICITUD DE FERULA - ACCIDENTE DE TRABAJO</t>
  </si>
  <si>
    <t>AAQkADdkNThjNzFkLWM0ZmMtNDJhYS04MDVlLTIwNzE4ZDI1Mzg4YgAQAJbH0u8xpU60thd9UB-4onM=</t>
  </si>
  <si>
    <t>RV: PUMARRUMI CASTILLO, BRYGEL: Solicitud 1131705</t>
  </si>
  <si>
    <t>AAQkADdkNThjNzFkLWM0ZmMtNDJhYS04MDVlLTIwNzE4ZDI1Mzg4YgAQAKj4wOyC3j1JjF2bNr2RW68=</t>
  </si>
  <si>
    <t>RV: ACCIDENTE DE TRABAJO- COLABORADOR COCINA EDDY AGUILAR VIZCARRA  // APROBACION CARTA DE GARANTIA // SCTR SALUD - NESSUS HOTELES PERU</t>
  </si>
  <si>
    <t>AAQkADdkNThjNzFkLWM0ZmMtNDJhYS04MDVlLTIwNzE4ZDI1Mzg4YgAQAEWL9Z2HU35Ah8_6EELq5Sc=</t>
  </si>
  <si>
    <t>CENCOSUD RETAIL PERU S.A. - AP - BACALLA GUTIERREZ LEYZI CAROLA  - CONSULTA DE ACTIVACION AP</t>
  </si>
  <si>
    <t>AAQkADdkNThjNzFkLWM0ZmMtNDJhYS04MDVlLTIwNzE4ZDI1Mzg4YgAQAEvkGJ0JTE4hpm6yW1eczK8=</t>
  </si>
  <si>
    <t>RE: AMABLE RECORDATORIO RE: REVISION DEL CASO- CENTENO MOYOPAZ JAVIER DE NILSON- SCTR SALUD MAPFRE- PROVEFABRICA DEL PERU SOCIEDAD ANONIMA</t>
  </si>
  <si>
    <t>AAQkADdkNThjNzFkLWM0ZmMtNDJhYS04MDVlLTIwNzE4ZDI1Mzg4YgAQAIcHvAvKE042nOSk-cjbPIc=</t>
  </si>
  <si>
    <t>RE: LAP - MAPFRE SCTR SALUD - ASEG. RAUL PAY TAN - SOLICITUD DE ACTIVACION AT POR PICADURA DE INSECTO</t>
  </si>
  <si>
    <t>AAQkADdkNThjNzFkLWM0ZmMtNDJhYS04MDVlLTIwNzE4ZDI1Mzg4YgAQAE6KChvywltLjo3Y0Mnsb3U=</t>
  </si>
  <si>
    <t>RE: LIMA AIRPORT PARTNERS / SCTR / Chang Ramirez, Jorge Luis</t>
  </si>
  <si>
    <t>AAQkADdkNThjNzFkLWM0ZmMtNDJhYS04MDVlLTIwNzE4ZDI1Mzg4YgAQAGNYmKV8CwNGkjfWksK0qfg=</t>
  </si>
  <si>
    <t>HOMECENTERS PERUANOS // SINIESTRO SCTR // PACIENTE ELJAER FERNANDO CHICCHI HUAMAN</t>
  </si>
  <si>
    <t>Brenda.Salazar@mercermarshbeneficios.com</t>
  </si>
  <si>
    <t>AAQkADdkNThjNzFkLWM0ZmMtNDJhYS04MDVlLTIwNzE4ZDI1Mzg4YgAQAL3ITZJk9d9Fkya9zVOFO74=</t>
  </si>
  <si>
    <t>CAMBIO DE PROVEEDOR / SCTR SALUD / ASG NAVARRO VILLANUEVA MIKELA / CRUZ DEL SUR / MAPFRE</t>
  </si>
  <si>
    <t>rrodas@contacto.com.pe</t>
  </si>
  <si>
    <t>AAQkADdkNThjNzFkLWM0ZmMtNDJhYS04MDVlLTIwNzE4ZDI1Mzg4YgAQABURf2VZ3k8zqSK-80uc1ks=</t>
  </si>
  <si>
    <t xml:space="preserve">RE: ACCIDENTE DE TRABAJO JESUS BENJAMIN ELIAS CHAVEZ KFC 153 HUARAL </t>
  </si>
  <si>
    <t>AAQkADdkNThjNzFkLWM0ZmMtNDJhYS04MDVlLTIwNzE4ZDI1Mzg4YgAQADCottROfd1Pp_nXZmiudL4=</t>
  </si>
  <si>
    <t>RE: PESQUERA DIAMANTE - Coordinación de terapia del dolor – CAYLLAHUA FLORES MAYCOL NICHIRO</t>
  </si>
  <si>
    <t>AAQkADdkNThjNzFkLWM0ZmMtNDJhYS04MDVlLTIwNzE4ZDI1Mzg4YgAQAD_wnXEnjrNOuaL_qkr7GmE=</t>
  </si>
  <si>
    <t>RE: EVALUACIÓN POR PROCEDIMIENTO NO CUBIERTO/ SCTR SALUD/ ASG HUAMANTICO LAURA ROBERTO / CEMENTOS INKA / MAPFRE</t>
  </si>
  <si>
    <t>AAQkADdkNThjNzFkLWM0ZmMtNDJhYS04MDVlLTIwNzE4ZDI1Mzg4YgAQAN8nmHl1gsBAj4k02S1J6vc=</t>
  </si>
  <si>
    <t>PESQUERA DIAMANTE : Bloqueo Caudal: CAYLLAHUA FLORES MAYCOL</t>
  </si>
  <si>
    <t>Buenos días:_x000D_
_x000D_
Estimados, favor su apoyo con la evaluación de lo solicitado en el adjunto._x000D_
_x000D_
_x000D_
Saludos,_x000D_
_x000D_
_x000D_
_x000D_
Alicia Sancca Medina_x000D_
_x000D_
Área de SCTR Salud_x000D_
_x000D_
Siniestros y Prestaciones_x000D_
_x000D_
Mapfre Perú_x000D_
_x000D_
Av. Armendáriz 345, Miraflores._x000D_
_x000D_
_x000D_
_x000D_
#CuidamosLoQu</t>
  </si>
  <si>
    <t>AAQkADdkNThjNzFkLWM0ZmMtNDJhYS04MDVlLTIwNzE4ZDI1Mzg4YgAQAFvSRRnHhNhOqxGz6fyRmY0=</t>
  </si>
  <si>
    <t>COBERTURA DE TERAPIA LASER TERAPEUTICO ASEG. MIGUEL GOMEZ MORENO - PRODUCTOS PARAISO DEL PERU</t>
  </si>
  <si>
    <t>wguevara@gabel.com.pe</t>
  </si>
  <si>
    <t>AAQkADdkNThjNzFkLWM0ZmMtNDJhYS04MDVlLTIwNzE4ZDI1Mzg4YgAQAD0KJzq8UO5HuSV08G9KmYE=</t>
  </si>
  <si>
    <t>RV: MEDICAMENTOS-GIL JIMENEZ EMANUEL</t>
  </si>
  <si>
    <t>AAQkADdkNThjNzFkLWM0ZmMtNDJhYS04MDVlLTIwNzE4ZDI1Mzg4YgAQALdAcFsH1PJArDbyP_CirxI=</t>
  </si>
  <si>
    <t>PRIORIDAD *** SOLICITUD DE RODILLERA - SCTR SALUD / DON POLLO TROPICAL / Asegurado: YARICAHUA TAPULLIMA, ROYER</t>
  </si>
  <si>
    <t>AAQkADdkNThjNzFkLWM0ZmMtNDJhYS04MDVlLTIwNzE4ZDI1Mzg4YgAQAO1Ks_-a0Es1sJ99uZJRKRc=</t>
  </si>
  <si>
    <t>DON POLLO LA LIBERTAD // SCTR SALUD - ACCIDENTE DE TRABAJO: CABANILLAS SALDAÑA JOSE BARTOLO</t>
  </si>
  <si>
    <t>Marsh.SiniestrosRRLL@marsh.com</t>
  </si>
  <si>
    <t>AAQkADdkNThjNzFkLWM0ZmMtNDJhYS04MDVlLTIwNzE4ZDI1Mzg4YgAQAFGmjH3HIEZQpdi_IN7Cyw8=</t>
  </si>
  <si>
    <t>CAMBIO DE CLINICA MEDICINA FISICA Y REHABILITACIÓN _ CALLA URIARTE ALEXIS _ DNI 71183334 _ CONSORCIO SAN MIGUEL _ RUC 20605151958 _ SCTR</t>
  </si>
  <si>
    <t>jyzquierdo@gabel.com.pe</t>
  </si>
  <si>
    <t>AAQkADdkNThjNzFkLWM0ZmMtNDJhYS04MDVlLTIwNzE4ZDI1Mzg4YgAQAKqb5xWndDpBvqEi82SUhBo=</t>
  </si>
  <si>
    <t xml:space="preserve">AUTORIZACION ATENCION SCTR - ASEG. RAYMUNDO CHAVEZ ROSA </t>
  </si>
  <si>
    <t>guisella.aponte@mercermarshbeneficios.com</t>
  </si>
  <si>
    <t>AAQkADdkNThjNzFkLWM0ZmMtNDJhYS04MDVlLTIwNzE4ZDI1Mzg4YgAQAHxs9sqdkTpGvBXLONcmbdw=</t>
  </si>
  <si>
    <t>SOLICITUD DE PROTESIS / SCTR SALUD / ASG PEREZ GONZALES ISBER / GALILEA / MAPFRE</t>
  </si>
  <si>
    <t>AAQkADdkNThjNzFkLWM0ZmMtNDJhYS04MDVlLTIwNzE4ZDI1Mzg4YgAQAEgjq3kKTEBgskkgYt1qMZI=</t>
  </si>
  <si>
    <t>RV: URGENTE: SOLCITUD NUMERO DE EXPEDIENTE - CASO ALANIS MUNARRIZ - EMERGENT COLD SOLUCIONES INTEGRALES</t>
  </si>
  <si>
    <t>AAQkADdkNThjNzFkLWM0ZmMtNDJhYS04MDVlLTIwNzE4ZDI1Mzg4YgAQAJUvwckyVvNFuzFeVSuR08E=</t>
  </si>
  <si>
    <t>RE: **3er recordatorio** CORPORACION INVERSIONES LYS S.A. / SCTR SALUD MAPFRE / ALFONSO FAUSTINO CORBERA JAQUI / ATENCION DE MEDICAMENTO - PODOLOGÍA</t>
  </si>
  <si>
    <t>AAQkADdkNThjNzFkLWM0ZmMtNDJhYS04MDVlLTIwNzE4ZDI1Mzg4YgAQAKx3ApF14n5Am1OvD8XqgLs=</t>
  </si>
  <si>
    <t>PRIORIDAD // GRUPO INTERCORP // Incidente laboratorio de carnes MK Cercado // Leguia Vilchez Mayra</t>
  </si>
  <si>
    <t>AAQkADdkNThjNzFkLWM0ZmMtNDJhYS04MDVlLTIwNzE4ZDI1Mzg4YgAQANSE-aJEkslGlaoAXMxZ9lw=</t>
  </si>
  <si>
    <t>RV: TAMSHI: IMPORTANTE_CASO: ZAMBRANO TUANAMA ANTONIO</t>
  </si>
  <si>
    <t>AAQkADdkNThjNzFkLWM0ZmMtNDJhYS04MDVlLTIwNzE4ZDI1Mzg4YgAQAJSk1HVJhQ9CjRWRk8DjuCk=</t>
  </si>
  <si>
    <t>RE: PRIORIDAD // GRUPO INTERCORP // MK SMP CASO PROMOTOR DE CAMPO ACCDIDENTE  // MAKRO</t>
  </si>
  <si>
    <t>AAQkADdkNThjNzFkLWM0ZmMtNDJhYS04MDVlLTIwNzE4ZDI1Mzg4YgAQAJTMDEGV0UWSjkIECyQSqdk=</t>
  </si>
  <si>
    <t>MINERA TAURO - PROVEEDOR EXAMEN ORDEN CLINICA ORTEGA HUANCAYO - Paciente: DE LA CRUZ ACUÑA HENRY JUDATH</t>
  </si>
  <si>
    <t>AAQkADdkNThjNzFkLWM0ZmMtNDJhYS04MDVlLTIwNzE4ZDI1Mzg4YgAQAD8skMqf_3FGtrrySVSnC-0=</t>
  </si>
  <si>
    <t>RE: MAPFRE SCTR SALUD - BLACIDO GOMEZ JOEL - ECOSEM HUARAUCACA</t>
  </si>
  <si>
    <t>lchacon@gabel.com.pe</t>
  </si>
  <si>
    <t>AAQkADdkNThjNzFkLWM0ZmMtNDJhYS04MDVlLTIwNzE4ZDI1Mzg4YgAQAOUkxh_7kiNJmiDB2S_Ve3w=</t>
  </si>
  <si>
    <t>RE: EVALUACION DE SINIESTRO ASEG. CHICLLA MENDOZA CHRISTIAN - SKECHERS</t>
  </si>
  <si>
    <t>AUDITORIA MÉDICA</t>
  </si>
  <si>
    <t>Buenos días, Dra._x000D_
_x000D_
Su apoyo con la evaluación del siniestro, adjunto la documentación pendiente enviada por cliente._x000D_
_x000D_
Muchas gracias_x000D_
_x000D_
_x000D_
Saludos,_x000D_
_x000D_
_x000D_
_x000D_
Alicia Sancca Medina_x000D_
_x000D_
Área de SCTR Salud_x000D_
_x000D_
Siniestros y Prestaciones_x000D_
_x000D_
Mapfre Perú_x000D_
_x000D_
Av. Arm</t>
  </si>
  <si>
    <t>AAQkADdkNThjNzFkLWM0ZmMtNDJhYS04MDVlLTIwNzE4ZDI1Mzg4YgAQANgmCUHEJVVIljOU-AWYE_M=</t>
  </si>
  <si>
    <t>GRUPO EULEN - ACTIVACION SCTR SALUD - ANGELICA LORENZO SENTENO DNI: 10702647</t>
  </si>
  <si>
    <t>AAQkADdkNThjNzFkLWM0ZmMtNDJhYS04MDVlLTIwNzE4ZDI1Mzg4YgAQAM9tjetLPAtPgKsVDxqNIko=</t>
  </si>
  <si>
    <t>RE: CASO -  MOLINA ELME SINTHIA MARISOL</t>
  </si>
  <si>
    <t>cmendez@uiblatam.com</t>
  </si>
  <si>
    <t>AAQkADdkNThjNzFkLWM0ZmMtNDJhYS04MDVlLTIwNzE4ZDI1Mzg4YgAQAHUL3lsl5ORPuwIMqDM_rpA=</t>
  </si>
  <si>
    <t>GoodYear - SCTR Salud - Accidente con Quemadura - C. San Gabriel</t>
  </si>
  <si>
    <t>AAQkADdkNThjNzFkLWM0ZmMtNDJhYS04MDVlLTIwNzE4ZDI1Mzg4YgAQAFOGHfQqkU1jvsHHeuiXfGM=</t>
  </si>
  <si>
    <t>DON POLLO LA LIBERTAD // SCTR SALUD - ACCIDENTE DE TRABAJO: ANGULO ARTIAGA LUIS MARIO</t>
  </si>
  <si>
    <t>| POSIBLE DERIVACIÓN 19/08/2026 09:00</t>
  </si>
  <si>
    <t>AAQkADdkNThjNzFkLWM0ZmMtNDJhYS04MDVlLTIwNzE4ZDI1Mzg4YgAQAMuH-dMLUk4CiFiyemFmjgw=</t>
  </si>
  <si>
    <t>RV: ACCIDENTE DE TRABAJO- COLABORADORA COCINA ANDREA GAMIO ZEVALLOS</t>
  </si>
  <si>
    <t>AAQkADdkNThjNzFkLWM0ZmMtNDJhYS04MDVlLTIwNzE4ZDI1Mzg4YgAQAIXUVz1Cok_FtJuJK1aUloI=</t>
  </si>
  <si>
    <t>DON POLLO LA LIBERTAD // SCTR SALUD - ACCIDENTE DE TRABAJO: CASTRO PALACIOS AGUSTIN</t>
  </si>
  <si>
    <t>RE: GRUPO EULEN - ACTIVACION SCTR SALUD - ANGELICA LORENZO SENTENO DNI: 10702647</t>
  </si>
  <si>
    <t>AAQkADdkNThjNzFkLWM0ZmMtNDJhYS04MDVlLTIwNzE4ZDI1Mzg4YgAQAMgSKhk6K79HgQMdRODPPuk=</t>
  </si>
  <si>
    <t>RV: Solicitud de soporte – Terapias MAPFRE en Tarapoto - Royer Yaricahua Tapullima // DON POLLO TROPICAL</t>
  </si>
  <si>
    <t>fernando.perez-torres@mercermarshbeneficios.com</t>
  </si>
  <si>
    <t>AAQkADdkNThjNzFkLWM0ZmMtNDJhYS04MDVlLTIwNzE4ZDI1Mzg4YgAQAPFbcqJeg0qGkSE5XuTK5O8=</t>
  </si>
  <si>
    <t xml:space="preserve">RE: URGENTE *** REEMBOLSO ACCIDENTE DE TRABAJO (ZONA ALEJADA) // SCTR SALUD 7021800070721 // DON POLLO LA LIBERTAD S.A.C. // ASEGURADO: ANGULO ARTIAGA, LUIS MARIO </t>
  </si>
  <si>
    <t>AAQkADdkNThjNzFkLWM0ZmMtNDJhYS04MDVlLTIwNzE4ZDI1Mzg4YgAQAMsK5VMVFdBHmL90t5-5qO0=</t>
  </si>
  <si>
    <t>RE: CORPORACION DE INDUSTRIAS STANDFORD Atención SCTR Giovana Espíritu Pascual</t>
  </si>
  <si>
    <t>luis.zeballos@mercermarshbeneficios.com</t>
  </si>
  <si>
    <t>| DERIVADO 20/08/2026 12:00</t>
  </si>
  <si>
    <t>SI</t>
  </si>
  <si>
    <t>AAQkADdkNThjNzFkLWM0ZmMtNDJhYS04MDVlLTIwNzE4ZDI1Mzg4YgAQAGWEP1Zwf0U7jF6Qf1EmcyA=</t>
  </si>
  <si>
    <t>SIMA PERU // SOLICITUD DE CABESTRIILO // QUIÑONES RONCA ALEXIS VALENTIN</t>
  </si>
  <si>
    <t>AAQkADdkNThjNzFkLWM0ZmMtNDJhYS04MDVlLTIwNzE4ZDI1Mzg4YgAQAKzFBRLFTp9Hv4nEDKB77k8=</t>
  </si>
  <si>
    <t>SCTR -SNACKS - RV: REPORTE DE ACCIDENTE E INCIDENTE: RIOFRIO ABARCA LUIS ALBERTO / VENTAS / CALLAO</t>
  </si>
  <si>
    <t>AAQkADdkNThjNzFkLWM0ZmMtNDJhYS04MDVlLTIwNzE4ZDI1Mzg4YgAQAFHyOYkqvY9Nqu2tOgis9Mo=</t>
  </si>
  <si>
    <t>RE: NOTIFICACION SCTR SALUD  -   Solicitud de desactivación de SCTR: HOCES COLLAZOS, DANNY ALEXANDER -  MAERSK</t>
  </si>
  <si>
    <t>William.Garcia@marsh.com</t>
  </si>
  <si>
    <t>AAQkADdkNThjNzFkLWM0ZmMtNDJhYS04MDVlLTIwNzE4ZDI1Mzg4YgAQAMR9p1oZsUwdunasYyVc6U4=</t>
  </si>
  <si>
    <t>EMERGENT COLD PERU : Carta de garantía: Caso de colaborador Alvino Osorio Jairo Luis</t>
  </si>
  <si>
    <t>AAQkADdkNThjNzFkLWM0ZmMtNDJhYS04MDVlLTIwNzE4ZDI1Mzg4YgAQALLK7MWxQEmCvxHKC-OI7y4=</t>
  </si>
  <si>
    <t>CARTA DE GARANTIA_ASEG. LURDES CAMAN CHAVEZ DNI 48448559 _CORPORACION TURISTICA PERUANA S.A.C. RUC 20265815830</t>
  </si>
  <si>
    <t>LKCALD1@mapfre.com.pe</t>
  </si>
  <si>
    <t xml:space="preserve"> | CERRADO POR RESPUESTA DE LKCALD1@mapfre.com.pe</t>
  </si>
  <si>
    <t>Buenos días,_x000D_
_x000D_
Dra., por favor su apoyo evaluando si tiene cobertura procedimientos solicitados._x000D_
_x000D_
@Calderon Ugarte, Liseth Katherine favor de informar a clínica según respuesta de la doctora._x000D_
_x000D_
_x000D_
Saludos,_x000D_
_x000D_
_x000D_
_x000D_
Alicia Sancca Medina_x000D_
_x000D_
Área de SCTR Sa</t>
  </si>
  <si>
    <t>AAQkADdkNThjNzFkLWM0ZmMtNDJhYS04MDVlLTIwNzE4ZDI1Mzg4YgAQAAeLqbz90KpLvLqMB-j0Cuk=</t>
  </si>
  <si>
    <t>RE: **URGENTE**PATRIMONIO EN FIDEICOMISO - SCTR SALUD MAPFRE - RODRIGUEZ YCOMENA ALDEN - CARTA DE GARANTIA OBSERVADA.</t>
  </si>
  <si>
    <t>Buenos días,_x000D_
_x000D_
Hola Dra., su apoyo elaborando el informe de rechazo del presente siniestro._x000D_
_x000D_
_x000D_
Saludos,_x000D_
_x000D_
_x000D_
_x000D_
Alicia Sancca Medina_x000D_
_x000D_
Área de SCTR Salud_x000D_
_x000D_
Siniestros y Prestaciones_x000D_
_x000D_
Mapfre Perú_x000D_
_x000D_
Av. Armendáriz 345, Miraflores._x000D_
_x000D_
_x000D_
_x000D_
#CuidamosLoQ</t>
  </si>
  <si>
    <t>RE: SCTR -SNACKS - RV: REPORTE DE ACCIDENTE E INCIDENTE: RIOFRIO ABARCA LUIS ALBERTO / VENTAS / CALLAO</t>
  </si>
  <si>
    <t>BATHER1@mapfre.com.pe</t>
  </si>
  <si>
    <t xml:space="preserve"> | CERRADO POR RESPUESTA DE BATHER1@mapfre.com.pe</t>
  </si>
  <si>
    <t>AAQkADdkNThjNzFkLWM0ZmMtNDJhYS04MDVlLTIwNzE4ZDI1Mzg4YgAQAFSn_rQh8tVOrXdOXJVAqqs=</t>
  </si>
  <si>
    <t>RV: ** observado ** SNACKS AMERICA LATINA || TRAMA FINAL JULIO</t>
  </si>
  <si>
    <t>AAQkADdkNThjNzFkLWM0ZmMtNDJhYS04MDVlLTIwNzE4ZDI1Mzg4YgAQAGw6SENGEkr8laV8SRm2o3o=</t>
  </si>
  <si>
    <t>SNACKS -SCTR -  SOLICITUD DE CARTA GARANTIA # 1131385 - CLINICA AUNA BELLAVISTA</t>
  </si>
  <si>
    <t>AAQkADdkNThjNzFkLWM0ZmMtNDJhYS04MDVlLTIwNzE4ZDI1Mzg4YgAQALQn15Gd0D9Joilsq8tvxPA=</t>
  </si>
  <si>
    <t>RE: SIDER** CASO ACCIDENTE DE TRABAJO 31.07.2026 - ASEG. LOPEZ LESCANO CARLOS RAUL - POLIZA SCTR SALUD 7022400013915</t>
  </si>
  <si>
    <t>AAQkADdkNThjNzFkLWM0ZmMtNDJhYS04MDVlLTIwNzE4ZDI1Mzg4YgAQAOLMIoA5aiZPkJW1-D-Ysug=</t>
  </si>
  <si>
    <t>RE: NOTIFICACION SCTR SALUD  -   Solicitud de Reactivación de SCTR: HOCES COLLAZOS, DANNY ALEXANDER -  MAERSK</t>
  </si>
  <si>
    <t>AAQkADdkNThjNzFkLWM0ZmMtNDJhYS04MDVlLTIwNzE4ZDI1Mzg4YgAQAAKe74D7Bv5OjzqB6Z8DV1w=</t>
  </si>
  <si>
    <t>RE: MAKRO SUPERMAYORISTA - CG SCTR - PACIENTE LANDACAY CASTRO OMAR ALEJANDRO - URGENTE COORDINACION CON CLINICA SAN PABLO</t>
  </si>
  <si>
    <t>AAQkADdkNThjNzFkLWM0ZmMtNDJhYS04MDVlLTIwNzE4ZDI1Mzg4YgAQAP--1jgQfEsVpFHxXbo2FNM=</t>
  </si>
  <si>
    <t xml:space="preserve">RV: SOLICITUD DE REEMBOLSO POR ATENCIÓN SCTR // JULCA OCHOA WILLIAM </t>
  </si>
  <si>
    <t>Buenas tardes,_x000D_
_x000D_
Estimados doctores favor su apoyo evaluando la cobertura del presente rembolso._x000D_
_x000D_
_x000D_
Saludos,_x000D_
_x000D_
_x000D_
_x000D_
Antonella Fernández_x000D_
_x000D_
Área de SCTR Salud_x000D_
_x000D_
Siniestros y Prestaciones_x000D_
_x000D_
Mapfre Perú_x000D_
_x000D_
Av. Armendáriz 345, Miraflores._x000D_
_x000D_
_x000D_
_x000D_
#Cuidamo</t>
  </si>
  <si>
    <t>AAQkADdkNThjNzFkLWM0ZmMtNDJhYS04MDVlLTIwNzE4ZDI1Mzg4YgAQACe8OB-sMEpLoLFuqabUl2Q=</t>
  </si>
  <si>
    <t>RE: URGENTE: PROBLEMAS DE GESTION, ATENCION Y SEGUIMIENTO ASEG. MEJIA GUTIERREZ JOSSEP ALEXANDER - TRUCK MOTORS S.A.C.</t>
  </si>
  <si>
    <t>EXTJNMP@mapfre.com.pe</t>
  </si>
  <si>
    <t xml:space="preserve"> | CERRADO POR RESPUESTA DE EXTJNMP@mapfre.com.pe</t>
  </si>
  <si>
    <t>AAQkADdkNThjNzFkLWM0ZmMtNDJhYS04MDVlLTIwNzE4ZDI1Mzg4YgAQALbe-WzY61BKkw-6tTr2ews=</t>
  </si>
  <si>
    <t>RE: REEMBOLSO: GoodYear - Siniestro SCTR - Trabajador Aaron Astete Morán</t>
  </si>
  <si>
    <t>smalici@mapfre.com.pe</t>
  </si>
  <si>
    <t>| POSIBLE DERIVACIÓN 19/08/2026 18:00 | CERRADO POR RESPUESTA DE smalici@mapfre.com.pe</t>
  </si>
  <si>
    <t>AAQkADdkNThjNzFkLWM0ZmMtNDJhYS04MDVlLTIwNzE4ZDI1Mzg4YgAQAJ3LwC2Ba59Omym-_yDbHLI=</t>
  </si>
  <si>
    <t>PESQUERA DIAMANTE SCTR SALUD 7022200131827 - REEMBOLSO POR ATENCIÓN MEDICA Y SESIONES DE FISIOTERAPIA MAYNITA ABARCA JULIO</t>
  </si>
  <si>
    <t>Rocio_Santisteban@ajg.com</t>
  </si>
  <si>
    <t>| POSIBLE DERIVACIÓN 19/08/2026 18:00</t>
  </si>
  <si>
    <t>AAQkADdkNThjNzFkLWM0ZmMtNDJhYS04MDVlLTIwNzE4ZDI1Mzg4YgAQAMRH-4yVMOZFuvuyN4aHTSI=</t>
  </si>
  <si>
    <t>PESQUERA DIAMANTE SCTR SALUD 7022200131827  : CAYLLAHUA FLORES MAYCOL NICHIRO - Entrega de Parches por procedimiento Bloqueo Caudal</t>
  </si>
  <si>
    <t>AAQkADdkNThjNzFkLWM0ZmMtNDJhYS04MDVlLTIwNzE4ZDI1Mzg4YgAQADtPyenWwfxKgmRW73VjSIs=</t>
  </si>
  <si>
    <t>RV: MEDICAMENTOS SANDRA ACEVEDO ALDEA</t>
  </si>
  <si>
    <t xml:space="preserve"> | RESPUESTA DEL DOCTOR: Estimada Alicia,_x000D_
Los dos medicamentos tienen cobertura_x000D_
Slds_x000D_
_________________________________x000D_
De: Sancca Medina, Alicia Shaska &lt;smalici@mapfre.com.pe&gt;_x000D_
Enviado: miércoles, 19 de agosto de 2026 17:07_x000D_
Para: Ana Maria Villalon &lt;anavf2110@gmail.com&gt;; Pere</t>
  </si>
  <si>
    <t>Buenas tardes,_x000D_
_x000D_
Doctora favor su apoyo evaluando la cobertura de la receta adjunta._x000D_
_x000D_
Saludos,_x000D_
Antonella Fernández_x000D_
_________________________________x000D_
De: Claudia Mendez &lt;cmendez@uiblatam.com&gt;_x000D_
Enviado: miércoles, 19 de agosto de 2026 17:03_x000D_
Para: SCTR</t>
  </si>
  <si>
    <t>RE: PESQUERA DIAMANTE SCTR SALUD 7022200131827  : CAYLLAHUA FLORES MAYCOL NICHIRO - Entrega de Parches por procedimiento Bloqueo Caudal</t>
  </si>
  <si>
    <t>CYPILA1@mapfre.com.pe</t>
  </si>
  <si>
    <t xml:space="preserve"> | CERRADO POR RESPUESTA DE CYPILA1@mapfre.com.pe</t>
  </si>
  <si>
    <t>RE: ACCIDENTE DE TRABAJO- COLABORADOR COCINA EDDY AGUILAR VIZCARRA  // APROBACION CARTA DE GARANTIA // SCTR SALUD - NESSUS HOTELES PERU</t>
  </si>
  <si>
    <t>JSPLAV1@mapfre.com.pe</t>
  </si>
  <si>
    <t xml:space="preserve"> | CERRADO POR RESPUESTA DE JSPLAV1@mapfre.com.pe</t>
  </si>
  <si>
    <t>AAQkADdkNThjNzFkLWM0ZmMtNDJhYS04MDVlLTIwNzE4ZDI1Mzg4YgAQAHe89h88UOFIv4N6eyuXOjM=</t>
  </si>
  <si>
    <t>Evaluación SCTR SALUD - CURI GOMEZ JAVIER ALBERTO - MAERSK LOGISTICS &amp; SERVICES PERU S.A.//CURI GOMEZ JAVIER</t>
  </si>
  <si>
    <t>cristopher.penaranda@mercermarshbeneficios.com</t>
  </si>
  <si>
    <t>AAQkADdkNThjNzFkLWM0ZmMtNDJhYS04MDVlLTIwNzE4ZDI1Mzg4YgAQAGnD1WgAIUVYo5SbwNfC1E8=</t>
  </si>
  <si>
    <t>RV: Consulta activacion SCTR</t>
  </si>
  <si>
    <t>AAQkADdkNThjNzFkLWM0ZmMtNDJhYS04MDVlLTIwNzE4ZDI1Mzg4YgAQAFwesdxK8G1OgkVPHOaaYcI=</t>
  </si>
  <si>
    <t>VITALINE // SCTR SALUD // A.T. 12.08.2026 // Asegurado : GONZALES ECHE DAVID JAVIER // REEMBOLSO MEDICINA</t>
  </si>
  <si>
    <t>URGENTE // SIMA PERU // SOLICITUD DE CABESTRIILO // QUIÑONES RONCA ALEXIS VALENTIN</t>
  </si>
  <si>
    <t>AAQkADdkNThjNzFkLWM0ZmMtNDJhYS04MDVlLTIwNzE4ZDI1Mzg4YgAQAPpki9Tw95pAhqoFJbW4muw=</t>
  </si>
  <si>
    <t>PESQUERA DIAMANTE SCTR : TRASLADO AL INR - SR. MUÑOZ OLIVA RICARDO</t>
  </si>
  <si>
    <t>AAQkADdkNThjNzFkLWM0ZmMtNDJhYS04MDVlLTIwNzE4ZDI1Mzg4YgAQABvTKUPDhUYZkJQrDbbj3sA=</t>
  </si>
  <si>
    <t>ATENCION POR SCTR / MAERSK INTEGRATED AGROLOGISTICS PERU S.A.C. / POLIZA 7022500034710</t>
  </si>
  <si>
    <t>AAQkADdkNThjNzFkLWM0ZmMtNDJhYS04MDVlLTIwNzE4ZDI1Mzg4YgAQACMC9UnVoQZJkIsfPahxkIk=</t>
  </si>
  <si>
    <t>SNACKS - SCTR - RV:  ACTIVACIÓN SCTR: ALEXANDRA NATALYA TARAZONA YUFRA</t>
  </si>
  <si>
    <t>AAQkADdkNThjNzFkLWM0ZmMtNDJhYS04MDVlLTIwNzE4ZDI1Mzg4YgAQAPBEE85WfkURmOFVxSRQeJ4=</t>
  </si>
  <si>
    <t>CARTA DE GARANTIA - MINERA CONSTRUCCION Y TRANSPORTE LA LIBERTAD - TERAPIA FISICA - 7022500043091</t>
  </si>
  <si>
    <t>Margot_DeLaCruz@ajg.com</t>
  </si>
  <si>
    <t>| DERIVADO 20/08/2026 18:00</t>
  </si>
  <si>
    <t>RE: ATENCION POR SCTR / MAERSK INTEGRATED AGROLOGISTICS PERU S.A.C. / POLIZA 7022500034710</t>
  </si>
  <si>
    <t>Buenas tardes:_x000D_
_x000D_
Estimados, favor su apoyo evaluando la cobertura de los GNC adjuntos._x000D_
_x000D_
_x000D_
Saludos,_x000D_
_x000D_
_x000D_
_x000D_
Alicia Sancca Medina_x000D_
_x000D_
Área de SCTR Salud_x000D_
_x000D_
Siniestros y Prestaciones_x000D_
_x000D_
Mapfre Perú_x000D_
_x000D_
Av. Armendáriz 345, Miraflores._x000D_
_x000D_
_x000D_
_x000D_
#CuidamosLoQueTeI</t>
  </si>
  <si>
    <t>AAQkADdkNThjNzFkLWM0ZmMtNDJhYS04MDVlLTIwNzE4ZDI1Mzg4YgAQAMuk84hkakIStL6enkVVAiY=</t>
  </si>
  <si>
    <t>DON POLLO LA LIBERTAD // SCTR SALUD - ACCIDENTE DE TRABAJO: QUISPE RAMIREZ LEANDRO DANIEL</t>
  </si>
  <si>
    <t>RE: CARTA DE GARANTIA - MINERA CONSTRUCCION Y TRANSPORTE LA LIBERTAD - TERAPIA FISICA - 7022500043091</t>
  </si>
  <si>
    <t>RE: MEDICAMENTOS-GIL JIMENEZ EMANUEL</t>
  </si>
  <si>
    <t xml:space="preserve"> | RESPUESTA DEL DOCTOR: Estimada Alicia,_x000D_
Tiene 8 meses de evolución._x000D_
Ya no amerita ni descansos médicos ni medicación_x000D_
Recomiendo aprobar esta receta y si presenta una nueva atención, solictar auditoría de caso al Dr. Jordan Gutierrez._x000D_
Slds_x000D_
________________________________</t>
  </si>
  <si>
    <t>Buenas tardes:_x000D_
_x000D_
Estimados, favor su apoyo con la evauación de cobertura del medicamento solicitado._x000D_
_x000D_
_x000D_
Saludos,_x000D_
_x000D_
_x000D_
_x000D_
Alicia Sancca Medina_x000D_
_x000D_
Área de SCTR Salud_x000D_
_x000D_
Siniestros y Prestaciones_x000D_
_x000D_
Mapfre Perú_x000D_
_x000D_
Av. Armendáriz 345, Miraflores._x000D_
_x000D_
_x000D_
_x000D_
#Cu</t>
  </si>
  <si>
    <t>Re: ATENCION POR SCTR / MAERSK INTEGRATED AGROLOGISTICS PERU S.A.C. / POLIZA 7022500034710</t>
  </si>
  <si>
    <t>AAQkADdkNThjNzFkLWM0ZmMtNDJhYS04MDVlLTIwNzE4ZDI1Mzg4YgAQAAJ0LObcDuJClFzVuvoaJBU=</t>
  </si>
  <si>
    <t>Re: CAMBIO DE CLINICA _ASEG. LOPEZ GRIJALVA GIOVANNI JHONATAN DNI 76304704 _CONSORCIO SANEAMIENTO SEÑOR CAUTIVO</t>
  </si>
  <si>
    <t>RE: URGENTE // SIMA PERU // SOLICITUD DE CABESTRIILO // QUIÑONES RONCA ALEXIS VALENTIN</t>
  </si>
  <si>
    <t>silvia.siu@mercermarshbeneficios.com</t>
  </si>
  <si>
    <t>Jesus-Ernesto.Barriga@mercermarshbeneficios.com</t>
  </si>
  <si>
    <t>| DERIVADO 27/08/2026 09:00</t>
  </si>
  <si>
    <t>Re: MEDICAMENTOS-GIL JIMENEZ EMANUEL</t>
  </si>
  <si>
    <t>AAQkADdkNThjNzFkLWM0ZmMtNDJhYS04MDVlLTIwNzE4ZDI1Mzg4YgAQADq4970OC75Mhh7l2Ht0Zak=</t>
  </si>
  <si>
    <t xml:space="preserve">URGENTE | ORTESIS | PEREZ ROJAS ISAAC ANDERSON - 47676908 </t>
  </si>
  <si>
    <t>AAQkADdkNThjNzFkLWM0ZmMtNDJhYS04MDVlLTIwNzE4ZDI1Mzg4YgAQAFYg042zIk0Gk8HIl9asDLw=</t>
  </si>
  <si>
    <t>SOLICITO REMBOLSO MAPFRE POR ACCIDENTE DE TRABAJO // CASTAÑEDA CUBAS MARCELO Y EZPONIZA GALLARDO JOEL</t>
  </si>
  <si>
    <t>RESPUESTA DEL DOCTOR:  REMITENTE EXTERNO: ATENCIÓN, especialmente con enlaces y archivos adjuntos / EXTERNAL SENDER: be CAUTIOUS, particularly with links and attachments / REMETENTE EXTERNO: ATENÇAO, principalmente com links e anexos._x000D_
_x000D_
Buenos dias_x000D_
_x000D_
Proceden ambos reembolso | DERIVADO 24/08/2026 15:00</t>
  </si>
  <si>
    <t>Buenos días:_x000D_
_x000D_
Dr. Engels, favor su apoyo con la evaluación de los siguientes reembolsos:_x000D_
_x000D_
_x000D_
  *_x000D_
CASTAÑEDA CUBAS MARCELO - S/. 136.85_x000D_
  *_x000D_
EZPONIZA GALLARDO JOEL - S/. 71.51_x000D_
_x000D_
Quedo atenta._x000D_
_x000D_
_x000D_
Saludos,_x000D_
_x000D_
_x000D_
_x000D_
Alicia Sancca Medina_x000D_
_x000D_
Área de SCTR S</t>
  </si>
  <si>
    <t>AAQkADdkNThjNzFkLWM0ZmMtNDJhYS04MDVlLTIwNzE4ZDI1Mzg4YgAQAOavVnvkq0PIhyKxAMBNOzU=</t>
  </si>
  <si>
    <t>Atención SCTR - Solicitud de cambio de clínica - asegurado: DIEGO MARTIN CHANAVA RUIZ -MAERSK LOGISTICS &amp; SERVICES PERU</t>
  </si>
  <si>
    <t>RE: ** observado ** SNACKS AMERICA LATINA || TRAMA FINAL JULIO</t>
  </si>
  <si>
    <t>AAQkADdkNThjNzFkLWM0ZmMtNDJhYS04MDVlLTIwNzE4ZDI1Mzg4YgAQACJnXdhG5k9Ip81qCyFrBH0=</t>
  </si>
  <si>
    <t xml:space="preserve">SECURITAS: SITUACIÓN DE SCTR - ADA ESCALANTE </t>
  </si>
  <si>
    <t>AAQkADdkNThjNzFkLWM0ZmMtNDJhYS04MDVlLTIwNzE4ZDI1Mzg4YgAQAPzNfxhlY4tGulqbRndSuNE=</t>
  </si>
  <si>
    <t>RE: SNACKS -SCTR -  SOLICITUD DE CARTA GARANTIA # 1131385 - CLINICA AUNA BELLAVISTA - TORRES V JENNIFER</t>
  </si>
  <si>
    <t>PSMLESS@mapfre.com.pe</t>
  </si>
  <si>
    <t xml:space="preserve"> | CERRADO POR RESPUESTA DE PSMLESS@mapfre.com.pe</t>
  </si>
  <si>
    <t>AAQkADdkNThjNzFkLWM0ZmMtNDJhYS04MDVlLTIwNzE4ZDI1Mzg4YgAQAA-0utspZo9FkK7sPBAGT5U=</t>
  </si>
  <si>
    <t>RV: ACCIDENTADO EN AYAUCHO / LEXMILER MENDOZA PANIHUARA / CASA</t>
  </si>
  <si>
    <t>AAQkADdkNThjNzFkLWM0ZmMtNDJhYS04MDVlLTIwNzE4ZDI1Mzg4YgAQAN9fS2Q4jEWOquokHqst4YA=</t>
  </si>
  <si>
    <t>SOLICITUD DE ATENCION POR CONTINUIDAD SCTR _ CANASAS ESCAPA JHON ERICK _ DNI 75554707 _ CORRALES CENTER S.A.C. _ RUC 20602008879</t>
  </si>
  <si>
    <t>AAQkADdkNThjNzFkLWM0ZmMtNDJhYS04MDVlLTIwNzE4ZDI1Mzg4YgAQAPTl74VmxTdNo2wm4rzJsKw=</t>
  </si>
  <si>
    <t>PRIORIDAD // GRUPO INTERCORP //  SCTR - CESAR SALDIVAR - RP AREQUIPA</t>
  </si>
  <si>
    <t>AAQkADdkNThjNzFkLWM0ZmMtNDJhYS04MDVlLTIwNzE4ZDI1Mzg4YgAQAKVhmPla5UNnrVGUksKzF3k=</t>
  </si>
  <si>
    <t>RV: SIDERPERU** URGENTE!! ATENCION EN CL SAN PABLO (SURCO) - ASEG. LEON MALO ALEXANDER OBED - POLIZA SCTR SALUD 7022400013915</t>
  </si>
  <si>
    <t>CMCAMI1@mapfre.com.pe</t>
  </si>
  <si>
    <t xml:space="preserve"> | CERRADO POR RESPUESTA DE CMCAMI1@mapfre.com.pe</t>
  </si>
  <si>
    <t>AAQkADdkNThjNzFkLWM0ZmMtNDJhYS04MDVlLTIwNzE4ZDI1Mzg4YgAQALi9641Ry0kAot0dWVttgcw=</t>
  </si>
  <si>
    <t>RE: ACTIVACIÓN DE COBERTURA SCTR _ DARWIN YEYSON RIVEROS PEREZ _ DNI 60508024 _ DOU DOU SAC _ RUC 20604401853 _ SCTR</t>
  </si>
  <si>
    <t>AAQkADdkNThjNzFkLWM0ZmMtNDJhYS04MDVlLTIwNzE4ZDI1Mzg4YgAQAOvUx9PVCUflr2upTKymxec=</t>
  </si>
  <si>
    <t xml:space="preserve">RE: PESQUERA DIAMANTE SCTR : LOZADA MIRANDA MARIO - EVALUACION </t>
  </si>
  <si>
    <t>AAQkADdkNThjNzFkLWM0ZmMtNDJhYS04MDVlLTIwNzE4ZDI1Mzg4YgAQAOHLe-IwNaVCk5uGpmFJZaA=</t>
  </si>
  <si>
    <t>SOLICITUD MAGNOTERAPIA: CHANAVA RUIZ, DIEGO MARTIN 24.08.2026 / MAERSK LOGISTICS &amp; SERVICES PERU SA / POLIZA SCTR SALUD 2300141278</t>
  </si>
  <si>
    <t>AAQkADdkNThjNzFkLWM0ZmMtNDJhYS04MDVlLTIwNzE4ZDI1Mzg4YgAQAKzsPH9mxeBBlW5JC8oScAU=</t>
  </si>
  <si>
    <t>MAERSK: INFORME DE INVESTIGACION DE ACCIDENTE RODRIGUEZ PALOMO, HERNAN ESTEBAN / MAERSK LOGISTICS &amp; SERVICES PERU SA / POLIZA SCTR SALUD 2300141278</t>
  </si>
  <si>
    <t>Buenas tardes,_x000D_
_x000D_
Estimadas favor su apoyo reevaluando la presente carta: EN HC DE EMERGENCIA INDICA: PACIENTE MANIFIESTA DOLOR EN ZONA DE HOMBRO IZQUIERDO. EN LA AMPLIACION DE ANAMNESIS PACIENTE REFIERE QUE FUE AGREDIDO CON OBJETO CONTUNDENTE AL DEFENDER</t>
  </si>
  <si>
    <t>AAQkADdkNThjNzFkLWM0ZmMtNDJhYS04MDVlLTIwNzE4ZDI1Mzg4YgAQAEbTQReuW042kCg9PSeh_fA=</t>
  </si>
  <si>
    <t>GoodYear - Siniestro SCTR - Trabajador Aaron Astete Morán</t>
  </si>
  <si>
    <t>AAQkADdkNThjNzFkLWM0ZmMtNDJhYS04MDVlLTIwNzE4ZDI1Mzg4YgAQALq_66kE229EusPilK6c-tc=</t>
  </si>
  <si>
    <t>RE: SCTR TERAPIAS FISICAS SR ROBERTO ARAUJO</t>
  </si>
  <si>
    <t xml:space="preserve"> | RESPUESTA DEL DOCTOR: Estimada Antonella,_x000D_
El asegurado sufrió un siniestro en febrero del 2025, fue operado por lesión de hombro (no me queda claro cuándo fue la cirugía) y ahora solicitan terapia física por dolor de zona operatoria._x000D_
No veo la razón para no cubrirle la terap</t>
  </si>
  <si>
    <t>Buenos días,_x000D_
_x000D_
Estimados, favor su apoyo evaluando la cobertura del presente caso._x000D_
_x000D_
_x000D_
Saludos,_x000D_
_x000D_
_x000D_
_x000D_
Antonella Fernández_x000D_
_x000D_
Área de SCTR Salud_x000D_
_x000D_
Siniestros y Prestaciones_x000D_
_x000D_
Mapfre Perú_x000D_
_x000D_
Av. Armendáriz 345, Miraflores._x000D_
_x000D_
_x000D_
_x000D_
#CuidamosLoQueTeImport</t>
  </si>
  <si>
    <t>AAQkADdkNThjNzFkLWM0ZmMtNDJhYS04MDVlLTIwNzE4ZDI1Mzg4YgAQAEfJl94AW25Ksc_1GqMv4Ko=</t>
  </si>
  <si>
    <t>RE: REVISION DE GASTOS NO CUBIERTOS ASEG. FLORES ONOFRE, JOSE DAVID - PRODUCTOS PARAISO DEL PERU</t>
  </si>
  <si>
    <t>AAQkADdkNThjNzFkLWM0ZmMtNDJhYS04MDVlLTIwNzE4ZDI1Mzg4YgAQAOwWHPTSdg1GiJ5gV4i-tF0=</t>
  </si>
  <si>
    <t>RECONSIDERACION DE CARTA DE GARANTIA ASEG. GARCIA CACERES JAIME - PRODUCTOS PARAISO DEL PERU</t>
  </si>
  <si>
    <t xml:space="preserve"> | RESPUESTA DEL DOCTOR: Estimada Antonella,_x000D_
Estoy de acuerdo con el rechazo de cobertura._x000D_
La lesión fue en la mano y ahora quieren operarle el hombro_x000D_
Slds_x000D_
_________________________________x000D_
De: SCTRSalud &lt;sctrsalud@mapfre.com.pe&gt;_x000D_
Enviado: martes, 25 de agosto de 2026 11:46</t>
  </si>
  <si>
    <t>Buenos días:_x000D_
_x000D_
Dra. Ana, según lo conversado, se está solicitando al cliente una evidencia fílmica para poder corroborar la información brindada por el médico ocupacional._x000D_
_x000D_
De igual manera, se tenga o no esa evidencia y dado que si es posible que lo qu</t>
  </si>
  <si>
    <t>AAQkADdkNThjNzFkLWM0ZmMtNDJhYS04MDVlLTIwNzE4ZDI1Mzg4YgAQALTj3vtay2lBv39dkFkaVtM=</t>
  </si>
  <si>
    <t xml:space="preserve">ATENCIÓN POR CONTINUIDAD SCTR _  SUDARIO CABELLO YOLINO _ DNI 70849648 _ ECOSEM </t>
  </si>
  <si>
    <t>AAQkADdkNThjNzFkLWM0ZmMtNDJhYS04MDVlLTIwNzE4ZDI1Mzg4YgAQAG8EGgJ1rEWFjHdrACCIz18=</t>
  </si>
  <si>
    <t>SCTR SALUD | APROBACION DE CG |  Zapana Tunco Cristhian Stiven</t>
  </si>
  <si>
    <t>AAQkADdkNThjNzFkLWM0ZmMtNDJhYS04MDVlLTIwNzE4ZDI1Mzg4YgAQALFXDXFuzwlEoeXFQqim_BU=</t>
  </si>
  <si>
    <t xml:space="preserve">SOLICITUD DE BASTON POR SCTR - MARILU FRANCO DE ZAPATA / CLIENTE: SCTR SALUD </t>
  </si>
  <si>
    <t>RE: SOLICITUD DE ATENCION POR CONTINUIDAD SCTR _ CANASAS ESCAPA JHON ERICK _ DNI 75554707 _ CORRALES CENTER S.A.C. _ RUC 20602008879</t>
  </si>
  <si>
    <t>RE: PRIORIDAD // GRUPO INTERCORP //  SCTR - CESAR SALDIVAR - RP AREQUIPA</t>
  </si>
  <si>
    <t>AAQkADdkNThjNzFkLWM0ZmMtNDJhYS04MDVlLTIwNzE4ZDI1Mzg4YgAQADLRiNpobEIxs3HAk4aqwdM=</t>
  </si>
  <si>
    <t>COORDINACIÓN PARA EL TRAMITE DE ENTREGA DEL MEDICAMENTO - JESICA RUIZ MENES - ACCIDENTE LABORAL / POLIZA SCTR SALUD 7022500034710</t>
  </si>
  <si>
    <t>AAQkADdkNThjNzFkLWM0ZmMtNDJhYS04MDVlLTIwNzE4ZDI1Mzg4YgAQAMgCdWC1qURxmVkYy-g8JVk=</t>
  </si>
  <si>
    <t>SMQ  Remisión de documentación para evaluación de indemnización SCTR - EXALTACIÓN CRUCEÑO RODRIGUEZ PIZAN</t>
  </si>
  <si>
    <t xml:space="preserve">RE: SOLICITUD DE BASTON POR SCTR - MARILU FRANCO DE ZAPATA / CLIENTE: SCTR SALUD </t>
  </si>
  <si>
    <t>AAQkADdkNThjNzFkLWM0ZmMtNDJhYS04MDVlLTIwNzE4ZDI1Mzg4YgAQADWkpYqTJ0Desw8S4XOMg1M=</t>
  </si>
  <si>
    <t>DON POLLO TROPICAL // SCTR SALUD - ACCIDENTE DE TRABAJO: YARICAHUA TAPULLIMA ROYER</t>
  </si>
  <si>
    <t>| DERIVADO 26/08/2026 12:00</t>
  </si>
  <si>
    <t>GRUPO INTERCORP // HOMECENTER // SOLICITUD DE FERULA - ACCIDENTE DE TRABAJO</t>
  </si>
  <si>
    <t>EXTSYBQ@mapfre.com.pe</t>
  </si>
  <si>
    <t xml:space="preserve"> | CERRADO POR RESPUESTA DE EXTSYBQ@mapfre.com.pe</t>
  </si>
  <si>
    <t>AAQkADdkNThjNzFkLWM0ZmMtNDJhYS04MDVlLTIwNzE4ZDI1Mzg4YgAQAO4IajJIfk4Ksc2lfYG9EV0=</t>
  </si>
  <si>
    <t>SIMA PERU // GASTOS NO CUBIERTOS - LUIS ADAUTO CARRIÓN</t>
  </si>
  <si>
    <t>AAQkADdkNThjNzFkLWM0ZmMtNDJhYS04MDVlLTIwNzE4ZDI1Mzg4YgAQALh5EwG6f5tEvosoPOafS24=</t>
  </si>
  <si>
    <t>NORDIC PHARMACEUTICAL COMPANY S.A.C. - MAPFRE SCTR SALUD - ZETA CAMPOS BALTAZAR - SOLICITUD DE DOCUMENTOS</t>
  </si>
  <si>
    <t>slizana@uiblatam.com</t>
  </si>
  <si>
    <t>| DERIVADO 26/08/2026 15:00</t>
  </si>
  <si>
    <t>AAQkADdkNThjNzFkLWM0ZmMtNDJhYS04MDVlLTIwNzE4ZDI1Mzg4YgAQACDPXIvr2kiIpBltU6cbmpA=</t>
  </si>
  <si>
    <t>RE: CONTROL DE EVOLUCIÓN DE TRATAMIENTO - SALTACHIN SOCUALAYA ANGELA / HURTADO ARELLANO BETSY</t>
  </si>
  <si>
    <t>Gina.Salas@Howdengroup.com</t>
  </si>
  <si>
    <t>AAQkADdkNThjNzFkLWM0ZmMtNDJhYS04MDVlLTIwNzE4ZDI1Mzg4YgAQAE-Ui_hQ10I7lKVxdzb1RyM=</t>
  </si>
  <si>
    <t>URGENTE  CONSULTA RECHAZO DE ATENCIÓN MÉDICA SCTR MAPFRE // RIVAS SOTO ERICK ALONSO</t>
  </si>
  <si>
    <t>AAQkADdkNThjNzFkLWM0ZmMtNDJhYS04MDVlLTIwNzE4ZDI1Mzg4YgAQALlhdCNpCkPnn3Zs8-JjDO8=</t>
  </si>
  <si>
    <t>Serratec SCTR</t>
  </si>
  <si>
    <t>AAQkADdkNThjNzFkLWM0ZmMtNDJhYS04MDVlLTIwNzE4ZDI1Mzg4YgAQAAy4wuSx1U-VoXvQcGpAcvo=</t>
  </si>
  <si>
    <t>RE: REVISON DE MEDICAMENTOS NO CUBIERTOS- RAQUEL ELVIRA NUÑEZ LOYOLA- SCTR SALUD- MAPFRE- EFCO AMERICA SA</t>
  </si>
  <si>
    <t>AAQkADdkNThjNzFkLWM0ZmMtNDJhYS04MDVlLTIwNzE4ZDI1Mzg4YgAQAH9RStjR3-pKhR4TMLrbBrw=</t>
  </si>
  <si>
    <t xml:space="preserve">RE: PESQUERA DIAMANTE SCTR SALUD  : CARLOS MIRANDA AVILES - EVALUACION </t>
  </si>
  <si>
    <t>Rosario.Rodas@Howdengroup.com</t>
  </si>
  <si>
    <t>AAQkADdkNThjNzFkLWM0ZmMtNDJhYS04MDVlLTIwNzE4ZDI1Mzg4YgAQAJ38MiZ9R5FEiaUYfdxdY0w=</t>
  </si>
  <si>
    <t>RV: VALIDACION ATENCION SCTR SALUD  - RESONANCIA - ASEG: MALLQUI CRUZ YRICH ALFREDO - PASO LOS ANDES - MAPFRE</t>
  </si>
  <si>
    <t>andrea.solismaraboli@marsh.com</t>
  </si>
  <si>
    <t>AAQkADdkNThjNzFkLWM0ZmMtNDJhYS04MDVlLTIwNzE4ZDI1Mzg4YgAQAK9haL18fkdZk0QWGJn4y3Q=</t>
  </si>
  <si>
    <t>SIMA PERU // CASO RECHAZADO - Vela Tramarría Michael</t>
  </si>
  <si>
    <t xml:space="preserve"> | RESPUESTA DEL DOCTOR: Estimada Antonella,_x000D_
Sin cobertura por SCTR_x000D_
Solo tendrían cobertura si han sido solicitadas como parte de su estudio pre quirúrgico_x000D_
Slds_x000D_
_________________________________x000D_
De: SCTRSalud &lt;sctrsalud@mapfre.com.pe&gt;_x000D_
Enviado: jueves, 27 de agosto de 2026 11 | RESPUESTA DEL DOCTOR:  REMITENTE EXTERNO: ATENCIÓN, especialmente con enlaces y archivos adjuntos / EXTERNAL SENDER: be CAUTIOUS, particularly with links and attachments / REMETENTE EXTERNO: ATENÇAO, principalmente com links e anexos._x000D_
_x000D_
Buenos dias_x000D_
_x000D_
No procede segun formato</t>
  </si>
  <si>
    <t>Buenos días,_x000D_
_x000D_
Estimados, favor su apoyo evaluando la cobertura de la realización de MAPA Y EXAMEN DE ORINA._x000D_
_x000D_
_x000D_
Saludos,_x000D_
_x000D_
_x000D_
_x000D_
Antonella Fernández_x000D_
_x000D_
Área de SCTR Salud_x000D_
_x000D_
Siniestros y Prestaciones_x000D_
_x000D_
Mapfre Perú_x000D_
_x000D_
Av. Armendáriz 345, Miraflores.</t>
  </si>
  <si>
    <t>AAQkADdkNThjNzFkLWM0ZmMtNDJhYS04MDVlLTIwNzE4ZDI1Mzg4YgAQAOSH2vOvyadHoOn0pZvTs9s=</t>
  </si>
  <si>
    <t>SOLICITUD DE APROBACIÓN DE CARTA DE GARANTÍA PARA RESONANCIA MAGNÉTICA / ACCIDENTE DE TRABAJO / TECNOPRESS S.A.C</t>
  </si>
  <si>
    <t>yizza.arriaga@mercermarshbeneficios.com</t>
  </si>
  <si>
    <t>AAQkADdkNThjNzFkLWM0ZmMtNDJhYS04MDVlLTIwNzE4ZDI1Mzg4YgAQAEDgKCXAvFZGnf2tGzURE04=</t>
  </si>
  <si>
    <t>RV: EXAMEN CALERO VILLACORTA SANDRA ACEVEDO ALDEA</t>
  </si>
  <si>
    <t>Buenos días,_x000D_
_x000D_
Estimados doctores favor su apoyo evaluando la cobertura de lo solicitado._x000D_
_x000D_
_x000D_
Saludos,_x000D_
_x000D_
_x000D_
_x000D_
Antonella Fernández_x000D_
_x000D_
Área de SCTR Salud_x000D_
_x000D_
Siniestros y Prestaciones_x000D_
_x000D_
Mapfre Perú_x000D_
_x000D_
Av. Armendáriz 345, Miraflores._x000D_
_x000D_
_x000D_
_x000D_
#CuidamosLoQueT</t>
  </si>
  <si>
    <t>AAQkADdkNThjNzFkLWM0ZmMtNDJhYS04MDVlLTIwNzE4ZDI1Mzg4YgAQAOtyKMPyZxNNqoE5Qp3I920=</t>
  </si>
  <si>
    <t>Apoyo Carta Garantia Continuidad de atención Terapia Física - PERURAIL - SCTR</t>
  </si>
  <si>
    <t>AAQkADdkNThjNzFkLWM0ZmMtNDJhYS04MDVlLTIwNzE4ZDI1Mzg4YgAQAEnsaOyJb-FIrc1qklb8cg4=</t>
  </si>
  <si>
    <t xml:space="preserve">RE: REACTIVACIÓN EVALUACION POR ENFERMEDAD PROFESIONAL / ASG JOSE ISMAEL NAVARRETE / TECNOFIL / MAPFRE </t>
  </si>
  <si>
    <t>cintya.romero@howdengroup.com</t>
  </si>
  <si>
    <t>AAQkADdkNThjNzFkLWM0ZmMtNDJhYS04MDVlLTIwNzE4ZDI1Mzg4YgAQAI_Dv6ioN_dEgXW6VYEpjCI=</t>
  </si>
  <si>
    <t>RE: SINIESTRO SCTR:  MACHARE AYALA ZANDY MABEL -  UNIBELL S.A.C</t>
  </si>
  <si>
    <t>AAQkADdkNThjNzFkLWM0ZmMtNDJhYS04MDVlLTIwNzE4ZDI1Mzg4YgAQAAiyxkAUMAhAgDzz4OlHvHI=</t>
  </si>
  <si>
    <t>URGENTE PASE DE ATENCIÓN _ASEG. LOPEZ GRIJALVA GIOVANNI JHONATAN DNI 76304704 _CONSORCIO SANEAMIENTO SEÑOR CAUTIVO</t>
  </si>
  <si>
    <t>AAQkADdkNThjNzFkLWM0ZmMtNDJhYS04MDVlLTIwNzE4ZDI1Mzg4YgAQAANWkzwtu0b-lk8PwzPntco=</t>
  </si>
  <si>
    <t xml:space="preserve">INVERSIONES RODALFA S.A.C. // SCTR SALUD: HERNANDEZ HERNANDEZ RITA DE GUADALUPE </t>
  </si>
  <si>
    <t>Estimados doctores,_x000D_
_x000D_
Favor su apoyo evaluando la cobertura de la receta adjunta, solo se ha brindado cobertura a las cremas MOVIFLEX y FASTUMGEL._x000D_
_x000D_
_x000D_
Saludos,_x000D_
_x000D_
_x000D_
_x000D_
Antonella Fernández_x000D_
_x000D_
Área de SCTR Salud_x000D_
_x000D_
Siniestros y Prestaciones_x000D_
_x000D_
Mapfre Perú</t>
  </si>
  <si>
    <t>marlene.garcia@howdengroup.com</t>
  </si>
  <si>
    <t>carmen.acosta@mercermarshbeneficios.com</t>
  </si>
  <si>
    <t>RE: VALIDACION ATENCION SCTR SALUD  - RESONANCIA - ASEG: MALLQUI CRUZ YRICH ALFREDO - PASO LOS ANDES - MAPFRE</t>
  </si>
  <si>
    <t>AAQkADdkNThjNzFkLWM0ZmMtNDJhYS04MDVlLTIwNzE4ZDI1Mzg4YgAQACUbSD-WRXBBlNioTR5MBhs=</t>
  </si>
  <si>
    <t>RE: Cobertura de Terapia de dolor    // PURIS ALCANTARA DAVID con DNI 47129303  // póliza SCTR SALUD  7022200074696</t>
  </si>
  <si>
    <t>AAQkADdkNThjNzFkLWM0ZmMtNDJhYS04MDVlLTIwNzE4ZDI1Mzg4YgAQAFXmN3snA0j6vDDu1N2XEfA=</t>
  </si>
  <si>
    <t>REVISION DE SINIESTRO ASEG. ALEGRIA MONT MARIA - WALSH</t>
  </si>
  <si>
    <t xml:space="preserve"> | RESPUESTA DEL DOCTOR: Estimada Antonella,_x000D_
El mecanismo de lesión denunciado (caminar), no ocasiona esguince de rodilla._x000D_
No corresponde cobertura_x000D_
Slds_x000D_
_________________________________x000D_
De: SCTRSalud &lt;sctrsalud@mapfre.com.pe&gt;_x000D_
Enviado: viernes, 28 de agosto de 2026 09:24_x000D_
Pa</t>
  </si>
  <si>
    <t>AAQkADdkNThjNzFkLWM0ZmMtNDJhYS04MDVlLTIwNzE4ZDI1Mzg4YgAQACcwhM-KF0J4lP62rb6it6s=</t>
  </si>
  <si>
    <t>AGILIZACION DE CG- CARLOS CORTEZ VELZCO- CAMPO ANDINO SAC-SCTR SALUD MAPFRE</t>
  </si>
  <si>
    <t>AAQkADdkNThjNzFkLWM0ZmMtNDJhYS04MDVlLTIwNzE4ZDI1Mzg4YgAQALvYKg4-pgtNsb5QoNdcVjM=</t>
  </si>
  <si>
    <t>RE: Seguimiento atención médica - CASO SCTR Blider Pérez (accidente 15/05/2026)</t>
  </si>
  <si>
    <t>Buenos días:_x000D_
_x000D_
Estimada Yesenia / Dr. Tapia, favor su apoyo solicitando al médico de Medicina Física y Rehabilitación la emisión de un informe médico en el que se detalle y sustente el motivo por el cual se indicó un paquete de terapias físicas al pacien</t>
  </si>
  <si>
    <t>RE: SIMA PERU // CASO RECHAZADO - Vela Tramarría Michael</t>
  </si>
  <si>
    <t>RE: EXAMEN CALERO VILLACORTA SANDRA ACEVEDO ALDEA</t>
  </si>
  <si>
    <t>AAQkADdkNThjNzFkLWM0ZmMtNDJhYS04MDVlLTIwNzE4ZDI1Mzg4YgAQANB2nkYlSnhMk1K_Q0utgvg=</t>
  </si>
  <si>
    <t>PESQUERA DIAMANTE SCTR SALUD : Solicitud de terapia // Cobertura SCTR// LOZADA MIRANDA MARIO</t>
  </si>
  <si>
    <t>AAQkADdkNThjNzFkLWM0ZmMtNDJhYS04MDVlLTIwNzE4ZDI1Mzg4YgAQAM0uYDcK2UrxmzSTssZF6fY=</t>
  </si>
  <si>
    <t>Caso SCTR - Yhianira del Pilar Garrido Mantilla / MAERSK LOGISTICS &amp; SERVICES PERU SA / POLIZA SCTR SALUD 2300141278</t>
  </si>
  <si>
    <t>AAQkADdkNThjNzFkLWM0ZmMtNDJhYS04MDVlLTIwNzE4ZDI1Mzg4YgAQADnEjVX9uXdDoV9QZJJ-YxY=</t>
  </si>
  <si>
    <t xml:space="preserve">RV: Auditoría interna - Accidente de Trabajo // CINEPLEX SCTR SALUD // ASENCIO VERGARAY ALONSO ALFREDO </t>
  </si>
  <si>
    <t>Buenos días,_x000D_
_x000D_
Estimados doctores, favor su apoyo con la auditoría médica del presente caso:_x000D_
_x000D_
_x000D_
El día de ayer se le realizó una resonancia magnética, en la cual se evidenció desgaste en algunos discos. Luego de la revisión realizada con la médico ocup</t>
  </si>
  <si>
    <t>AAQkADdkNThjNzFkLWM0ZmMtNDJhYS04MDVlLTIwNzE4ZDI1Mzg4YgAQAKkQjKVfUEFVtzy-OtwqNXg=</t>
  </si>
  <si>
    <t>RE: SIDER** CARTA DE SALUD SCTR SALUD - ASEG. JAIME ESPINOLA CALDERON</t>
  </si>
  <si>
    <t>AAQkADdkNThjNzFkLWM0ZmMtNDJhYS04MDVlLTIwNzE4ZDI1Mzg4YgAQACq-7aJT9u5NoKb3jSz_pCw=</t>
  </si>
  <si>
    <t>REVISION DE CASO- SCTR  SALUD MAPFRE – YASMEEN VERA BENTIES- SAN ANTONIO DE GUARDIA CIVIL</t>
  </si>
  <si>
    <t>| DERIVADO 01/09/2026 09:00</t>
  </si>
  <si>
    <t>AAQkADdkNThjNzFkLWM0ZmMtNDJhYS04MDVlLTIwNzE4ZDI1Mzg4YgAQAD-vHkCL-El8nAlMeNePUIE=</t>
  </si>
  <si>
    <t>**PRIORIDAD ALTA**: DELOSI S.A. + AGREDA PIMENTEL, FIORELLA + SCTR</t>
  </si>
  <si>
    <t>AAQkADdkNThjNzFkLWM0ZmMtNDJhYS04MDVlLTIwNzE4ZDI1Mzg4YgAQABCclvyNQMROrKa74DD2ZPg=</t>
  </si>
  <si>
    <t xml:space="preserve">RV: Continuidad de terapias físicas – Mónica Alburquerque (SCTR) // AMBAR DEL PERU </t>
  </si>
  <si>
    <t>AAQkADdkNThjNzFkLWM0ZmMtNDJhYS04MDVlLTIwNzE4ZDI1Mzg4YgAQAGpPdvJG3TdPg9e-weUSVsY=</t>
  </si>
  <si>
    <t xml:space="preserve">SIMA PERU // APROBACION DE CG PENDIENTE - Elmer Paul Arcela Saavedra </t>
  </si>
  <si>
    <t>AAQkADdkNThjNzFkLWM0ZmMtNDJhYS04MDVlLTIwNzE4ZDI1Mzg4YgAQAD7HiLGBklpAiqHssG01_g8=</t>
  </si>
  <si>
    <t>PASE ATENCION - CONTRATISTAS MINEROS ALFA - CLINICA JESUS DEL NORTE -PACIENTE: Meza Obregon Fermin Luciano</t>
  </si>
  <si>
    <t>AAQkADdkNThjNzFkLWM0ZmMtNDJhYS04MDVlLTIwNzE4ZDI1Mzg4YgAQALt0ItrNSglDpUpIv8JYOGY=</t>
  </si>
  <si>
    <t>SOLICITUD DE FERULA- SCTR SALLUD - ASG LOZA CORRALES CHRISTIAN JULIO - TECNOFIL S.A -MAPFRE</t>
  </si>
  <si>
    <t>AAQkADdkNThjNzFkLWM0ZmMtNDJhYS04MDVlLTIwNzE4ZDI1Mzg4YgAQAF5TYrAFT0v2jEeUCE1goYA=</t>
  </si>
  <si>
    <t>RV: CASO LUIS MARIO BAZALAR CUEVA ACCIDENTE DE TRABAJO KFC 153</t>
  </si>
  <si>
    <t>AAQkADdkNThjNzFkLWM0ZmMtNDJhYS04MDVlLTIwNzE4ZDI1Mzg4YgAQAD9vFPYleL5CssY6fMGPZvI=</t>
  </si>
  <si>
    <t xml:space="preserve"> Solicitud Resonancia Magnética- Accidente de trabajo Marco Falconí Ramírez  //SCTR SALUD // NESSUS HOTELES PERU</t>
  </si>
  <si>
    <t>AAQkADdkNThjNzFkLWM0ZmMtNDJhYS04MDVlLTIwNzE4ZDI1Mzg4YgAQAOTGaY4HCEpbg6ekS3HxCnI=</t>
  </si>
  <si>
    <t>Atención por continuidad - SCTR Salud - COOPSOL CONSULTORIA Y SERV. EMP. SA</t>
  </si>
  <si>
    <t>AAQkADdkNThjNzFkLWM0ZmMtNDJhYS04MDVlLTIwNzE4ZDI1Mzg4YgAQAIS6qsF3lkz1qDwufn5z_ZY=</t>
  </si>
  <si>
    <t>PASE DE ATENCIÓN_ASEG. MIGUEL DE PRIEGO GALAN GUISSEPPE RONALD DNI 46757997 KING REAL SECURITY S.A.C.</t>
  </si>
  <si>
    <t>AAQkADdkNThjNzFkLWM0ZmMtNDJhYS04MDVlLTIwNzE4ZDI1Mzg4YgAQAF1VA1wSOUmtoQlzWYPdd6g=</t>
  </si>
  <si>
    <t>CARTA DE GARANTIA ASEG. MENA YARI ROLANDO - WALSH</t>
  </si>
  <si>
    <t>RE: CASO LUIS MARIO BAZALAR CUEVA ACCIDENTE DE TRABAJO KFC 153</t>
  </si>
  <si>
    <t>AAQkADdkNThjNzFkLWM0ZmMtNDJhYS04MDVlLTIwNzE4ZDI1Mzg4YgAQAD9TkNjnf_JDvAZg8RmmASg=</t>
  </si>
  <si>
    <t>UNILENE // SCTR SALUD // A.T. 05.08.2026 // Asegurada : ANA CECILIA SOSA GONZALES - ACTIVAR COBERTURA</t>
  </si>
  <si>
    <t>RE: RECONSIDERACION DE CARTA DE GARANTIA ASEG. GARCIA CACERES JAIME - PRODUCTOS PARAISO DEL PERU</t>
  </si>
  <si>
    <t>AAQkADdkNThjNzFkLWM0ZmMtNDJhYS04MDVlLTIwNzE4ZDI1Mzg4YgAQADZ4xggwshxLisKmK8dtqgo=</t>
  </si>
  <si>
    <t>RE: FIBRAFIL- NELDO AGUILAR DOMINGUEZ / SCTR SALUD MAPFRE / COBERTURA RADIOGRAFIA PANORAMICA</t>
  </si>
  <si>
    <t>AAQkADdkNThjNzFkLWM0ZmMtNDJhYS04MDVlLTIwNzE4ZDI1Mzg4YgAQAEoWSrtKSUmIkcubkqWjxnA=</t>
  </si>
  <si>
    <t>CONTINUIDAD DE ATENCION OSI SURQUILLO _ REYNEL DIAZ SANTA CRUZ_ DNI 41858858 _ CONSORCIO SAN MIGUEL _ SCTR</t>
  </si>
  <si>
    <t>AMABLE RECORDATORIO RE: REVISION DEL CASO- CENTENO MOYOPAZ JAVIER DE NILSON- SCTR SALUD MAPFRE- PROVEFABRICA DEL PERU SOCIEDAD ANONIMA</t>
  </si>
  <si>
    <t>AAQkADdkNThjNzFkLWM0ZmMtNDJhYS04MDVlLTIwNzE4ZDI1Mzg4YgAQABaofakEBstGsrqtNS-JAyw=</t>
  </si>
  <si>
    <t>RE: REVISION DE LIQUIDACION DE GASTOS NO CUBIERTOS ASEG. VARA MONTALVO JHEYSON´S ALEXANDER´S - PRODUCTOS PARAISO DEL PERU</t>
  </si>
  <si>
    <t>| DERIVADO 01/09/2026 18:01</t>
  </si>
  <si>
    <t>RE:  Solicitud Resonancia Magnética- Accidente de trabajo Marco Falconí Ramírez  //SCTR SALUD // NESSUS HOTELES PERU</t>
  </si>
  <si>
    <t>Carmen.Soberon@marsh.com</t>
  </si>
  <si>
    <t>AAQkADdkNThjNzFkLWM0ZmMtNDJhYS04MDVlLTIwNzE4ZDI1Mzg4YgAQAPBrDTDv7V5Hoqet38dmUx8=</t>
  </si>
  <si>
    <t>RV: ELECTROCARDIOGRAMA - MARIA TERESA TEJADA SALAZAR</t>
  </si>
  <si>
    <t>AAQkADdkNThjNzFkLWM0ZmMtNDJhYS04MDVlLTIwNzE4ZDI1Mzg4YgAQAEVFCG6Ci2NGuYQ7GR-YX8E=</t>
  </si>
  <si>
    <t>SEGUROC SCTR SALUD - Consulta cobertura GNC - BUITRON CACHA PAULO CESAR</t>
  </si>
  <si>
    <t xml:space="preserve"> | RESPUESTA DEL DOCTOR: AQUACEL FOAM PRO ADH HYDRO_x000D_
AQUACEL FOAM PRO SACRAL_x000D_
_x000D_
Ambos son apósitos para cobertura de heridas ulceradas_x000D_
No tienen cobertura en este caso, salvo se justifique con un informe_x000D_
Slds_x000D_
_________________________________x000D_
De: SCTRSalud &lt;sctrsalud@mapfre.co</t>
  </si>
  <si>
    <t>Buenas tardes:_x000D_
_x000D_
Estimados, favor su apoyo con la evaluación de la cobertura de los siguiente GNC._x000D_
_x000D_
_x000D_
Saludos,_x000D_
_x000D_
_x000D_
_x000D_
Alicia Sancca Medina_x000D_
_x000D_
Área de SCTR Salud_x000D_
_x000D_
Siniestros y Prestaciones_x000D_
_x000D_
Mapfre Perú_x000D_
_x000D_
Av. Armendáriz 345, Miraflores._x000D_
_x000D_
_x000D_
_x000D_
#Cuid</t>
  </si>
  <si>
    <t>AAQkADdkNThjNzFkLWM0ZmMtNDJhYS04MDVlLTIwNzE4ZDI1Mzg4YgAQAJ5HJcuwcoJBkcSbkszReiQ=</t>
  </si>
  <si>
    <t xml:space="preserve">Provefabrica Del Perú SA - Revisión del caso: Centeno Moyopaz Javier </t>
  </si>
  <si>
    <t xml:space="preserve">RE: INVERSIONES RODALFA S.A.C. // SCTR SALUD: HERNANDEZ HERNANDEZ RITA DE GUADALUPE </t>
  </si>
  <si>
    <t>EXTDAMG@mapfre.com.pe</t>
  </si>
  <si>
    <t xml:space="preserve"> | CERRADO POR RESPUESTA DE EXTDAMG@mapfre.com.pe</t>
  </si>
  <si>
    <t>RE: ELECTROCARDIOGRAMA - MARIA TERESA TEJADA SALAZAR</t>
  </si>
  <si>
    <t>RE: URGENTE PASE DE ATENCIÓN _ASEG. LOPEZ GRIJALVA GIOVANNI JHONATAN DNI 76304704 _CONSORCIO SANEAMIENTO SEÑOR CAUTIVO</t>
  </si>
  <si>
    <t>AAQkADdkNThjNzFkLWM0ZmMtNDJhYS04MDVlLTIwNzE4ZDI1Mzg4YgAQAErG4ld0tO1Bi0IHtoqoCk8=</t>
  </si>
  <si>
    <t>SINIESTRO SCTR - GUERRA TAPULLIMA LENI</t>
  </si>
  <si>
    <t>RE: SINIESTRO SCTR - GUERRA TAPULLIMA LENI</t>
  </si>
  <si>
    <t>AAQkADdkNThjNzFkLWM0ZmMtNDJhYS04MDVlLTIwNzE4ZDI1Mzg4YgAQADdo0LV5q1RMiKOr_VtZv0c=</t>
  </si>
  <si>
    <t>CONTINUIDAD DE ATENCION MEDICA - Sr CABRERA MORALES JORGE LUIS</t>
  </si>
  <si>
    <t>eduaremilio.gamboa@mercermarshbeneficios.com</t>
  </si>
  <si>
    <t>AAQkADdkNThjNzFkLWM0ZmMtNDJhYS04MDVlLTIwNzE4ZDI1Mzg4YgAQAG6w3D2gNbNPnZTazA6X2lM=</t>
  </si>
  <si>
    <t>PESQUERA DIAMANTE : Caso Romel Julca Rivadeneyra</t>
  </si>
  <si>
    <t>AAQkADdkNThjNzFkLWM0ZmMtNDJhYS04MDVlLTIwNzE4ZDI1Mzg4YgAQAD0AzB96KDFFthrFQpSfjMs=</t>
  </si>
  <si>
    <t>RV: SOLICITUD ATENCIÓN ACCIDENTE DE TRABAJO</t>
  </si>
  <si>
    <t>AAQkADdkNThjNzFkLWM0ZmMtNDJhYS04MDVlLTIwNzE4ZDI1Mzg4YgAQAJqQhLs-76FHu2KhHodLdLk=</t>
  </si>
  <si>
    <t xml:space="preserve">RV: CARTA DE GARANTIA RECHAZADA - NIÑO ALIAGA CARLOS DNI 75763799  </t>
  </si>
  <si>
    <t>AAQkADdkNThjNzFkLWM0ZmMtNDJhYS04MDVlLTIwNzE4ZDI1Mzg4YgAQAMe4upz_WkNAvkcWisgk9s4=</t>
  </si>
  <si>
    <t>CAMBIO DE PROVEEDOR - GIL PEREZ YORMAN JOSE - MODASA- SCTR SALUD - MAPFRE</t>
  </si>
  <si>
    <t>RE: Solicitud Resonancia Magnética- Accidente de trabajo Marco Falconí Ramírez  //SCTR SALUD // NESSUS HOTELES PERU</t>
  </si>
  <si>
    <t>AAQkADdkNThjNzFkLWM0ZmMtNDJhYS04MDVlLTIwNzE4ZDI1Mzg4YgAQACF6rX5WJq1EpLCfqXldyJA=</t>
  </si>
  <si>
    <t>PACIENTE FERNANDO LORENZO CASARIEGO URQUIA</t>
  </si>
  <si>
    <t>Iris.Salas@marsh.com</t>
  </si>
  <si>
    <t>AAQkADdkNThjNzFkLWM0ZmMtNDJhYS04MDVlLTIwNzE4ZDI1Mzg4YgAQAItG9DZxuvNNgGVYOXkwnEY=</t>
  </si>
  <si>
    <t>PACIENTE CARLOS DANIEL YOVERA OLIVOS</t>
  </si>
  <si>
    <t>AAQkADdkNThjNzFkLWM0ZmMtNDJhYS04MDVlLTIwNzE4ZDI1Mzg4YgAQAIZ3MdLKXUGbkVplmRxTUG0=</t>
  </si>
  <si>
    <t>EMERGENT COLD PERU: Solicitud de soporte / Cobertura de medicamento SCTR – Diana Rufino Alamo</t>
  </si>
  <si>
    <t>RE: CONTINUIDAD DE ATENCION MEDICA - Sr CABRERA MORALES JORGE LUIS</t>
  </si>
  <si>
    <t>AAQkADdkNThjNzFkLWM0ZmMtNDJhYS04MDVlLTIwNzE4ZDI1Mzg4YgAQABHD39fv0whMvImTtEImWSs=</t>
  </si>
  <si>
    <t>PRIORIDAD --- CODELPA PERU - SCTR MAPFRE - SOLICITUD DE CABESTRILLO - JULIO BELTRAN - SCTR POL 7022500158821</t>
  </si>
  <si>
    <t>AAQkADdkNThjNzFkLWM0ZmMtNDJhYS04MDVlLTIwNzE4ZDI1Mzg4YgAQAKAJADw_LSBIhqGy05dBpN8=</t>
  </si>
  <si>
    <t>PERTINENCIA MEDICA DE MEDICINAS - GIL PEREZ YORMAN JOSE - MODASA- SCTR SALUD - MAPFRE</t>
  </si>
  <si>
    <t>Buenas tardes:_x000D_
_x000D_
Estimados, favor su apoyo con la evaluación de la cobertura de lo solicitado._x000D_
_x000D_
_x000D_
Saludos,_x000D_
_x000D_
_x000D_
_x000D_
_x000D_
Alicia Sancca Medina_x000D_
_x000D_
Ejecutiva de Siniestros_x000D_
_x000D_
Mapfre Perú_x000D_
_x000D_
Área de SCTR Salud_x000D_
_x000D_
Av. Armendáriz 345, Miraflores._x000D_
_x000D_
#CuidamosLoQu</t>
  </si>
  <si>
    <t>AAQkADdkNThjNzFkLWM0ZmMtNDJhYS04MDVlLTIwNzE4ZDI1Mzg4YgAQAPQaH1meyvZGo0f5Xnx0gqk=</t>
  </si>
  <si>
    <t>RV: SCTR MAFPRE  // INCONVENIENTE PROVEEDOR PUNO // NESSUS HOTELES PERU</t>
  </si>
  <si>
    <t>gaguayo@mapfre.com.pe</t>
  </si>
  <si>
    <t>AAQkADdkNThjNzFkLWM0ZmMtNDJhYS04MDVlLTIwNzE4ZDI1Mzg4YgAQABG6GMv-GyNMhNd_2KIVSGk=</t>
  </si>
  <si>
    <t>RELACION DE ESPECIALISTAS EN PIE Y TOBILLO / SCTR SALUD / ASG MEDINA CORDERO CRISTIAN / INVERSIONES CYS / MAFRE</t>
  </si>
  <si>
    <t>AAQkADdkNThjNzFkLWM0ZmMtNDJhYS04MDVlLTIwNzE4ZDI1Mzg4YgAQAGtNwAktYUHmnu7yIG1TVbU=</t>
  </si>
  <si>
    <t xml:space="preserve">PAN AMERICAN SILVER HUARON - MAPFRE SCTR SALUD - ELOY GERONIMO CARBAJAL QUISPE - ATENCIÓN ODONTOLOGICA </t>
  </si>
  <si>
    <t>AAQkADdkNThjNzFkLWM0ZmMtNDJhYS04MDVlLTIwNzE4ZDI1Mzg4YgAQADQsjhL9dcBFqvwCSqG765E=</t>
  </si>
  <si>
    <t>PESQUERA DIAMANTE SCTR SALUD 7022200131827 : REACTIVACION POR SEGUNDA OPINION PAJUELO GUILLEN VICTOR</t>
  </si>
  <si>
    <t>AAQkADdkNThjNzFkLWM0ZmMtNDJhYS04MDVlLTIwNzE4ZDI1Mzg4YgAQAEeYr9Zj7OFNmqa8aXqfeLA=</t>
  </si>
  <si>
    <t>RE: PACIENTE FERNANDO LORENZO CASARIEGO URQUIA</t>
  </si>
  <si>
    <t>RE: PESQUERA DIAMANTE : Caso Romel Julca Rivadeneyra</t>
  </si>
  <si>
    <t>rocio_santisteban@ajg.com</t>
  </si>
  <si>
    <t>AAQkADdkNThjNzFkLWM0ZmMtNDJhYS04MDVlLTIwNzE4ZDI1Mzg4YgAQAOt8cCQ7UUuwlPiXtNXPlUg=</t>
  </si>
  <si>
    <t>RV: SIMA PERU // EVALUACION MÉDICA POR RECHAZO DE ASEGURADORA // HERNANDEZ ELIAS LUIS</t>
  </si>
  <si>
    <t>AAQkADdkNThjNzFkLWM0ZmMtNDJhYS04MDVlLTIwNzE4ZDI1Mzg4YgAQAKOlIEes1sJBlRgnbeYI-Rc=</t>
  </si>
  <si>
    <t>Fw: SOLICITUD CITA PROXIMA DE RESONANCIA - JAVIER CENTENO MOYOPAZ</t>
  </si>
  <si>
    <t>AAQkADdkNThjNzFkLWM0ZmMtNDJhYS04MDVlLTIwNzE4ZDI1Mzg4YgAQAK4lXYAAO0Xdm2-xy0nn2Xg=</t>
  </si>
  <si>
    <t>SOLICITUD DE CARTA -  SANGUCHES DEL PERU - SCTR SALUD</t>
  </si>
  <si>
    <t>Buenas tardes;:_x000D_
_x000D_
Doctores, favor su apoyo con la evaluación y, de corresponder, elaboración del informe de rechazo correspondiente._x000D_
_x000D_
RECHAZADO : MECANISMO DE LESION DESCRITO EN FORMATO 01 SCTR "EL ANFRITION ESTABA RECEPCIONANDO GASEOSAS Y COMENZÓ A SE</t>
  </si>
  <si>
    <t>AAQkADdkNThjNzFkLWM0ZmMtNDJhYS04MDVlLTIwNzE4ZDI1Mzg4YgAQAGEzBaL9HU0vu0mdV6Av77w=</t>
  </si>
  <si>
    <t xml:space="preserve">**URGENTE** CICSA PERU // SCTR SALUD - ACCIDENTE DE TRABAJO: DIEGO ARMANDO GARCIA SUPO </t>
  </si>
  <si>
    <t>AAQkADdkNThjNzFkLWM0ZmMtNDJhYS04MDVlLTIwNzE4ZDI1Mzg4YgAQAD4i3_wIuUhJkQrdG7yOPJg=</t>
  </si>
  <si>
    <t>PESQUERA DIAMANTE SCTR SALUD : REEMBOLSO POR ATENCIÓN MEDICA Y SESIONES DE FISIOTERAPIA: ACCIDENTE DE TRABAJO / MAYNITA ABARCA JULIO RAFAEL.</t>
  </si>
  <si>
    <t>AAQkADdkNThjNzFkLWM0ZmMtNDJhYS04MDVlLTIwNzE4ZDI1Mzg4YgAQAEVoYU3F00fgqJfTShPaq2k=</t>
  </si>
  <si>
    <t>RV: EVALUACIÓN DE ENFERMEDAD OCUPACIONAL- VERDUM- ANDREA AREVALO GONZALES- SCTR SALUD MAPFRE</t>
  </si>
  <si>
    <t>Buenas tardes:_x000D_
_x000D_
Estimados, favor su apoyo con la evaluación de cobertura por Enfermedad Profesional._x000D_
_x000D_
Quedo atenta a sus comentarios._x000D_
_x000D_
_x000D_
Saludos,_x000D_
_x000D_
_x000D_
_x000D_
_x000D_
Alicia Sancca Medina_x000D_
_x000D_
Ejecutiva de Siniestros_x000D_
_x000D_
Mapfre Perú_x000D_
_x000D_
Área de SCTR Salud_x000D_
_x000D_
Av. Ar</t>
  </si>
  <si>
    <t>AAQkADdkNThjNzFkLWM0ZmMtNDJhYS04MDVlLTIwNzE4ZDI1Mzg4YgAQAGwXRp8Rl0y_vAq1chIajfU=</t>
  </si>
  <si>
    <t>RV: ALISANO PERÚ EIRL /SCTR-VIDA LEY/RENOVACIÓN/SETIEMBRE  2026</t>
  </si>
  <si>
    <t>RE: EMERGENT COLD PERU: Solicitud de soporte / Cobertura de medicamento SCTR – Diana Rufino Alamo</t>
  </si>
  <si>
    <t>AMRIVA1@mapfre.com.pe</t>
  </si>
  <si>
    <t>AAQkADdkNThjNzFkLWM0ZmMtNDJhYS04MDVlLTIwNzE4ZDI1Mzg4YgAQAN4d70GmzEZagq4YZlw1uCc=</t>
  </si>
  <si>
    <t>DELOSI S.A. // AGREDA PIMENTEL, FIORELLA VICTORIA // SCTR</t>
  </si>
  <si>
    <t>Buenos días:_x000D_
_x000D_
Estimados, favor su apoyo con la evaluación de la cobertura de los siguientes medicamentos:_x000D_
_x000D_
_x000D_
Medicamento no coberturado: LEVOFLOXACINO_x000D_
_x000D_
_x000D_
_x000D_
Saludos,_x000D_
_x000D_
_x000D_
_x000D_
_x000D_
Alicia Sancca Medina_x000D_
_x000D_
Ejecutiva de Siniestros_x000D_
_x000D_
Mapfre Perú_x000D_
_x000D_
Área de S</t>
  </si>
  <si>
    <t>AAQkADdkNThjNzFkLWM0ZmMtNDJhYS04MDVlLTIwNzE4ZDI1Mzg4YgAQABAXPgF1bUZZvXVk1Pw5yQg=</t>
  </si>
  <si>
    <t>SIGDELO S.A.C // TRELLES LARRAURI TYFFANY BRYGGYC // SCTR</t>
  </si>
  <si>
    <t>Buenos días:_x000D_
_x000D_
Estimados, favor su apoyo con la evaluación del medicamento y ortesis adjunto._x000D_
_x000D_
Quedo atenta._x000D_
_x000D_
_x000D_
Saludos,_x000D_
_x000D_
_x000D_
_x000D_
_x000D_
Alicia Sancca Medina_x000D_
_x000D_
Ejecutiva de Siniestros_x000D_
_x000D_
Mapfre Perú_x000D_
_x000D_
Área de SCTR Salud_x000D_
_x000D_
Av. Armendáriz 345, Miraflores.</t>
  </si>
  <si>
    <t>AAQkADdkNThjNzFkLWM0ZmMtNDJhYS04MDVlLTIwNzE4ZDI1Mzg4YgAQANXgrAowd9pBtjGtxqMTBLE=</t>
  </si>
  <si>
    <t>SOLICITUD DE RESONANCIA DE CADERA ASEG. ROMAN QUITO RAUL - IMAGINA</t>
  </si>
  <si>
    <t>Buenos días:_x000D_
_x000D_
Estimados, favor su apoyo con la evaluación de la RM adjunta._x000D_
_x000D_
Quedo atenta_x000D_
_x000D_
_x000D_
Saludos,_x000D_
_x000D_
_x000D_
_x000D_
_x000D_
Alicia Sancca Medina_x000D_
_x000D_
Ejecutiva de Siniestros_x000D_
_x000D_
Mapfre Perú_x000D_
_x000D_
Área de SCTR Salud_x000D_
_x000D_
Av. Armendáriz 345, Miraflores._x000D_
_x000D_
#CuidamosLoQueT</t>
  </si>
  <si>
    <t>AAQkADdkNThjNzFkLWM0ZmMtNDJhYS04MDVlLTIwNzE4ZDI1Mzg4YgAQAGtEXGensUQjhaGI50PY8BY=</t>
  </si>
  <si>
    <t>LOY SING S.A.C // CRIADO RIOS, GIANELLE ISABEL // SCTR</t>
  </si>
  <si>
    <t>AAQkADdkNThjNzFkLWM0ZmMtNDJhYS04MDVlLTIwNzE4ZDI1Mzg4YgAQAKBoiAwrTg9FuuW-AXb2mF0=</t>
  </si>
  <si>
    <t>RV: GRUPO FIERRO/QUIMTIA/ Activación  de SCTR- Filiberto Tuñoque Filiberto Tuñoque Suclupe (DNI 43513039), Técnico de Mantenimiento.</t>
  </si>
  <si>
    <t>AAQkADdkNThjNzFkLWM0ZmMtNDJhYS04MDVlLTIwNzE4ZDI1Mzg4YgAQAC6ynmMS06ZGhHBSQz0YICU=</t>
  </si>
  <si>
    <t>REPORTE ACCIDENTE Y/O INCIDENTE DE TRABAJO - FECHA 02/09/2026 - ASEG. ZAVALETA GARCIA VICTOR HUGO</t>
  </si>
  <si>
    <t>AAQkADdkNThjNzFkLWM0ZmMtNDJhYS04MDVlLTIwNzE4ZDI1Mzg4YgAQAAQml9jiGvBHhMCdeFNpQ4Y=</t>
  </si>
  <si>
    <t>RV: Solicitud Resonancia Magnética- Accidente de trabajo Marco Falconí Ramirez  // POLIZA SCTR SALUD // NESSUS HOTELES PERU</t>
  </si>
  <si>
    <t xml:space="preserve">RE: CARTA DE GARANTIA RECHAZADA - NIÑO ALIAGA CARLOS DNI 75763799  </t>
  </si>
  <si>
    <t>RE: Solicitud Resonancia Magnética- Accidente de trabajo Marco Falconí Ramirez  // POLIZA SCTR SALUD // NESSUS HOTELES PERU</t>
  </si>
  <si>
    <t>AAQkADdkNThjNzFkLWM0ZmMtNDJhYS04MDVlLTIwNzE4ZDI1Mzg4YgAQAJ41IXvH30Y1kj39geuNNJ8=</t>
  </si>
  <si>
    <t>INDECO - MAPFRE SCTR SALUD - ASPAJO TORRES MARBEL - ACTIVACIÓN DE COBERTURA POR ENF. OCUPACIONAL.</t>
  </si>
  <si>
    <t>Buenos días:_x000D_
_x000D_
Estimados, favor su apoyo con la evaluación del siguiente caso por Enfermedad Profesional._x000D_
_x000D_
Quedo atenta a sus comentarios._x000D_
_x000D_
_x000D_
Saludos,_x000D_
_x000D_
_x000D_
_x000D_
_x000D_
Alicia Sancca Medina_x000D_
_x000D_
Ejecutiva de Siniestros_x000D_
_x000D_
Mapfre Perú_x000D_
_x000D_
Área de SCTR Salud_x000D_
_x000D_
Av</t>
  </si>
  <si>
    <t>SOLICITUD CITA PROXIMA DE RESONANCIA - JAVIER CENTENO MOYOPAZ</t>
  </si>
  <si>
    <t>AAQkADdkNThjNzFkLWM0ZmMtNDJhYS04MDVlLTIwNzE4ZDI1Mzg4YgAQAOYs7TfesaJBgNl863kYJDg=</t>
  </si>
  <si>
    <t>CG - 1144509 - 1 / HUAMAN SANCHEZ SAUL JOSE</t>
  </si>
  <si>
    <t>Re: GoodYear - Siniestro SCTR - Trabajador Aaron Astete Morán</t>
  </si>
  <si>
    <t>Buenos días:_x000D_
_x000D_
Estimados, favor su apoyo con la evluación de la cobertura de los siguientes:-_x000D_
_x000D_
  *   Prendas elásticas_x000D_
  *   Bloqueador mineral_x000D_
  *   Medicinas_x000D_
_x000D_
@Cordova Yenque, Pilar Alexandra, favor tu apoyo con la gestión de las prendas, según l</t>
  </si>
  <si>
    <t>AAQkADdkNThjNzFkLWM0ZmMtNDJhYS04MDVlLTIwNzE4ZDI1Mzg4YgAQAM-Y5nA3B59FsBLOCBpksxc=</t>
  </si>
  <si>
    <t>RV: CAMBIO DE PROVEEDOR - HANANI RAQUEL SANDOVAL LAZO- SAN ANTONIO DE ANGAMOS S.A.C.- SCTR SALUD MAPFR</t>
  </si>
  <si>
    <t>RE: SIGDELO S.A.C // TRELLES LARRAURI TYFFANY BRYGGYC // SCTR</t>
  </si>
  <si>
    <t>AAQkADdkNThjNzFkLWM0ZmMtNDJhYS04MDVlLTIwNzE4ZDI1Mzg4YgAQAB7zkSsH2aJPl899FJrBQuA=</t>
  </si>
  <si>
    <t>MINERA DOS DE DICIEMBRE | PASE DE ATENCIÓN | CALLOAPAZA ROSSEL WILLY DNI: 78633581</t>
  </si>
  <si>
    <t>AAQkADdkNThjNzFkLWM0ZmMtNDJhYS04MDVlLTIwNzE4ZDI1Mzg4YgAQALC4XeZfqQZOlv3rS0zHoxY=</t>
  </si>
  <si>
    <t>SOLICITUD DE AUTORIZACION PARA MEDICINA FISICA Y REHABILITACION _ DELGADO HERRERA JUAN _ DNI 61119406 _ COBRA</t>
  </si>
  <si>
    <t>AAQkADdkNThjNzFkLWM0ZmMtNDJhYS04MDVlLTIwNzE4ZDI1Mzg4YgAQAK0wzmSJP01zufAHXP7kewk=</t>
  </si>
  <si>
    <t>AGILIZACION DE CG- VIDAL MEZA ALEJANDRA CAMILA -COFACO INDUSTRIES S.A.C.- SCTR SALUD MAPFRE</t>
  </si>
  <si>
    <t>AAQkADdkNThjNzFkLWM0ZmMtNDJhYS04MDVlLTIwNzE4ZDI1Mzg4YgAQACLJ97TcwUvwrTnNsLUIxxo=</t>
  </si>
  <si>
    <t>APROBACIÓN DE CG 1143636-1 _ CARRION RENGIFO WALDIR _ DNI 77207481 _ SCTR _ CONSORCIO SAN MIGUEL</t>
  </si>
  <si>
    <t>RE: DELOSI S.A. // AGREDA PIMENTEL, FIORELLA VICTORIA // SCTR</t>
  </si>
  <si>
    <t xml:space="preserve">Buenos días:_x000D_
_x000D_
Estimada Dra. El broker no informa lo siguiente:_x000D_
_x000D_
_x000D_
El médico recetó el medicamento de manera preventiva para evitar infección._x000D_
_x000D_
Por favor revisar con tu AM, caso contrario con clínica para poder evaluar el caso._x000D_
_x000D_
Quedo atenta a sus </t>
  </si>
  <si>
    <t>AAQkADdkNThjNzFkLWM0ZmMtNDJhYS04MDVlLTIwNzE4ZDI1Mzg4YgAQAJSX3ESCIkUjr6quC2B8a98=</t>
  </si>
  <si>
    <t>CASOS SCTR PENSIÓN / GRUPO MAERSK / 2026</t>
  </si>
  <si>
    <t xml:space="preserve">RE: **URGENTE** CICSA PERU // SCTR SALUD - ACCIDENTE DE TRABAJO: DIEGO ARMANDO GARCIA SUPO </t>
  </si>
  <si>
    <t>AAQkADdkNThjNzFkLWM0ZmMtNDJhYS04MDVlLTIwNzE4ZDI1Mzg4YgAQAMNd7qVWTkp3jdXx2W5L1AI=</t>
  </si>
  <si>
    <t xml:space="preserve">SIMA PERU // SOLICITUD DE FORMATO EDITABLE DE FORMATO 1 </t>
  </si>
  <si>
    <t>AAQkADdkNThjNzFkLWM0ZmMtNDJhYS04MDVlLTIwNzE4ZDI1Mzg4YgAQAARNxjhZrmxNtBqsvB_7zDc=</t>
  </si>
  <si>
    <t>ATENCION SCTR SALUD // URGENTE // NESSUS HOTELES PERU  // MARY DEL AGUILA</t>
  </si>
  <si>
    <t>AAQkADdkNThjNzFkLWM0ZmMtNDJhYS04MDVlLTIwNzE4ZDI1Mzg4YgAQALR4emG9W0OTkyS836-y-eY=</t>
  </si>
  <si>
    <t>RV: CONSULTA PARA CAMBIO DE CENTRO DE TERAPIA FISICA</t>
  </si>
  <si>
    <t>Katihuska.quispe@howdengroup.com</t>
  </si>
  <si>
    <t>RE: CG - 1144509 - 1 / HUAMAN SANCHEZ SAUL JOSE</t>
  </si>
  <si>
    <t>AAQkADdkNThjNzFkLWM0ZmMtNDJhYS04MDVlLTIwNzE4ZDI1Mzg4YgAQANzCEbr_AkE6muMxIXomTj4=</t>
  </si>
  <si>
    <t>CICSA PERÚ SAC - SCTR SALUD - ACCIDENTE DE TRABAJO: VALVERDE VILLANUEVA FREDDY</t>
  </si>
  <si>
    <t xml:space="preserve"> | RESPUESTA DEL DOCTOR:  REMITENTE EXTERNO: ATENCIÓN, especialmente con enlaces y archivos adjuntos / EXTERNAL SENDER: be CAUTIOUS, particularly with links and attachments / REMETENTE EXTERNO: ATENÇAO, principalmente com links e anexos._x000D_
_x000D_
Buenas tardes_x000D_
_x000D_
Brindar cobertura de l</t>
  </si>
  <si>
    <t>Buenas tardes:_x000D_
_x000D_
Estimados, favor su apoyo con la evaluación de cobertura de la receta adjunta._x000D_
_x000D_
_x000D_
Saludos,_x000D_
_x000D_
_x000D_
_x000D_
_x000D_
Alicia Sancca Medina_x000D_
_x000D_
Ejecutiva de Siniestros_x000D_
_x000D_
Mapfre Perú_x000D_
_x000D_
Área de SCTR Salud_x000D_
_x000D_
Av. Armendáriz 345, Miraflores._x000D_
_x000D_
#CuidamosLoQ</t>
  </si>
  <si>
    <t>AAQkADdkNThjNzFkLWM0ZmMtNDJhYS04MDVlLTIwNzE4ZDI1Mzg4YgAQADKCA1rVWPREnXWzDE1PDUc=</t>
  </si>
  <si>
    <t xml:space="preserve">SCTR - SALUD - </t>
  </si>
  <si>
    <t>AAQkADdkNThjNzFkLWM0ZmMtNDJhYS04MDVlLTIwNzE4ZDI1Mzg4YgAQABIo4eszS0f9rVCJdE4qfxs=</t>
  </si>
  <si>
    <t>SIMA PERU // CARTA FORMAL DE RECHAZO - CASO  HERNANDEZ ELIAS LUIS ALBERTO</t>
  </si>
  <si>
    <t>RE: SIMA PERU // CARTA FORMAL DE RECHAZO - CASO  HERNANDEZ ELIAS LUIS ALBERTO</t>
  </si>
  <si>
    <t>AAQkADdkNThjNzFkLWM0ZmMtNDJhYS04MDVlLTIwNzE4ZDI1Mzg4YgAQAJrwj-if6HtPqzanXKd6Jkc=</t>
  </si>
  <si>
    <t>RV: REVISIÓN DE GASTOS ADICIONALES -CASO Juan Eusebio de la Cruz Bernardo</t>
  </si>
  <si>
    <t>Buenas tardes:_x000D_
_x000D_
Lessly, favor tu apoyo adjuntando la HC de la Clínica San Gabriel con la finalidad de realizar la evaluación correspondiente de los GNC indicados._x000D_
_x000D_
Quedo atenta._x000D_
_x000D_
_x000D_
Saludos,_x000D_
_x000D_
_x000D_
_x000D_
_x000D_
Alicia Sancca Medina_x000D_
_x000D_
Ejecutiva de Siniestros</t>
  </si>
  <si>
    <t>AAQkADdkNThjNzFkLWM0ZmMtNDJhYS04MDVlLTIwNzE4ZDI1Mzg4YgAQACIqQIerFTNOnxBt06_uGbA=</t>
  </si>
  <si>
    <t>MAPFRE REEMBOLSO SCTR COMPRA DE MEDICAMENTO ALERT DEL PERU / ANDY MANUEL CHICOMA VIERA</t>
  </si>
  <si>
    <t>Maria.Crovetto@marsh.com</t>
  </si>
  <si>
    <t>| DERIVADO 08/09/2026 18:00</t>
  </si>
  <si>
    <t>AAQkADdkNThjNzFkLWM0ZmMtNDJhYS04MDVlLTIwNzE4ZDI1Mzg4YgAQANR-sFPWmwRDmnXL1OZXNW4=</t>
  </si>
  <si>
    <t>ACCIDENTE DE TRABAJO - MINERA TAURO - POLIZA 7022500043294 - APAGUEÑO SHAPIAMA EILYER</t>
  </si>
  <si>
    <t>RE: SCTR MAFPRE  // INCONVENIENTE PROVEEDOR PUNO // NESSUS HOTELES PERU</t>
  </si>
  <si>
    <t>AAQkADdkNThjNzFkLWM0ZmMtNDJhYS04MDVlLTIwNzE4ZDI1Mzg4YgAQAKN8jF4HykuTuyUBKjIJGSg=</t>
  </si>
  <si>
    <t xml:space="preserve">RE: ACTIVACIÓN SCTR: MIJICHICH VICENTE MIJHAIL VICKER </t>
  </si>
  <si>
    <t>David.Gamarra@marsh.com</t>
  </si>
  <si>
    <t>AAQkADdkNThjNzFkLWM0ZmMtNDJhYS04MDVlLTIwNzE4ZDI1Mzg4YgAQAGQkyM8BrzhAmpqPwx7oc9o=</t>
  </si>
  <si>
    <t>CASO SCTR SALUD - MAPFRE // ASEG. GUERRA TAPULLIMA LENI // IBEROPLAST</t>
  </si>
  <si>
    <t>Lidia.Ore@mercermarshbeneficios.com</t>
  </si>
  <si>
    <t>AAQkADdkNThjNzFkLWM0ZmMtNDJhYS04MDVlLTIwNzE4ZDI1Mzg4YgAQAG56vPvrHEG1urc4x6Ok4ms=</t>
  </si>
  <si>
    <t>URGENTE / PLANTA EL MIRADOR / ACCIDENTE / ASEG:JESUS MARTIN PAREDES HUAYAMARES</t>
  </si>
  <si>
    <t>Janet.Vera@mercermarshbeneficios.com</t>
  </si>
  <si>
    <t>| DERIVADO 10/09/2026 12:05</t>
  </si>
  <si>
    <t>AAQkADdkNThjNzFkLWM0ZmMtNDJhYS04MDVlLTIwNzE4ZDI1Mzg4YgAQAK5AC3kXK7NIvJAZu8QsR0s=</t>
  </si>
  <si>
    <t>TAMSHI  - Accidentes de Trabajo_Revisión de extención de terapias</t>
  </si>
  <si>
    <t>AAQkADdkNThjNzFkLWM0ZmMtNDJhYS04MDVlLTIwNzE4ZDI1Mzg4YgAQAFasYTMf6U6LkIMLdg9Wsxw=</t>
  </si>
  <si>
    <t>RV: EXSA | SCTR | LUIS MIGUEL DIAZ PALMA</t>
  </si>
  <si>
    <t>Eduardo.Postigo@mercermarshbeneficios.com</t>
  </si>
  <si>
    <t>AAQkADdkNThjNzFkLWM0ZmMtNDJhYS04MDVlLTIwNzE4ZDI1Mzg4YgAQAPpCoT32m0ilub1Q45-NP5g=</t>
  </si>
  <si>
    <t>PASE DE ATENCIÓN_ASEG. TOCRE QUIÑONES ROCIO DEL PILAR DNI 44540104 EQUINOX INTERNACIONAL SAC</t>
  </si>
  <si>
    <t>AAQkADdkNThjNzFkLWM0ZmMtNDJhYS04MDVlLTIwNzE4ZDI1Mzg4YgAQAGBuiSvE3ESPolV7e3gxBiM=</t>
  </si>
  <si>
    <t>URGENTE // SIMA PERU // CAMBIO DE CLINICA - CASO LUZMILA ZEÑA NISAMA</t>
  </si>
  <si>
    <t>AAQkADdkNThjNzFkLWM0ZmMtNDJhYS04MDVlLTIwNzE4ZDI1Mzg4YgAQAL45Fd1JoUZLpxPt8oIPFmk=</t>
  </si>
  <si>
    <t>SINIESTRO SCTR - JHON WILLIAM USCA CHINO - PERURAIL S.A.</t>
  </si>
  <si>
    <t>AAQkADdkNThjNzFkLWM0ZmMtNDJhYS04MDVlLTIwNzE4ZDI1Mzg4YgAQAMI8WfawiUIRvEN5cqqnSks=</t>
  </si>
  <si>
    <t>ATENCION SCTR SALUD // NESSUS HOTELES PERU  // MUY URGENTE</t>
  </si>
  <si>
    <t>AAQkADdkNThjNzFkLWM0ZmMtNDJhYS04MDVlLTIwNzE4ZDI1Mzg4YgAQAPUZfHYTAWJEmLVsXy_3viI=</t>
  </si>
  <si>
    <t>REEMBOLSO DE MEDICINAS - GIL PEREZ YORMAN JOSE - MODASA- SCTR SALUD - MAPFRE</t>
  </si>
  <si>
    <t>| DERIVADO 09/09/2026 15:00</t>
  </si>
  <si>
    <t>AAQkADdkNThjNzFkLWM0ZmMtNDJhYS04MDVlLTIwNzE4ZDI1Mzg4YgAQAJ51rc1eDyxEhpBKwxcqZVI=</t>
  </si>
  <si>
    <t>RV: COBERTURA PARA MEDICAMENTO / CLINICA AUNA | SELIN | CHICHIPE/PRECIADO, JERSON</t>
  </si>
  <si>
    <t>Esperanza.Morales@marsh.com</t>
  </si>
  <si>
    <t>AAQkADdkNThjNzFkLWM0ZmMtNDJhYS04MDVlLTIwNzE4ZDI1Mzg4YgAQAEBe-iYsHEabuabt-X9ILlY=</t>
  </si>
  <si>
    <t>SIMA PERU // SOLICITUD DE CENTROS RESONADORES - CASO RECHAZADO MIRO CHUNGA JUNIOR</t>
  </si>
  <si>
    <t>AAQkADdkNThjNzFkLWM0ZmMtNDJhYS04MDVlLTIwNzE4ZDI1Mzg4YgAQAKY_Sx2XMH9JkuxcYdiHCNU=</t>
  </si>
  <si>
    <t>TAMSHI: SOLICITUD DE RESONACIA MAGNETICA JORGE PINEDO GARCIA</t>
  </si>
  <si>
    <t>AAQkADdkNThjNzFkLWM0ZmMtNDJhYS04MDVlLTIwNzE4ZDI1Mzg4YgAQAFL9J4WYeWhNk5aCLuS3a7g=</t>
  </si>
  <si>
    <t>RV: CONSULTA DE REEMBOLSO_Navarro Chaname Karina Vanessa</t>
  </si>
  <si>
    <t>AAQkADdkNThjNzFkLWM0ZmMtNDJhYS04MDVlLTIwNzE4ZDI1Mzg4YgAQALFFomBjldNOnPhmIP50m0c=</t>
  </si>
  <si>
    <t>Re: ACTIVACIÓN SCTR: ROMANI RIVEROS EDGAR / VENTAS/ CD SUR</t>
  </si>
  <si>
    <t>AAQkADdkNThjNzFkLWM0ZmMtNDJhYS04MDVlLTIwNzE4ZDI1Mzg4YgAQAB7oTg8w20jwqsfc3SHPoP0=</t>
  </si>
  <si>
    <t>RE: SIDERPERU** ENTREGA DE MEDICINA EN CL SAN PABLO (SURCO) - ASEG. LEON MALO ALEXANDER OBED - POLIZA SCTR SALUD 7022400013915</t>
  </si>
  <si>
    <t>MariaIsabel_Garcia@ajg.com</t>
  </si>
  <si>
    <t>AAQkADdkNThjNzFkLWM0ZmMtNDJhYS04MDVlLTIwNzE4ZDI1Mzg4YgAQAMWbopnoW9ZOrOV3R29jKDs=</t>
  </si>
  <si>
    <t>RESITER //MAPFRE SCTR SALUD - ASEG. DERIAN JHAMIL FLORES MAYTA - DNI: 75085049 - SOLICITUD DE CG</t>
  </si>
  <si>
    <t>Carola_Elmore@ajg.com</t>
  </si>
  <si>
    <t>AAQkADdkNThjNzFkLWM0ZmMtNDJhYS04MDVlLTIwNzE4ZDI1Mzg4YgAQAPtNfUbNSKxOrlPz3jpLLcE=</t>
  </si>
  <si>
    <t xml:space="preserve">SERVIICIOS ESPECIALES PISCO : CASO Alejandro Rengifo Fachin </t>
  </si>
  <si>
    <t>AAQkADdkNThjNzFkLWM0ZmMtNDJhYS04MDVlLTIwNzE4ZDI1Mzg4YgAQAOnpwxHajVZKngv1o5721Gg=</t>
  </si>
  <si>
    <t>RE: GIL PEREZ YORMAN JOSE - PRONTOSON SOLUCION</t>
  </si>
  <si>
    <t>AAQkADdkNThjNzFkLWM0ZmMtNDJhYS04MDVlLTIwNzE4ZDI1Mzg4YgAQAO-YWiOJ0YxFkO8zQjJTzF0=</t>
  </si>
  <si>
    <t>Solicitud de cobertura de magnetoterapia – Jessica Acosta Herrera SCTR_ TIENDA BRASIL</t>
  </si>
  <si>
    <t>AAQkADdkNThjNzFkLWM0ZmMtNDJhYS04MDVlLTIwNzE4ZDI1Mzg4YgAQAGbXE-g7k0H7hpW2rR6go1w=</t>
  </si>
  <si>
    <t>PÓLIZA SCTR_ASEG.  JOSE MUÑOZ AYCHO DNI 25781285 QUIMPAC S.A.</t>
  </si>
  <si>
    <t>| DERIVADO 10/09/2026 18:01</t>
  </si>
  <si>
    <t>AAQkADdkNThjNzFkLWM0ZmMtNDJhYS04MDVlLTIwNzE4ZDI1Mzg4YgAQAGRV7qOc2OlKtorasflW13g=</t>
  </si>
  <si>
    <t>EVALUACION DE RECETA MEDICA KENACORT - SCTR - ASG ROJAS CCORIMANYA EDWIN - CONSORCIO PERU HEALTH - MAPFRE</t>
  </si>
  <si>
    <t>AAQkADdkNThjNzFkLWM0ZmMtNDJhYS04MDVlLTIwNzE4ZDI1Mzg4YgAQABB3BiIsE0yXoNSWyS803bw=</t>
  </si>
  <si>
    <t>RV: Reporte de accidente laboral: EDDY AGUILLAR VIZCARRA - Casa Andina Select Arequipa</t>
  </si>
  <si>
    <t>AAQkADdkNThjNzFkLWM0ZmMtNDJhYS04MDVlLTIwNzE4ZDI1Mzg4YgAQAD7hu1HUT0wKq41Zbvy6pek=</t>
  </si>
  <si>
    <t>ZINC POWER - SOLICITUD DE BOTA WALKER - ROLIN OCHAVANO WALTER</t>
  </si>
  <si>
    <t>Manuel.Tarazona@marsh.com</t>
  </si>
  <si>
    <t>AAQkADdkNThjNzFkLWM0ZmMtNDJhYS04MDVlLTIwNzE4ZDI1Mzg4YgAQACbsiDHMFUU4i9BqdFncPvE=</t>
  </si>
  <si>
    <t>SIMA PERU // ESTADO DE CARTA DE GARANTIA - CASO: JORGE YOEL ROBLES REYES</t>
  </si>
  <si>
    <t>AAQkADdkNThjNzFkLWM0ZmMtNDJhYS04MDVlLTIwNzE4ZDI1Mzg4YgAQAOaw-sPx9mFIsswGRkSizKs=</t>
  </si>
  <si>
    <t>RV: ESPARQ CONSTRUCCION  / SCTR / ATENCIÓN DE SANTARIA ALEGRIA JOSE</t>
  </si>
  <si>
    <t>AAQkADdkNThjNzFkLWM0ZmMtNDJhYS04MDVlLTIwNzE4ZDI1Mzg4YgAQAIoCJJ14KM1ErIs_trmWAqE=</t>
  </si>
  <si>
    <t>Fwd: Solicitud de reactivación por secuela extemporánea SCTR Salud – SANCHEZ QUILCA MELISSA LOURDES</t>
  </si>
  <si>
    <t>PRUEBA</t>
  </si>
  <si>
    <t>melissa.sanchezq@pucp.edu.pe</t>
  </si>
  <si>
    <t>AAQkADdkNThjNzFkLWM0ZmMtNDJhYS04MDVlLTIwNzE4ZDI1Mzg4YgAQAAeFqBF2aCNCn7qGZVF_9FA=</t>
  </si>
  <si>
    <t>RV: Reporte de accidente laboral: ANGEL VIRU TEJADA - Casa Andina Select Arequipa  // SCTR SALUD // NESSUS HOTELES PERU</t>
  </si>
  <si>
    <t>| DERIVADO 11/09/2026 11:00</t>
  </si>
  <si>
    <t>AAQkADdkNThjNzFkLWM0ZmMtNDJhYS04MDVlLTIwNzE4ZDI1Mzg4YgAQAFil7khNtkvZr7Pe7uMhGd0=</t>
  </si>
  <si>
    <t>RE: HLC S.A.C. // SCTR / COBERTURA SR CAMPOS</t>
  </si>
  <si>
    <t>martha.aliaga@howdengroup.com</t>
  </si>
  <si>
    <t>AAQkADdkNThjNzFkLWM0ZmMtNDJhYS04MDVlLTIwNzE4ZDI1Mzg4YgAQACayt1-seYBLu2ZDiAvyOHk=</t>
  </si>
  <si>
    <t>RE: CONSTRUCTORA GALILEA / ASG. TAPIA HORNA JHONNY / CONSULTA 2DA OPINION- SCTR SALUD MAPFRE</t>
  </si>
  <si>
    <t>AAQkADdkNThjNzFkLWM0ZmMtNDJhYS04MDVlLTIwNzE4ZDI1Mzg4YgAQAO7nrBswpLtBvV1DuWkC-Z8=</t>
  </si>
  <si>
    <t>CASO: PUMARRUMI CASTILLO / MAERSK LOGISTICS &amp; SERVICE PERU</t>
  </si>
  <si>
    <t>jesus-ernesto.barriga@marsh.com</t>
  </si>
  <si>
    <t>AAQkADdkNThjNzFkLWM0ZmMtNDJhYS04MDVlLTIwNzE4ZDI1Mzg4YgAQAPKL9_vZlBBJuFLz-SqTEyc=</t>
  </si>
  <si>
    <t>SNACKS - RV: SOLICITUD DE REACTIVACIÓN - LEVIS ROMERO JOEL - DNI : 47854205</t>
  </si>
  <si>
    <t>AAQkADdkNThjNzFkLWM0ZmMtNDJhYS04MDVlLTIwNzE4ZDI1Mzg4YgAQAIbGYIdbX8xMvQ-iuoKjbdU=</t>
  </si>
  <si>
    <t>RV: Interconsulta Medicina Física - Sr. BUITRON CACHA PAULO</t>
  </si>
  <si>
    <t>AAQkADdkNThjNzFkLWM0ZmMtNDJhYS04MDVlLTIwNzE4ZDI1Mzg4YgAQAFkbxFtrSkT7v9CDNQT32FM=</t>
  </si>
  <si>
    <t>SOLICITO REMBOLSO MAPFRE POR ACCIDENTE DE TRABAJO // ROMAN ZETA ALEX  WILSON</t>
  </si>
  <si>
    <t>Rossana_Gamarra@ajg.com</t>
  </si>
  <si>
    <t>AAQkADdkNThjNzFkLWM0ZmMtNDJhYS04MDVlLTIwNzE4ZDI1Mzg4YgAQAHZ-nQK1X0gVm-AR3e5G9VU=</t>
  </si>
  <si>
    <t>SOLICITUD DE ENTREGA DE MULETAS _ UCHUYA OCHOA LESLY SOLMAYRA _ DNI 73024934 _ INVERSIONES FISA S.A.</t>
  </si>
  <si>
    <t>AAQkADdkNThjNzFkLWM0ZmMtNDJhYS04MDVlLTIwNzE4ZDI1Mzg4YgAQAF5jBRg57UKvkXO9QzrdVUY=</t>
  </si>
  <si>
    <t>RV: ACCIDENTE DE TRABAJO_CRISTHIAN ELIAS COVEÑAS_PAGO DE GARANTIA_HOSPITALIZACION</t>
  </si>
  <si>
    <t>AAQkADdkNThjNzFkLWM0ZmMtNDJhYS04MDVlLTIwNzE4ZDI1Mzg4YgAQABpiZT-7SUBHh0pnzCMqDaY=</t>
  </si>
  <si>
    <t>CASO: COTAQUISPE ALVARADO, EDGAR MICHAEL / MAERSK LOGISTICS &amp; SERVICES PERU SA / SCTR 2300141278 / 11.09.2026</t>
  </si>
  <si>
    <t>AAQkADdkNThjNzFkLWM0ZmMtNDJhYS04MDVlLTIwNzE4ZDI1Mzg4YgAQAIJMaveE2ECkmf2mWVIFPIA=</t>
  </si>
  <si>
    <t>COBERTURA DE RESONANCIA / MAERSK LOGISTICS &amp; SERVICES PERU SA / SCTR SALUD 2300141278 / TONY HELEN MACHACUAY AQUICE / 11.09.2026</t>
  </si>
  <si>
    <t>AAQkADdkNThjNzFkLWM0ZmMtNDJhYS04MDVlLTIwNzE4ZDI1Mzg4YgAQAKRCHXpzI0VBiepqyQ6je3M=</t>
  </si>
  <si>
    <t xml:space="preserve">ELECTROPERU / REPORTE DE ACCIDENTE DE TRABAJO SCTR SALUD / COLABORADOR CADILLO DIAZ JORGE ALBERTO. </t>
  </si>
  <si>
    <t>Processingcenter2@marsh.com</t>
  </si>
  <si>
    <t>AAQkADdkNThjNzFkLWM0ZmMtNDJhYS04MDVlLTIwNzE4ZDI1Mzg4YgAQABv2nOys2AVBq003K7i1Rb0=</t>
  </si>
  <si>
    <t xml:space="preserve">URGENTE - SNACKS -  Atención C. SAN PABLO SURGO - Ginecología - ZAPATA FARFAN ABRIL DE MARIA - </t>
  </si>
  <si>
    <t>AAQkADdkNThjNzFkLWM0ZmMtNDJhYS04MDVlLTIwNzE4ZDI1Mzg4YgAQABKVgXyNzSZGgDO9BNwKrdo=</t>
  </si>
  <si>
    <t>RE: Reporte de accidente laboral: EDDY AGUILLAR VIZCARRA - Casa Andina Select Arequipa // NESSUS HOTELES PERU</t>
  </si>
  <si>
    <t>AAQkADdkNThjNzFkLWM0ZmMtNDJhYS04MDVlLTIwNzE4ZDI1Mzg4YgAQALzNGG52rEr3hStYrznV0os=</t>
  </si>
  <si>
    <t xml:space="preserve">PATRIMONIO EN FIDEICOMISO - D. LEG. 861, TITULO XI, CPR - MAPFRE SCTR SALUD - ASEG. RODRIGUEZ YCOMENA ALDEN - APROBACIÓN DE CG </t>
  </si>
  <si>
    <t>AAQkADdkNThjNzFkLWM0ZmMtNDJhYS04MDVlLTIwNzE4ZDI1Mzg4YgAQACO5kSZpLyxNpnzvZpARW_8=</t>
  </si>
  <si>
    <t xml:space="preserve">INDECO - SCTR SALUD MAPFRE - ASEG. COLAN REYES JOSE ADOLFO - SOLICITUD DE CG </t>
  </si>
  <si>
    <t>carola_elmore@ajg.com</t>
  </si>
  <si>
    <t>AAQkADdkNThjNzFkLWM0ZmMtNDJhYS04MDVlLTIwNzE4ZDI1Mzg4YgAQAMS07gxvgrJNvPJkCyCGQnM=</t>
  </si>
  <si>
    <t>RV: 2DA OPINIÓN MÉDICA - Clínica San Pablo - Sr. Omar Vásquez Trillo - HV Contratistas</t>
  </si>
  <si>
    <t>Karina.Carbonero@mercermarshbeneficios.com</t>
  </si>
  <si>
    <t>AAQkADdkNThjNzFkLWM0ZmMtNDJhYS04MDVlLTIwNzE4ZDI1Mzg4YgAQAB6QX_JeU8VNt5egbnLknrA=</t>
  </si>
  <si>
    <t>URGENTE REVISION DE PERTINENCIA MEDICA DE MEDICINAS  SCTR SALUD - PAC. YALLE LEON SONIA ISABEL -  CAMPO ANDINO SAC</t>
  </si>
  <si>
    <t>AAQkADdkNThjNzFkLWM0ZmMtNDJhYS04MDVlLTIwNzE4ZDI1Mzg4YgAQAIH5gKySn-RDkn6M9BKiRRw=</t>
  </si>
  <si>
    <t xml:space="preserve">REVISIÓN DE COBERTURA DE EXAMENES  - SCTR - ASG  MAÑUICO HUACCAN MARIA DEL CARMEN- EFCO AMERICA - MAPFRE </t>
  </si>
  <si>
    <t>AAQkADdkNThjNzFkLWM0ZmMtNDJhYS04MDVlLTIwNzE4ZDI1Mzg4YgAQAPqEFg33HzBCk0a7Qyhj1n4=</t>
  </si>
  <si>
    <t>***MUY URGENTE***CONDUTO - MAPFRE SCTR SALUD - ASEG. PANDURO SILVANO JHON - REPORTE DE SINIESTRO.</t>
  </si>
  <si>
    <t>AAQkADdkNThjNzFkLWM0ZmMtNDJhYS04MDVlLTIwNzE4ZDI1Mzg4YgAQAGs5U0Et3QlOtnluAcwe0eM=</t>
  </si>
  <si>
    <t>Atención SCTR Salud - PINEDO PUSCAN, JORDAN KOVASHKI - TRANSPORTES ACOINSA SAC.</t>
  </si>
  <si>
    <t>Pedro.Dextre@marsh.com</t>
  </si>
  <si>
    <t>AAQkADdkNThjNzFkLWM0ZmMtNDJhYS04MDVlLTIwNzE4ZDI1Mzg4YgAQABUjnOWbgyVGreydq861slE=</t>
  </si>
  <si>
    <t>SIMA PERÚ / SOLICITUD DE TALONARIO FORMATO 1</t>
  </si>
  <si>
    <t>AAQkADdkNThjNzFkLWM0ZmMtNDJhYS04MDVlLTIwNzE4ZDI1Mzg4YgAQAMUd3GUYGT9GmwU6neuEH-g=</t>
  </si>
  <si>
    <t>RE: URGENTE PASE DE ATENCION - CLINICA SAN PEDRI CHIMBOTE - EMPRESA: PESQUERA PACIFICO CENTRO - CASO: GUANILO ZEGARRA JOSE LUIS</t>
  </si>
  <si>
    <t>AAQkADdkNThjNzFkLWM0ZmMtNDJhYS04MDVlLTIwNzE4ZDI1Mzg4YgAQAJ1b5DC20KBEpZNgtp4iWxg=</t>
  </si>
  <si>
    <t>RE: EVALUACION DE RECETA MEDICA  - SCTR - ASG ROJAS CCORIMANYA EDWIN - CONSORCIO PERU HEALTH - MAPFRE</t>
  </si>
  <si>
    <t>AAQkADdkNThjNzFkLWM0ZmMtNDJhYS04MDVlLTIwNzE4ZDI1Mzg4YgAQAMEGX12GIAJLicZtKujESTk=</t>
  </si>
  <si>
    <t>***MUY URGENTE***INDECO - MAPFRE SCTR SALUD - ASEG. ZAVALETA PAZOS CARLOS - SOLICITUD DE EXAMEN</t>
  </si>
  <si>
    <t>AAQkADdkNThjNzFkLWM0ZmMtNDJhYS04MDVlLTIwNzE4ZDI1Mzg4YgAQAEitfoieuhpKoThHkfeVo_c=</t>
  </si>
  <si>
    <t>RV: MOVIL BUS -REACTIVACIÓN SCTR SALUD - TANIA RISCO RENTERIA DNI: 09865183</t>
  </si>
  <si>
    <t>AAQkADdkNThjNzFkLWM0ZmMtNDJhYS04MDVlLTIwNzE4ZDI1Mzg4YgAQABrL_3ahp00sip5YoXAqBGg=</t>
  </si>
  <si>
    <t>RV: EXSA | SCTR | Luis Diaz Palma - Orden de Muletas</t>
  </si>
  <si>
    <t>David.Abad@marsh.com</t>
  </si>
  <si>
    <t>AAQkADdkNThjNzFkLWM0ZmMtNDJhYS04MDVlLTIwNzE4ZDI1Mzg4YgAQAAApjtw4NUs-gmCNyJsdViQ=</t>
  </si>
  <si>
    <t>Caso - COBERTURA CONTINUIDAD SCTR / Roney Medina Agurto / SVITZER PERU SA / SCTR SALUD 2300140810 / 14.09.2026</t>
  </si>
  <si>
    <t>AAQkADdkNThjNzFkLWM0ZmMtNDJhYS04MDVlLTIwNzE4ZDI1Mzg4YgAQABH2gPGK5yhNo0XHJF64UGY=</t>
  </si>
  <si>
    <t>RV: INVERSIONES FISA / Solicitud de reembolso – Atención SCTR Alberto Ampuero</t>
  </si>
  <si>
    <t>| DERIVADO 15/09/2026 18:00</t>
  </si>
  <si>
    <t>AAQkADdkNThjNzFkLWM0ZmMtNDJhYS04MDVlLTIwNzE4ZDI1Mzg4YgAQAIefW7vXfA9Bu8w6pwiUo9g=</t>
  </si>
  <si>
    <t>RE: PROBLEMAS DE ATENCION ASEG. GUTIERREZ TITO JUAN CARLOS - CORRALES CENTER S.A.C.</t>
  </si>
  <si>
    <t>AAQkADdkNThjNzFkLWM0ZmMtNDJhYS04MDVlLTIwNzE4ZDI1Mzg4YgAQAIB-icYgwF9CrRBvnudtOkI=</t>
  </si>
  <si>
    <t>PRIORIDAD // GRUPO INTERCORP //  ACCIDENTE DE TRABAJO//ANGELO CASTILLO/TIENDA SULLANA//SETIEMBRE</t>
  </si>
  <si>
    <t>AAQkADdkNThjNzFkLWM0ZmMtNDJhYS04MDVlLTIwNzE4ZDI1Mzg4YgAQAFBXLKfW8EA1tHn2e2xW7LA=</t>
  </si>
  <si>
    <t>PRIORIDAD // GRUPO INTERCORP //  Apoyo - Caso SCTR</t>
  </si>
  <si>
    <t>Riesgoslaboralesitc@marsh.com</t>
  </si>
  <si>
    <t>AAQkADdkNThjNzFkLWM0ZmMtNDJhYS04MDVlLTIwNzE4ZDI1Mzg4YgAQAGe7HeEcSJtOsYmuZzSK2_s=</t>
  </si>
  <si>
    <t xml:space="preserve">SOLICITUD URGENTE - REVISION GNC - SCTR SALUD -  MARRERO LEON, ANSELMO IVHAN      </t>
  </si>
  <si>
    <t>diego_molina@ajg.com</t>
  </si>
  <si>
    <t>AAQkADdkNThjNzFkLWM0ZmMtNDJhYS04MDVlLTIwNzE4ZDI1Mzg4YgAQAAn5nSnfkkQUk-ttwFSSXVk=</t>
  </si>
  <si>
    <t>RV: Notificación de accidente laboral - Activación de SOAT y SCTR | Colaborador: Rudecindo Jesus Angeles Castillo/ Consorcio San Miguel</t>
  </si>
  <si>
    <t>AAQkADdkNThjNzFkLWM0ZmMtNDJhYS04MDVlLTIwNzE4ZDI1Mzg4YgAQAHr1qFrjTZ5LurlWI74YXGg=</t>
  </si>
  <si>
    <t>RV: Solicitud de auditoría médica de oficio – Caso Emanuel Gil Jiménez – Accidente 05/02/2026</t>
  </si>
  <si>
    <t>Jhon.Padilla@marsh.com</t>
  </si>
  <si>
    <t>AAQkADdkNThjNzFkLWM0ZmMtNDJhYS04MDVlLTIwNzE4ZDI1Mzg4YgAQAEX3RsgPcU7CpVkGHfCKbns=</t>
  </si>
  <si>
    <t>SIMA PERU // SOLICITUD DE ATENCION EN CENTRO MÉDICO DE MAPFRE - CASO JORGE DIAZ GUEVARA</t>
  </si>
  <si>
    <t>AAQkADdkNThjNzFkLWM0ZmMtNDJhYS04MDVlLTIwNzE4ZDI1Mzg4YgAQAEyNgDfy8E_NoKgxJETifTc=</t>
  </si>
  <si>
    <t>VH2026-1082 | LAGARDERE TRAVEL RETAIL PERÚ S.A.C. | SCTR SALUD | OTRAS GESTIONES | ESTEFANIE MILAGROS BASTIDAS GARCIA | MAPFRE | 14/09/2026</t>
  </si>
  <si>
    <t>Victor_Hernandez@ajg.com</t>
  </si>
  <si>
    <t>AAQkADdkNThjNzFkLWM0ZmMtNDJhYS04MDVlLTIwNzE4ZDI1Mzg4YgAQAHIGjFbqSmBBuQUixwtSbZg=</t>
  </si>
  <si>
    <t>AUTORIZACION DE ATENCION CON DOC EN DIGITAL- BARRIENTOS AIQUIPA ELMER PABLO- SCTR SALUD- MAPFRE- MOTORES ANDINOS</t>
  </si>
  <si>
    <t>AAQkADdkNThjNzFkLWM0ZmMtNDJhYS04MDVlLTIwNzE4ZDI1Mzg4YgAQAEPI0mAn9E50rrMBRhlcolQ=</t>
  </si>
  <si>
    <t>**PRIORIDAD ALTA**: DELOSI S.A. // JIMENEZ PALOMINO, ADRIAN GABRIEL // SCTR</t>
  </si>
  <si>
    <t>AAQkADdkNThjNzFkLWM0ZmMtNDJhYS04MDVlLTIwNzE4ZDI1Mzg4YgAQADYebe3WMMVEmeKzZSJekOI=</t>
  </si>
  <si>
    <t>RV: URGENTE CAMBIO DE CLINICA - SCTR SALUD - EMPRESA: PESQUERA PACIFICO CENTRO - CASO: GUANILO ZEGARRA JOSE LUIS</t>
  </si>
  <si>
    <t>AAQkADdkNThjNzFkLWM0ZmMtNDJhYS04MDVlLTIwNzE4ZDI1Mzg4YgAQAHF4LOQXizdOobJbAObblkg=</t>
  </si>
  <si>
    <t>SOLICITUD DE ACTIVACION POR AT - SCTR SALUD - ASG PALMA GONZALES VLADIMIR - GACELA</t>
  </si>
  <si>
    <t>AAQkADdkNThjNzFkLWM0ZmMtNDJhYS04MDVlLTIwNzE4ZDI1Mzg4YgAQAIM_vYb2QgpBsuPCOOWpU2s=</t>
  </si>
  <si>
    <t>ACTIVACION DE ATENCIONES - SCTR SALUD - ASG GUZMAN BORDA PERCY - AVIO SAC</t>
  </si>
  <si>
    <t>AAQkADdkNThjNzFkLWM0ZmMtNDJhYS04MDVlLTIwNzE4ZDI1Mzg4YgAQAESOr7fcTUFMh_6afMtGZug=</t>
  </si>
  <si>
    <t>Solicitud de soporte / Cobertura de medicamento SCTR – Diana Rufino Alamo - EMERGENT COLD PERU SAC</t>
  </si>
  <si>
    <t>AAQkADdkNThjNzFkLWM0ZmMtNDJhYS04MDVlLTIwNzE4ZDI1Mzg4YgAQAJhMK_ua3UMeojh3CMfJ8w4=</t>
  </si>
  <si>
    <t>RV:  Solicitud de soporte / Junta Médica SCTR – Diana Rufino Alamo - EMERGENT COLD PERU SAC</t>
  </si>
  <si>
    <t>AAQkADdkNThjNzFkLWM0ZmMtNDJhYS04MDVlLTIwNzE4ZDI1Mzg4YgAQADBsmhi7lqBEo9Gdw1jLfMY=</t>
  </si>
  <si>
    <t>MAZAL: SOLICITO INFORME MÉDICO - DIAZ MARQUEZ EDUARDO</t>
  </si>
  <si>
    <t>AAQkADdkNThjNzFkLWM0ZmMtNDJhYS04MDVlLTIwNzE4ZDI1Mzg4YgAQADm0Z3ucLR1PimehMMHDQvQ=</t>
  </si>
  <si>
    <t>GRUPO EULEN - PASE DE ATENCIÓN POR CONTINUIDAD DE TTO - FERNANDO DAVILA LOVERA DNI 09911128</t>
  </si>
  <si>
    <t>AAQkADdkNThjNzFkLWM0ZmMtNDJhYS04MDVlLTIwNzE4ZDI1Mzg4YgAQAN2RGl1mIplGr0C9idHWgQ0=</t>
  </si>
  <si>
    <t>SCTR MINERALES AURIVERD-CARTA GARANTIA-LLACHO AROTAYPE WASHINGTON</t>
  </si>
  <si>
    <t>Viviana.Hidalgo@marsh.com</t>
  </si>
  <si>
    <t>AAQkADdkNThjNzFkLWM0ZmMtNDJhYS04MDVlLTIwNzE4ZDI1Mzg4YgAQAE8YGofNYAJPg_wgBMh2Un4=</t>
  </si>
  <si>
    <t>REACTIVACIÓN DE COBERTURA SCTR _ HUERTAS AGUIRRE GINA MARA _ DNI 40560552  _ PERU PIMA</t>
  </si>
  <si>
    <t>AAQkADdkNThjNzFkLWM0ZmMtNDJhYS04MDVlLTIwNzE4ZDI1Mzg4YgAQAHSU7dmZyztIoHd5iUdn1fY=</t>
  </si>
  <si>
    <t xml:space="preserve">RE: CAAS ALIMENTOS  MEDICINA NO CUBIERTA </t>
  </si>
  <si>
    <t>Martin.Villavicencio@marsh.com</t>
  </si>
  <si>
    <t>AAQkADdkNThjNzFkLWM0ZmMtNDJhYS04MDVlLTIwNzE4ZDI1Mzg4YgAQAGhovLQ5WEI5tTtAcBDe0LE=</t>
  </si>
  <si>
    <t xml:space="preserve">RV: Atención por SCTR Autorización </t>
  </si>
  <si>
    <t>Ricardo.Zuniga@marsh.com</t>
  </si>
  <si>
    <t>AAQkADdkNThjNzFkLWM0ZmMtNDJhYS04MDVlLTIwNzE4ZDI1Mzg4YgAQAF24gkUY5NtCv20KkSTEjDA=</t>
  </si>
  <si>
    <t>ORICA - VICTOR TORRES AGUIRRE</t>
  </si>
  <si>
    <t>Karina.Carbonero@marsh.com</t>
  </si>
  <si>
    <t>AAQkADdkNThjNzFkLWM0ZmMtNDJhYS04MDVlLTIwNzE4ZDI1Mzg4YgAQAP3wbo5ikEjeqlompJx5AME=</t>
  </si>
  <si>
    <t>PROVEFABRICA // ATENCION SCTR // ASEGURADO: CENTENO MOYOPAZ JAVIER DE NILSON // CLINICA JOCKEY SALUD</t>
  </si>
  <si>
    <t>AAQkADdkNThjNzFkLWM0ZmMtNDJhYS04MDVlLTIwNzE4ZDI1Mzg4YgAQADLySmmcHE1Vl685c7f6kjs=</t>
  </si>
  <si>
    <t xml:space="preserve">SIMA PERU // RECHAZO EN ATENCION DE MAGNETOTERAPIA // CASO CHAVEZ VILLALVA ELIS </t>
  </si>
  <si>
    <t>silvia.siu@marsh.com</t>
  </si>
  <si>
    <t>AAQkADdkNThjNzFkLWM0ZmMtNDJhYS04MDVlLTIwNzE4ZDI1Mzg4YgAQAD8GUXh7tUwskLJ-rje6POo=</t>
  </si>
  <si>
    <t>CHINA HARBOUR ENGINEERING COMPANY // Consulta sobre estado de SCTR – Oswaldo Américo Torres Velásquez</t>
  </si>
  <si>
    <t>AAQkADdkNThjNzFkLWM0ZmMtNDJhYS04MDVlLTIwNzE4ZDI1Mzg4YgAQAO0ZnxjEWk5CocFQxMK369s=</t>
  </si>
  <si>
    <t>RE: ***MUY URGENTE***INDECO - MAPFRE SCTR SALUD - ASEG. ZAVALETA PAZOS CARLOS - REEMB. POR GNC HOSPITALARIOS.</t>
  </si>
  <si>
    <t>AAQkADdkNThjNzFkLWM0ZmMtNDJhYS04MDVlLTIwNzE4ZDI1Mzg4YgAQAC8HyVuKPjtBsN0TrB_WLPQ=</t>
  </si>
  <si>
    <t>APOYO CON CG-  BARRIENTOS AIQUIPA ELMER PABLO- SCTR SALUD- MAPFRE- MOTORES ANDINOS</t>
  </si>
  <si>
    <t>AAQkADdkNThjNzFkLWM0ZmMtNDJhYS04MDVlLTIwNzE4ZDI1Mzg4YgAQADCTDfsa0gJAvaTtaHFpbLY=</t>
  </si>
  <si>
    <t>RV: ACCIDENTE DE TRABAJO - APAGUEÑO ESCOBAR RENAN - PROCESOS PRODUCTIVOS SAC</t>
  </si>
  <si>
    <t>| DERIVADO 21/09/2026 15:01</t>
  </si>
  <si>
    <t>AAQkADdkNThjNzFkLWM0ZmMtNDJhYS04MDVlLTIwNzE4ZDI1Mzg4YgAQACnoaqWSAUm5u6sGnUNvoZM=</t>
  </si>
  <si>
    <t>RV:  TECNOFIL // AVISO DE RESTRUCTURACION EN CLINICAS AFILIADAS SCTR</t>
  </si>
  <si>
    <t>AAQkADdkNThjNzFkLWM0ZmMtNDJhYS04MDVlLTIwNzE4ZDI1Mzg4YgAQAMHkfxlHRWxOmiS8VWpRN7w=</t>
  </si>
  <si>
    <t>SOLICITUD DE ATENCIÓN - SCTR - ASG HERRERA ARAUJO WALTER - LOGISTICA INTERMODAL DEL PERU</t>
  </si>
  <si>
    <t>AAQkADdkNThjNzFkLWM0ZmMtNDJhYS04MDVlLTIwNzE4ZDI1Mzg4YgAQADwf2NL4okdPkwjAOpx0EoQ=</t>
  </si>
  <si>
    <t>RV: SOLICITUD DE DIRECCIONAMIENTO PARA RESONANCIA MAGNETICA – FERNANDEZ HUAMAN KEMPEZ ARMANDO</t>
  </si>
  <si>
    <t>AAQkADdkNThjNzFkLWM0ZmMtNDJhYS04MDVlLTIwNzE4ZDI1Mzg4YgAQADFaG_jmakRqlOPuR-F6oWw=</t>
  </si>
  <si>
    <t>FRANQUICIAS ALIMENTARIAS - SCTR/TRANSFERENCIA RESONANCIA MAGNETICA/LOPEZ LUYO ABRIL</t>
  </si>
  <si>
    <t>AAQkADdkNThjNzFkLWM0ZmMtNDJhYS04MDVlLTIwNzE4ZDI1Mzg4YgAQAAVGbvw4cnxCiqr0k0IU8tY=</t>
  </si>
  <si>
    <t>RV: REQUERIMIENTO DE INFORMACION POR PARTE DE MAPFRE EPS Y PROCURADOR - ACCIDENTE OCURRIDO AL TRABAJADOR CADILLO DIAZ JORGE ALBERTO</t>
  </si>
  <si>
    <t>Saradelcy.Villegas@marsh.com</t>
  </si>
  <si>
    <t>AAQkADdkNThjNzFkLWM0ZmMtNDJhYS04MDVlLTIwNzE4ZDI1Mzg4YgAQAIIchn24G0lzvxs-NEWL9O4=</t>
  </si>
  <si>
    <t>**PRIORIDAD ALTA**: SOLICITUD DE MEDICAMENTOS // PAC. MARTINEZ PUCLLAS, KEVIN // SCTR</t>
  </si>
  <si>
    <t>AAQkADdkNThjNzFkLWM0ZmMtNDJhYS04MDVlLTIwNzE4ZDI1Mzg4YgAQAJmYEJrnp2VMhiaylSODT1E=</t>
  </si>
  <si>
    <t>VITALINE // SCTR SALUD // A.T. 12.08.2026 // Asegurado : GONZALES ECHE DAVID JAVIER // CG RECHAZADA</t>
  </si>
  <si>
    <t>AAQkADdkNThjNzFkLWM0ZmMtNDJhYS04MDVlLTIwNzE4ZDI1Mzg4YgAQAPyjwiQWnk0noaeFZDuIvWU=</t>
  </si>
  <si>
    <t>RESITER PERU SAC - SCTR SALUD - JUAREZ MAYO JOSE FRANCISCO - REPORTE DE ACCIDENTE Y ACTIVACION</t>
  </si>
  <si>
    <t>Gonzalo_Ciudad@ajg.com</t>
  </si>
  <si>
    <t>AAQkADdkNThjNzFkLWM0ZmMtNDJhYS04MDVlLTIwNzE4ZDI1Mzg4YgAQAJMxaXlgXEsAvpOb5ZIFxbw=</t>
  </si>
  <si>
    <t>RV: Revisión de gastos no coberturados por SCTR | Jorge Alberto Cadillo Díaz (Clínica Auna)</t>
  </si>
  <si>
    <t>AAQkADdkNThjNzFkLWM0ZmMtNDJhYS04MDVlLTIwNzE4ZDI1Mzg4YgAQAAXjLXb-tNBKlN7wh5P8tlk=</t>
  </si>
  <si>
    <t>RE: SS APOYO || VALLE SUR || BAW 929774 || ELMER CONTRERAS GAGO || MAPFRE SCTR</t>
  </si>
  <si>
    <t>Karen.Huaranga@marsh.com</t>
  </si>
  <si>
    <t>AAQkADdkNThjNzFkLWM0ZmMtNDJhYS04MDVlLTIwNzE4ZDI1Mzg4YgAQAJll_LuYP45HhUkZmtizkeo=</t>
  </si>
  <si>
    <t>URGENTE REVISION DE PERTINENCIA MEDICA - SCTR - ASEG. MIGUEL VERGARA YERSON - VERDUM</t>
  </si>
  <si>
    <t>AAQkADdkNThjNzFkLWM0ZmMtNDJhYS04MDVlLTIwNzE4ZDI1Mzg4YgAQAJOR32XS-cdDjrDOENez-tE=</t>
  </si>
  <si>
    <t>No cobertura medicinas | SCTR | ZAPANA VALVERDE, ALEJANDRA DEL PILAR | SHARF</t>
  </si>
  <si>
    <t>Yizza.Arriaga@marsh.com</t>
  </si>
  <si>
    <t>AAQkADdkNThjNzFkLWM0ZmMtNDJhYS04MDVlLTIwNzE4ZDI1Mzg4YgAQAJ8wdV-TC_JHiWilzoIoN28=</t>
  </si>
  <si>
    <t>RV: CODELPA: SOLICITUD AVISO DE ACCIDENTE BELTRAN SALCEDO JULIO ENRIQUE</t>
  </si>
  <si>
    <t>Cecilia.Altamirano@marsh.com</t>
  </si>
  <si>
    <t>AAQkADdkNThjNzFkLWM0ZmMtNDJhYS04MDVlLTIwNzE4ZDI1Mzg4YgAQAGYo4-16QWZBoB8uDrqEle4=</t>
  </si>
  <si>
    <t>RE: URGENTE PESQUERA DIAMANTE : Evaluación SCTR SALUD - CAYLLAHUA FLORES MAYCOL - PESQUERA DIAMANTE S.A.</t>
  </si>
  <si>
    <t>AAQkADdkNThjNzFkLWM0ZmMtNDJhYS04MDVlLTIwNzE4ZDI1Mzg4YgAQALTAci_2IDFGqHxs6ev0ztg=</t>
  </si>
  <si>
    <t>RE: **URGENTE**INDECO - MAPFRE SCTR SALUD - ASEG. PADILLA CASAS JORGE - SOLICITUD DE REVISION.</t>
  </si>
  <si>
    <t>Gustavo_Melquiades@ajg.com</t>
  </si>
  <si>
    <t>AAQkADdkNThjNzFkLWM0ZmMtNDJhYS04MDVlLTIwNzE4ZDI1Mzg4YgAQALTxXf2y8EWYmiZeHhl17_Q=</t>
  </si>
  <si>
    <t xml:space="preserve">RE: Goodyear / LLerena Manyasa Enrique </t>
  </si>
  <si>
    <t>AAQkADdkNThjNzFkLWM0ZmMtNDJhYS04MDVlLTIwNzE4ZDI1Mzg4YgAQAF6R2RXt0EWGmkf-2ypeqEU=</t>
  </si>
  <si>
    <t>COBERTURA DE MEDICAMENTO POR ATENCION SCTR _ ORTIZ POMA EDER _ DNI 47255295 _ CONSORCIO SANEAMIENTO SEÑOR CAUTIVO _ RUC 20614521211</t>
  </si>
  <si>
    <t>AAQkADdkNThjNzFkLWM0ZmMtNDJhYS04MDVlLTIwNzE4ZDI1Mzg4YgAQAFWAzjrnSXZBqdHt7BJdogk=</t>
  </si>
  <si>
    <t>RE: INDECO - MAPFRE SCTR SALUD - ASEG. ZAVALETA PAZOS CARLOS - REEMB. POR GNC HOSPITALARIOS.</t>
  </si>
  <si>
    <t>| DERIVADO 23/09/2026 09:00</t>
  </si>
  <si>
    <t>AAQkADdkNThjNzFkLWM0ZmMtNDJhYS04MDVlLTIwNzE4ZDI1Mzg4YgAQAJwCXQsEX0FTpYlAKaxzfLQ=</t>
  </si>
  <si>
    <t>CARTA DE GARANTIA_ASEG. ROMAN QUITO RAUL_INVERSIONES INMOBILIARIAS DANUBIO S.A.C.</t>
  </si>
  <si>
    <t>AAQkADdkNThjNzFkLWM0ZmMtNDJhYS04MDVlLTIwNzE4ZDI1Mzg4YgAQAKs-qvwA6HhFtQ8aem4I2io=</t>
  </si>
  <si>
    <t>CLINICA SANTA ISABEL/ Activación  de SCTR- MILAGRITOS SOLANO MORALES DNI 07537647</t>
  </si>
  <si>
    <t>Jenny.Ancajima@marsh.com</t>
  </si>
  <si>
    <t>AAQkADdkNThjNzFkLWM0ZmMtNDJhYS04MDVlLTIwNzE4ZDI1Mzg4YgAQAKXoWha1tKBAsSxS2xUCYjc=</t>
  </si>
  <si>
    <t>SNACKS - ACTIVACIÓN DE SCTR: CUSQUE MONJE FLORENTINO. </t>
  </si>
  <si>
    <t>AAQkADdkNThjNzFkLWM0ZmMtNDJhYS04MDVlLTIwNzE4ZDI1Mzg4YgAQAGM-od7pwE82kc5U3tEu-xo=</t>
  </si>
  <si>
    <t>URGENTE // SIMA PERU // SOLICITUD DE PROCEDIMIENTO PARA TRATAMIENTO NEUROQUIRURGICO - CASO LUZMILA ZEÑA NIZAMA</t>
  </si>
  <si>
    <t>AAQkADdkNThjNzFkLWM0ZmMtNDJhYS04MDVlLTIwNzE4ZDI1Mzg4YgAQAOwUsSj762BMmR8bRDLEDSU=</t>
  </si>
  <si>
    <t>RV: TRÁMITE CORSÉ LUMBAR - Clínica San Pablo - Sr. Omar Vásquez Trillo - HV Salfacorp</t>
  </si>
  <si>
    <t>AAQkADdkNThjNzFkLWM0ZmMtNDJhYS04MDVlLTIwNzE4ZDI1Mzg4YgAQAHJXN6JXEzxMqKL_8RcqA6s=</t>
  </si>
  <si>
    <t>UNILENE // SCTR SALUD // A.T. 05.08.2026 // Asegurada : ANA CECILIA SOSA GONZALES - TERAPIAS FISICAS</t>
  </si>
  <si>
    <t>AAQkADdkNThjNzFkLWM0ZmMtNDJhYS04MDVlLTIwNzE4ZDI1Mzg4YgAQAFSjqdGzbBpAl1qdMNAyp8k=</t>
  </si>
  <si>
    <t>PATRIMONIO EN FIDEICOMISO - D. LEG. 861, TITULO XI, CPR - MAPFRE SCTR SALUD - ASEG. RODRIGUEZ YCOMENA ALDEN - VB POR CONT. DE COBERTURA.</t>
  </si>
  <si>
    <t>AAQkADdkNThjNzFkLWM0ZmMtNDJhYS04MDVlLTIwNzE4ZDI1Mzg4YgAQAALeQgvmdFFHrI-n3_cE8rc=</t>
  </si>
  <si>
    <t>SOLICITUD DE CONSULTA VIRTUAL - SCTR - ASG SALAZAR CRUZADO EMERSON JAIR - LAIVE - MAPFRE</t>
  </si>
  <si>
    <t>Rosario.rodas@howdengroup.com</t>
  </si>
  <si>
    <t>AAQkADdkNThjNzFkLWM0ZmMtNDJhYS04MDVlLTIwNzE4ZDI1Mzg4YgAQAD6xPm23t0VMhBGZyiEsuj8=</t>
  </si>
  <si>
    <t>GASTOS NO CUBIERTOS POR CIRUGIA TRABAJADOR: VARGAS TORRES SEGUNDO ANGEL - PRODUCTOS PARAISO DEL PERU</t>
  </si>
  <si>
    <t>AAQkADdkNThjNzFkLWM0ZmMtNDJhYS04MDVlLTIwNzE4ZDI1Mzg4YgAQANNyp3CCoNpBrgSEaxK4z4A=</t>
  </si>
  <si>
    <t>URGENTE SOLICITUD DE PERTINENCIA MEDICA -SCTR - ASEG. CHRISTOPHER ULISES URIBE CASAS - CAMPO ANDINO SAC</t>
  </si>
  <si>
    <t>catalina.otero@howdengroup.com</t>
  </si>
  <si>
    <t>AAQkADdkNThjNzFkLWM0ZmMtNDJhYS04MDVlLTIwNzE4ZDI1Mzg4YgAQAPtHzEMBgUJisXLk6swj5hk=</t>
  </si>
  <si>
    <t>RV: SIDER** CONSULTA INGRESO CG (RMN HOMBRO DER C/C) - ASEG. ROJAS BRAVO JUAN ALBERTO - POLIZA SCTR SALUD 7022400013915</t>
  </si>
  <si>
    <t>AAQkADdkNThjNzFkLWM0ZmMtNDJhYS04MDVlLTIwNzE4ZDI1Mzg4YgAQAGE3WJVmTnlPq01pAtNJCrg=</t>
  </si>
  <si>
    <t>CARTA DE GARANTIA ACCIDENTE DE TRABAJO  CARHUA ROMERO JHEAN FRANKO - TIENDA HUANUCO - SETIEMBRE</t>
  </si>
  <si>
    <t>Brenda.Salazar@marsh.com</t>
  </si>
  <si>
    <t>AAQkADdkNThjNzFkLWM0ZmMtNDJhYS04MDVlLTIwNzE4ZDI1Mzg4YgAQACuMNQ7OOkvXp94wqTkjNrM=</t>
  </si>
  <si>
    <t>CAMBIO DE CENTRO DE REHABILITACION / MAERSK LOGISTICS &amp; SERVICES PERU SA / POLIZA SCTR / MACHACUAY AQUICE, TONY HELEN</t>
  </si>
  <si>
    <t>AAQkADdkNThjNzFkLWM0ZmMtNDJhYS04MDVlLTIwNzE4ZDI1Mzg4YgAQAOXAXr656Ee_hIz_53gbig8=</t>
  </si>
  <si>
    <t>LIMA SUR: Solicitud de evaluación de nuevo proveedor para atenciones SCTR por accidentes de trabajo</t>
  </si>
  <si>
    <t>AAQkADdkNThjNzFkLWM0ZmMtNDJhYS04MDVlLTIwNzE4ZDI1Mzg4YgAQAGQzeymqCE05hnpOPuYd-OU=</t>
  </si>
  <si>
    <t>EMERGENT COLD SOLUCIONES INTEGRALES - SEDE LURIN - SOLICITUD HOJA SCTR- NEXER BENITO</t>
  </si>
  <si>
    <t>AAQkADdkNThjNzFkLWM0ZmMtNDJhYS04MDVlLTIwNzE4ZDI1Mzg4YgAQABOKd9D3YNFNr8mQLlnjkKo=</t>
  </si>
  <si>
    <t>Urgente / ATENCION DE CG SCTR SALUD / ASEGURADO: Guian Marco Ochoa Ticona DNI 77207388 / CONSTRUCCION Y ADMINISTRACION S.A. - CASA</t>
  </si>
  <si>
    <t>AAQkADdkNThjNzFkLWM0ZmMtNDJhYS04MDVlLTIwNzE4ZDI1Mzg4YgAQABv5NG4qxUJOkq-pv3-Zy1k=</t>
  </si>
  <si>
    <t>SOLICITUD DE REEVALUACION - SCTR - ASG MACEDONIO QUINTO COCHACHEZ - INDUTEX</t>
  </si>
  <si>
    <t>rosario.rodas@howdengroup.com</t>
  </si>
  <si>
    <t>AAQkADdkNThjNzFkLWM0ZmMtNDJhYS04MDVlLTIwNzE4ZDI1Mzg4YgAQAG-qLa3jLbtHsQaiT7SyFV0=</t>
  </si>
  <si>
    <t>SOLICITUD DE EVALUACIÓN DIRECTA POR ENFERMEDAD PROFESIONAL / SCTR SALUD – MELISSA LOURDES SANCHEZ QUILCA [</t>
  </si>
  <si>
    <t>AAQkADdkNThjNzFkLWM0ZmMtNDJhYS04MDVlLTIwNzE4ZDI1Mzg4YgAQACfBSS8wRlBNk944-gxjVPA=</t>
  </si>
  <si>
    <t>CONSTRUCTORA MPM - PROY GALVEZ // SCTR SALUD // A.T. 11.08.2025// Asegurado : Perez Ortiz Carlos Noe - CARTA DE GARANTIA</t>
  </si>
  <si>
    <t>AAQkADdkNThjNzFkLWM0ZmMtNDJhYS04MDVlLTIwNzE4ZDI1Mzg4YgAQAHQWYFQZ_0kfnuhsTw_VB98=</t>
  </si>
  <si>
    <t>SIMA PERU // RECHAZO DE TERAPIA FÍSICA - CASO DIEGO RAMIREZ RIOS</t>
  </si>
  <si>
    <t>AAQkADdkNThjNzFkLWM0ZmMtNDJhYS04MDVlLTIwNzE4ZDI1Mzg4YgAQAMXKxd5JaEzogViQa7m2TpA=</t>
  </si>
  <si>
    <t>URGENTE***** SIDERPERU - SCTR SALUD -  ZAVALETA GARCIA VICTOR (EVALUACION DE CAUSALIDAD)</t>
  </si>
  <si>
    <t>Joatham_Gurreonero@ajg.com</t>
  </si>
  <si>
    <t>AAQkADdkNThjNzFkLWM0ZmMtNDJhYS04MDVlLTIwNzE4ZDI1Mzg4YgAQAObBtBqfhy1OjqYZBFWJYFk=</t>
  </si>
  <si>
    <t>RV:  REACTIVACION DE ATENCIONES - SCTR - ASG NOSBIER RÍOS PELAES -  GACELA EXPRESS</t>
  </si>
  <si>
    <t>AAQkADdkNThjNzFkLWM0ZmMtNDJhYS04MDVlLTIwNzE4ZDI1Mzg4YgAQAK1__FNoZUFJlZlXs2it2Is=</t>
  </si>
  <si>
    <t>**URGENTE**ALITECNO - MAPFRE SCTR SALUD - ASEG. CALDERON PERAUNA VICTOR - SOLICITUD DE CG HOSPITALARIA</t>
  </si>
  <si>
    <t>AAQkADdkNThjNzFkLWM0ZmMtNDJhYS04MDVlLTIwNzE4ZDI1Mzg4YgAQAIst3SAarkR5rtlCXlQ9dvw=</t>
  </si>
  <si>
    <t>**PRIORIDAD ALTA**: SIGDELO S.A.C // TRELLES LARRAURI TYFFANY BRYGGYC // SCTR</t>
  </si>
  <si>
    <t>AAQkADdkNThjNzFkLWM0ZmMtNDJhYS04MDVlLTIwNzE4ZDI1Mzg4YgAQAOqN2Y98lJVOrJpei4Ef2HQ=</t>
  </si>
  <si>
    <t>FE DE ERRATAS: **PRIORIDAD ALTA**: SIGDELO S.A.C // TALLA FERNANDEZ, MILAGROS // SCTR</t>
  </si>
  <si>
    <t>AAQkADdkNThjNzFkLWM0ZmMtNDJhYS04MDVlLTIwNzE4ZDI1Mzg4YgAQAFKoljECJULFgqOxxucp3sI=</t>
  </si>
  <si>
    <t>SOLICITUD DE MATERIAL ORTOPEDICO _ HIDALGO RIVERA CRISTIAN HEIDER _ DNI 76093435 _ ECOSEM</t>
  </si>
  <si>
    <t>AAQkADdkNThjNzFkLWM0ZmMtNDJhYS04MDVlLTIwNzE4ZDI1Mzg4YgAQAB3PU4hJr0UOoLcVcb5VISs=</t>
  </si>
  <si>
    <t xml:space="preserve">SIDERPERU - SCTR SALUD -  ZAVALETA GARCIA VICTOR </t>
  </si>
  <si>
    <t>AAQkADdkNThjNzFkLWM0ZmMtNDJhYS04MDVlLTIwNzE4ZDI1Mzg4YgAQAEZxp6g4mUBDoSDzpG9GSKg=</t>
  </si>
  <si>
    <t>URGENTE ATENCION SCTR / CONTINUIDAD / MAERSK LOGISTICS &amp; SERVICES PERU SA / POLIZA SCTR SALUD 2300141278 / SILVIA YAURI LUNA / 25.09.2026</t>
  </si>
  <si>
    <t>AAQkADdkNThjNzFkLWM0ZmMtNDJhYS04MDVlLTIwNzE4ZDI1Mzg4YgAQAK_uOHJuD7BGlkUIK38kZzo=</t>
  </si>
  <si>
    <t>MAERSK@marsh.com</t>
  </si>
  <si>
    <t>AAQkADdkNThjNzFkLWM0ZmMtNDJhYS04MDVlLTIwNzE4ZDI1Mzg4YgAQAPK3twdM_Y5PpOSzWUhCvO4=</t>
  </si>
  <si>
    <t>RV: CAMPO ANDINO SAC // INTERCONSULTA NEUROLOGIA SCTR SALUD MAPFRE // MAXIMO ANCHANTE TIPACTI</t>
  </si>
  <si>
    <t>AAQkADdkNThjNzFkLWM0ZmMtNDJhYS04MDVlLTIwNzE4ZDI1Mzg4YgAQAC3FW1khXJBAn4Ja5ivOvKk=</t>
  </si>
  <si>
    <t>RE: REQUERIMIENTO DE INFORMACION ACCIDENTE OCURRIDO AL TRABAJADOR  TAPIA FIGUEROA RUTH NOEMI</t>
  </si>
  <si>
    <t>AAQkADdkNThjNzFkLWM0ZmMtNDJhYS04MDVlLTIwNzE4ZDI1Mzg4YgAQAFmS2-jtWmVJlMnSajbfXA8=</t>
  </si>
  <si>
    <t>RE: GIL PEREZ YORMAN JOSE - PERTIENCIA MEDICA -SCTR SALUD MAPFRE - MODASA</t>
  </si>
  <si>
    <t>AAQkADdkNThjNzFkLWM0ZmMtNDJhYS04MDVlLTIwNzE4ZDI1Mzg4YgAQAPBGX6Y6KF5Eg5ub-BCxk5I=</t>
  </si>
  <si>
    <t>RV: CONSULTA | SR. CUSI VILLALVA ELÍSEO |</t>
  </si>
  <si>
    <t>AAQkADdkNThjNzFkLWM0ZmMtNDJhYS04MDVlLTIwNzE4ZDI1Mzg4YgAQADHv7M8LFU2QtCLtz0fpxWk=</t>
  </si>
  <si>
    <t>SOLICITUD DE DOCUMENTACIÓN POR ACCIDENTE DE TRABAJO _ ZETA GAS ANDINO S.A. _ SCTR</t>
  </si>
  <si>
    <t>pcastagnola@gabel.com.pe</t>
  </si>
  <si>
    <t>AAQkADdkNThjNzFkLWM0ZmMtNDJhYS04MDVlLTIwNzE4ZDI1Mzg4YgAQABJrgQWVmFRJubqcKUgU-gw=</t>
  </si>
  <si>
    <t>PASE DE ATENCION POR EMERGENCIA ASEG. JOSÉ CARI ROJAS - SUPER DEPORTE (GRUPO MARATHON)</t>
  </si>
  <si>
    <t>AAQkADdkNThjNzFkLWM0ZmMtNDJhYS04MDVlLTIwNzE4ZDI1Mzg4YgAQAKv42Jh4h0k_lMhyaD6vUrY=</t>
  </si>
  <si>
    <t>RE: Solicitud de derivación a medicina física (SCTR) - David Yarleque Maza</t>
  </si>
  <si>
    <t>eduaremilio.gamboa@marsh.com</t>
  </si>
  <si>
    <t>AAQkADdkNThjNzFkLWM0ZmMtNDJhYS04MDVlLTIwNzE4ZDI1Mzg4YgAQANVadXdS4yBOtg0wbKXkHIM=</t>
  </si>
  <si>
    <t>PERTINENCIA MEDICA DE MEDICAMENTO-  SCTR SALUD- MAPFRE- GABRIELA PAREDES TIRADO - SAN ANTONIO GUARDIA CIVIL</t>
  </si>
  <si>
    <t>AAQkADdkNThjNzFkLWM0ZmMtNDJhYS04MDVlLTIwNzE4ZDI1Mzg4YgAQALXLv6_1Mw9IrEN_985ZS6E=</t>
  </si>
  <si>
    <t>SINIESTRO SCTR - KENYIN CESAR  ARMAS HUAYNACAQUI</t>
  </si>
  <si>
    <t>AAQkADdkNThjNzFkLWM0ZmMtNDJhYS04MDVlLTIwNzE4ZDI1Mzg4YgAQAPWtDCZwtUpEkHKpVNeQbco=</t>
  </si>
  <si>
    <t>No cobertura Rmedicinas | SCTR | ZAPANA VALVERDE, ALEJANDRA DEL PILAR | SHARF</t>
  </si>
  <si>
    <t>AAQkADdkNThjNzFkLWM0ZmMtNDJhYS04MDVlLTIwNzE4ZDI1Mzg4YgAQAA2l8sDa9kw5km3MVfsj4Uo=</t>
  </si>
  <si>
    <t>**URGENTE** CICSA // CONTINUIDAD DE TERAPIA FISICA - SCTR SALUD: GUTIERREZ CARDENAS JESUS ANGEL</t>
  </si>
  <si>
    <t>Johan_Chipayo@ajg.com</t>
  </si>
  <si>
    <t>AAQkADdkNThjNzFkLWM0ZmMtNDJhYS04MDVlLTIwNzE4ZDI1Mzg4YgAQANuFodI5RQFJlQJ38scF61Q=</t>
  </si>
  <si>
    <t>RV: URGENTE APOYO - SAN ANTONIO DE ANGAMOS  / SOLICITUD DE AUDITORIA - HANANI RAQUEL SANDOVAL LAZO / SCTR SALUD MAPFRE</t>
  </si>
  <si>
    <t>AAQkADdkNThjNzFkLWM0ZmMtNDJhYS04MDVlLTIwNzE4ZDI1Mzg4YgAQADKRzaproHlBv2rJXDHWTnQ=</t>
  </si>
  <si>
    <t>RV: Siniestro unidad F7C-878 – Volcadura 27.09.2026 (Arequipa)</t>
  </si>
  <si>
    <t>AAQkADdkNThjNzFkLWM0ZmMtNDJhYS04MDVlLTIwNzE4ZDI1Mzg4YgAQACqAc3ujzQtDka_gePror4E=</t>
  </si>
  <si>
    <t>GRUPO EULEN - CONSULTA DE COBERTURA - CALERO VILLACORTA FLOR</t>
  </si>
  <si>
    <t>mgarcia@uiblatam.com</t>
  </si>
  <si>
    <t>AAQkADdkNThjNzFkLWM0ZmMtNDJhYS04MDVlLTIwNzE4ZDI1Mzg4YgAQAAnMeITAJEfkn5fSQEZubQg=</t>
  </si>
  <si>
    <t>URGENTE / MARSH / SINIESTRO SCTR SALUD / ASEGURADO: COVEÑAS CHIROQUE, JOSE CALIXTO / CLIENTE: SOCIEDAD AGRICOLA RAPEL SAC</t>
  </si>
  <si>
    <t>Fridalydd.Reategui@marsh.com</t>
  </si>
  <si>
    <t>AAQkADdkNThjNzFkLWM0ZmMtNDJhYS04MDVlLTIwNzE4ZDI1Mzg4YgAQADnXEFrUQhlCnqODD5ssx30=</t>
  </si>
  <si>
    <t>CONTINUIDAD DE ATENCION MEDICA | MINERA CONSTRUCCION Y TRANSPORTE LA LIBERTAD - MINCOTRALL | 20390962348 | - Sr DE LA CRUZ ROMERO RAUL</t>
  </si>
  <si>
    <t>Gianella_Gonzales@ajg.com</t>
  </si>
  <si>
    <t>AAQkADdkNThjNzFkLWM0ZmMtNDJhYS04MDVlLTIwNzE4ZDI1Mzg4YgAQAAfdmsuoEyFHt0t9wIIimAE=</t>
  </si>
  <si>
    <t xml:space="preserve">URGENTE / EMPRESA: TRANSMARINA DEL PERU  - ATENCION SCTR / COLABORADOR: LA CHIRA VITE ALEXIS JUNIOR /  CLINICA MIRAFLORES (PIURA) - CONSULTA COBRO DE CLINICA </t>
  </si>
  <si>
    <t>Guisella.Aponte@marsh.com</t>
  </si>
  <si>
    <t>AAQkADdkNThjNzFkLWM0ZmMtNDJhYS04MDVlLTIwNzE4ZDI1Mzg4YgAQAGyiw8SIsUgrrYm1-Ye_MY8=</t>
  </si>
  <si>
    <t xml:space="preserve">RE: SCTR Salud Soc. Minera Cerro Verde </t>
  </si>
  <si>
    <t>Kathleen.Caceres@marsh.com</t>
  </si>
  <si>
    <t>AAQkADdkNThjNzFkLWM0ZmMtNDJhYS04MDVlLTIwNzE4ZDI1Mzg4YgAQAPTm0yKbxChBjFUcJMVVDyE=</t>
  </si>
  <si>
    <t>RE: **URGENTE** CICSA // CONTINUIDAD DE TERAPIA FISICA - SCTR SALUD: GUTIERREZ CARDENAS JESUS ANGEL (PRESUNTA NO DECLARACION)</t>
  </si>
  <si>
    <t>AAQkADdkNThjNzFkLWM0ZmMtNDJhYS04MDVlLTIwNzE4ZDI1Mzg4YgAQAFTjUBbkomxEp5b0Ohcehzk=</t>
  </si>
  <si>
    <t>RE: PASE DE ATENCION | SR. CUSI VILLALVA ELÍSEO | CLINICA INTERNACIONAL SAN ISIDRO</t>
  </si>
  <si>
    <t>AAQkADdkNThjNzFkLWM0ZmMtNDJhYS04MDVlLTIwNzE4ZDI1Mzg4YgAQANUiXlDLX5dMpbsMoshiIac=</t>
  </si>
  <si>
    <t>CAMBIO DE PROVEEDOR ODONTOLOGICO / ASG NELDO AGUILAR DOMINGUEZ/ SCTR SALUD MAPFRE / FIBRAFIL</t>
  </si>
  <si>
    <t>AAQkADdkNThjNzFkLWM0ZmMtNDJhYS04MDVlLTIwNzE4ZDI1Mzg4YgAQANdXBRXYe9hIiKRaIbjat30=</t>
  </si>
  <si>
    <t xml:space="preserve">PAN AMERICAN SILVER HUARON - MAPFRE SCTR SALUD - ELOY GERONIMO CARBAJAL QUISPE - REEMBOLSO ATENCIÓN ODONTOLOGICA </t>
  </si>
  <si>
    <t>| DERIVADO 01/10/2026 09:00</t>
  </si>
  <si>
    <t>AAQkADdkNThjNzFkLWM0ZmMtNDJhYS04MDVlLTIwNzE4ZDI1Mzg4YgAQAAAyYt9mlkLiqf1EynoLYNc=</t>
  </si>
  <si>
    <t>Evaluación SCTR SALUD - MARCELIANO LEIVA WALTER FELIX - MAERSK LOGISTICS &amp; SERVICES PERU S.A.//MARCELIANO LEIVA WALTER FELIX</t>
  </si>
  <si>
    <t>AAQkADdkNThjNzFkLWM0ZmMtNDJhYS04MDVlLTIwNzE4ZDI1Mzg4YgAQAATNc3IMvUknr5PixD6IRmU=</t>
  </si>
  <si>
    <t>Solicitud de continuidad de atención SCTR – Asegurado Willy Calloapaza Rossel</t>
  </si>
  <si>
    <t>AAQkADdkNThjNzFkLWM0ZmMtNDJhYS04MDVlLTIwNzE4ZDI1Mzg4YgAQALPy2wAy4kUrknbeLbVwjHg=</t>
  </si>
  <si>
    <t>RE: INFORME DE ATENCION MEDICA DE RENATO CARDENAS / CINEPLEX</t>
  </si>
  <si>
    <t>AAQkADdkNThjNzFkLWM0ZmMtNDJhYS04MDVlLTIwNzE4ZDI1Mzg4YgAQAOJ2w0aHrEwJuhQLoTJGbW8=</t>
  </si>
  <si>
    <t>URGENTE SIMA IQUITOS // ASEGURADO SIN ATENCION - ROMAN PEREZ JEAN ROALD DNI46689087</t>
  </si>
  <si>
    <t>AAQkADdkNThjNzFkLWM0ZmMtNDJhYS04MDVlLTIwNzE4ZDI1Mzg4YgAQAOHnrlJCgj9Kh8xQpynLLbM=</t>
  </si>
  <si>
    <t>RE: SINIESTRO SCTR - ANDRE JHONAY ZAPATA ORTIZ - MAERSK LOGISTICS &amp; SERVICES PERU S.A</t>
  </si>
  <si>
    <t>AAQkADdkNThjNzFkLWM0ZmMtNDJhYS04MDVlLTIwNzE4ZDI1Mzg4YgAQACagVAcmkUOBldTo7OCc_58=</t>
  </si>
  <si>
    <t>RV: ENVÍO DOCUMENTOS  / CUSI VILLALVA ELISEO CLINTON</t>
  </si>
  <si>
    <t>AAQkADdkNThjNzFkLWM0ZmMtNDJhYS04MDVlLTIwNzE4ZDI1Mzg4YgAQAIfEsw_cwahMjtZcXwGhuGI=</t>
  </si>
  <si>
    <t>RV: PROBLEMAS CON APROBACION DE RESONANCIA MAGNETICA - RODRIGUEZ RODRIGUEZ SOLBELIZ</t>
  </si>
  <si>
    <t>AAQkADdkNThjNzFkLWM0ZmMtNDJhYS04MDVlLTIwNzE4ZDI1Mzg4YgAQAG3aUI8ga-pAixtoV4MbV3U=</t>
  </si>
  <si>
    <t>RE: SINIESTRO SCTR - ROMERO  HENRY CUEVA - IBEROPLAST S.A.C.</t>
  </si>
  <si>
    <t>AAQkADdkNThjNzFkLWM0ZmMtNDJhYS04MDVlLTIwNzE4ZDI1Mzg4YgAQABZWL7bpT5VIoOWo3ugDltM=</t>
  </si>
  <si>
    <t>RV: DELOSI - Regularización de DM Leonardo Cabanillas</t>
  </si>
  <si>
    <t>RE: Siniestro unidad F7C-878 – Volcadura 27.09.2026 (Arequipa)</t>
  </si>
  <si>
    <t>AAQkADdkNThjNzFkLWM0ZmMtNDJhYS04MDVlLTIwNzE4ZDI1Mzg4YgAQACDqyEyyhx5AjuWCr9chGqg=</t>
  </si>
  <si>
    <t>RE: SINIESTRO ASEG. ROCA ARGOTE, RENE BENJAMÍN - CONSORCIO SAN MIGUEL</t>
  </si>
  <si>
    <t>| DERIVADO 02/10/2026 14:06</t>
  </si>
  <si>
    <t>AAQkADdkNThjNzFkLWM0ZmMtNDJhYS04MDVlLTIwNzE4ZDI1Mzg4YgAQANmQbggK5NtGv1mIo0DDKek=</t>
  </si>
  <si>
    <t>ACCIDENTE DE TRABAJO  CARHUA ROMERO JHEAN FRANKO - TIENDA HUANUCO - SETIEMBRE</t>
  </si>
  <si>
    <t xml:space="preserve"> | RESPUESTA DEL DOCTOR: Buenos dias Ale_x000D_
_x000D_
Si cuenta con cobertura_x000D_
_x000D_
Atentamente_x000D_
_x000D_
_________________________________x000D_
De: Cordova Yenque, Pilar Alexandra &lt;CYPILA1@mapfre.com.pe&gt;_x000D_
Enviado: viernes, 2 de octubre de 2026 06:42_x000D_
Para: Villalon Flores, Ana Maria del Pilar &lt;extanvil@</t>
  </si>
  <si>
    <t>AAQkADdkNThjNzFkLWM0ZmMtNDJhYS04MDVlLTIwNzE4ZDI1Mzg4YgAQADISK7yq9t5GsObIzKGGRqo=</t>
  </si>
  <si>
    <t>RE: Consulta de cobertura SCTR – Accidente de trabajo Marcio Chacón Montejo</t>
  </si>
  <si>
    <t>CGDANIT@mapfre.com.pe</t>
  </si>
  <si>
    <t xml:space="preserve"> | CERRADO POR RESPUESTA DE CGDANIT@mapfre.com.pe</t>
  </si>
  <si>
    <t>AAQkADdkNThjNzFkLWM0ZmMtNDJhYS04MDVlLTIwNzE4ZDI1Mzg4YgAQAMMe1tEDDihPjq3CfJUMDbM=</t>
  </si>
  <si>
    <t>URGENTE ACCIDENTE LABORAL DE LA SEDE DE LURIN//SILVA HUAPAYA ANALI - SPROUTED PROTEINS</t>
  </si>
  <si>
    <t>acalderon@uiblatam.com</t>
  </si>
  <si>
    <t>AAQkADdkNThjNzFkLWM0ZmMtNDJhYS04MDVlLTIwNzE4ZDI1Mzg4YgAQAO9seluGCE_anLpBDtDuk8A=</t>
  </si>
  <si>
    <t>URGENTE - CLINICA SANTA ISABEL - APROBACION DE CG - SOLANO MORALES MILAGRITOS</t>
  </si>
  <si>
    <t>RE: ACCIDENTE DE TRABAJO  CARHUA ROMERO JHEAN FRANKO - TIENDA HUANUCO - SETIEMBRE</t>
  </si>
  <si>
    <t>AAQkADdkNThjNzFkLWM0ZmMtNDJhYS04MDVlLTIwNzE4ZDI1Mzg4YgAQANdZ3RZcsgNAi8rdCjPN-iU=</t>
  </si>
  <si>
    <t>RV: Revisión de gastos no coberturados por SCTR | Jorge Alberto Cadillo Díaz (Clínica Auna) al 01-10-2026</t>
  </si>
  <si>
    <t xml:space="preserve"> | RESPUESTA DEL DOCTOR: Estimada Antonella,_x000D_
Sin cobertura de Vitamina C_x000D_
Resto cubierto_x000D_
Slds_x000D_
_________________________________x000D_
De: SCTRSalud &lt;sctrsalud@mapfre.com.pe&gt;_x000D_
Enviado: lunes, 5 de octubre de 2026 11:47_x000D_
Para: Perez Del Aguila Coda, Jose Luis &lt;jlperez@mapfre.com.pe&gt;; </t>
  </si>
  <si>
    <t>Buenas tardes,_x000D_
_x000D_
Estimados, favor su apoyo evaluando la cobertura de los GNC del caso de quemadura del trabajador JORGE ALBERTO CADILLO DIAZ._x000D_
_x000D_
_x000D_
Saludos,_x000D_
_x000D_
_x000D_
_x000D_
_x000D_
_x000D_
Antonella Fernández_x000D_
_x000D_
Mapfre Perú_x000D_
_x000D_
Área de SCTR Salud_x000D_
_x000D_
Av. Armendáriz 345, Miraflo</t>
  </si>
  <si>
    <t>AAQkADdkNThjNzFkLWM0ZmMtNDJhYS04MDVlLTIwNzE4ZDI1Mzg4YgAQAHiJaz3e3kSIq67R1rfco2s=</t>
  </si>
  <si>
    <t>VH2026-1120 | PB FACILITY SERVICES S.A.C. | SCTR SALUD | OTRAS GESTIONES | DELGADO COLAN MARCELO | MAPFRE | 25/08/2026</t>
  </si>
  <si>
    <t>Buenos días,_x000D_
_x000D_
Doctora favor su apoyo evaluando la cobertura del rembolso solicitado._x000D_
_x000D_
_x000D_
Saludos,_x000D_
_x000D_
_x000D_
_x000D_
_x000D_
_x000D_
Antonella Fernández_x000D_
_x000D_
Mapfre Perú_x000D_
_x000D_
Área de SCTR Salud_x000D_
_x000D_
Av. Armendáriz 345, Miraflores._x000D_
_x000D_
#CuidamosLoQueTeImporta_x000D_
_x000D_
Este mensaje y los ar</t>
  </si>
  <si>
    <t>AAQkADdkNThjNzFkLWM0ZmMtNDJhYS04MDVlLTIwNzE4ZDI1Mzg4YgAQAA1uiQvbjRtEpt_4obvPhxo=</t>
  </si>
  <si>
    <t>HUARON // Acc. Trabajo incapacitante 05.05.26 // Yerson Jhonel Ñahui Quispe (DNI 70116898) - Orden Prótesis</t>
  </si>
  <si>
    <t>AAQkADdkNThjNzFkLWM0ZmMtNDJhYS04MDVlLTIwNzE4ZDI1Mzg4YgAQAHTwrzEY4hlNrpUSIZKF-tk=</t>
  </si>
  <si>
    <t>SOLICITUD DE MULETAS - SCTR - ASG PALMA GONZALES VLADIMIR - GACELA EXPRESS- MAPFRE</t>
  </si>
  <si>
    <t>AAQkADdkNThjNzFkLWM0ZmMtNDJhYS04MDVlLTIwNzE4ZDI1Mzg4YgAQABT_Lrs2q0qPthXm3QGbpcQ=</t>
  </si>
  <si>
    <t>PETRO 2 DE MAYO SAC RUC 20614355647 | REEMBOLSO SCTR-  ISAAC ANDERSON PEREZ ROJAS</t>
  </si>
  <si>
    <t>Janet.Avila@marsh.com</t>
  </si>
  <si>
    <t>| DERIVADO 05/10/2026 15:00</t>
  </si>
  <si>
    <t>AAQkADdkNThjNzFkLWM0ZmMtNDJhYS04MDVlLTIwNzE4ZDI1Mzg4YgAQAPxltsDlkYRAt_mVps2dvnM=</t>
  </si>
  <si>
    <t>REVISION DE GNC - CONSTRUCTORA GALILEA SAC- JOSE RICARDO CHANAME CABRERA - SCTR SALUD MAPFRE - AUNA CHICLAYO</t>
  </si>
  <si>
    <t xml:space="preserve"> | RESPUESTA DEL DOCTOR: Buenas tardes_x000D_
_x000D_
Procede GNC, sujeto a costos de convenio y/o mercado_x000D_
_x000D_
Atentamente_x000D_
_x000D_
_________________________________x000D_
De: SCTRSalud &lt;sctrsalud@mapfre.com.pe&gt;_x000D_
Enviado: lunes, 5 de octubre de 2026 14:35_x000D_
Para: Villalon Flores, Ana Maria del Pilar &lt;exta</t>
  </si>
  <si>
    <t>Buenas tardes,_x000D_
_x000D_
Doctora favor su apoyo evaluando la cobertura de los GNC._x000D_
_x000D_
_x000D_
Saludos,_x000D_
_x000D_
_x000D_
_x000D_
_x000D_
_x000D_
Antonella Fernández_x000D_
_x000D_
Mapfre Perú_x000D_
_x000D_
Área de SCTR Salud_x000D_
_x000D_
Av. Armendáriz 345, Miraflores._x000D_
_x000D_
#CuidamosLoQueTeImporta_x000D_
_x000D_
Este mensaje y los archivos adju</t>
  </si>
  <si>
    <t>AAQkADdkNThjNzFkLWM0ZmMtNDJhYS04MDVlLTIwNzE4ZDI1Mzg4YgAQAFeyDnMFQt1Ps6e57VrTZyw=</t>
  </si>
  <si>
    <t>MINERA PECHE / ACCIDENTE / CLINICA SEÑOR DE LUREN (ICA) / ASEG: BRYAN ANDRES STIVEN GARCIA NAVIA</t>
  </si>
  <si>
    <t>RE: ENVÍO DOCUMENTOS  / CUSI VILLALVA ELISEO CLINTON</t>
  </si>
  <si>
    <t>AAQkADdkNThjNzFkLWM0ZmMtNDJhYS04MDVlLTIwNzE4ZDI1Mzg4YgAQAHMmHiCW_U4qq3qAuYy7SS0=</t>
  </si>
  <si>
    <t xml:space="preserve">URGENTE ¡¡ APROBACIÓN DE CARTA DE GARANTÍA | SR. De la Cruz Romero, Raúl | DNI N.° 23261014 | MINCOTRALL </t>
  </si>
  <si>
    <t>RE: SOLICITUD DE MULETAS - SCTR - ASG PALMA GONZALES VLADIMIR - GACELA EXPRESS- MAPFRE</t>
  </si>
  <si>
    <t>AAQkADdkNThjNzFkLWM0ZmMtNDJhYS04MDVlLTIwNzE4ZDI1Mzg4YgAQADF_jIfLkEN2r_ORGisL3Xw=</t>
  </si>
  <si>
    <t>RV: Gastos por intervención quirúrgica - Acevedo Balabarca Arnold Steve</t>
  </si>
  <si>
    <t>| DERIVADO 05/10/2026 18:00</t>
  </si>
  <si>
    <t>AAQkADdkNThjNzFkLWM0ZmMtNDJhYS04MDVlLTIwNzE4ZDI1Mzg4YgAQAC0KhmE-YKREnL1YsECVd6I=</t>
  </si>
  <si>
    <t>RV: EXAMEN 2 CALERO VILLACORTA FLOR</t>
  </si>
  <si>
    <t xml:space="preserve"> | RESPUESTA DEL DOCTOR: Estimada Antonella,_x000D_
Los diagnósticos de ametropía y amaurosis fugaz no se producen por accidente. Son enfermedades comunes_x000D_
Sin cobertura_x000D_
Slds_x000D_
_________________________________x000D_
De: SCTRSalud &lt;sctrsalud@mapfre.com.pe&gt;_x000D_
Enviado: lunes, 5 de octubre de 20</t>
  </si>
  <si>
    <t>Buenas tardes,_x000D_
_x000D_
Estimados favor su apoyo evaluando si los exámenes solicitados por clínica cuentan con cobertura_x000D_
_x000D_
_x000D_
Saludos,_x000D_
_x000D_
_x000D_
_x000D_
_x000D_
_x000D_
Antonella Fernández_x000D_
_x000D_
Mapfre Perú_x000D_
_x000D_
Área de SCTR Salud_x000D_
_x000D_
Av. Armendáriz 345, Miraflores._x000D_
_x000D_
#CuidamosLoQueTeImpo</t>
  </si>
  <si>
    <t>AAQkADdkNThjNzFkLWM0ZmMtNDJhYS04MDVlLTIwNzE4ZDI1Mzg4YgAQAIHub9p8w0PGq00v9wxFclQ=</t>
  </si>
  <si>
    <t xml:space="preserve">RE: PESQUERA DIAMANTE SCTR SALUD 7022200131827 : MALPARTIDA FARROMEQUE CESAR AUGUSTO </t>
  </si>
  <si>
    <t>RE: VH2026-1120 | PB FACILITY SERVICES S.A.C. | SCTR SALUD | OTRAS GESTIONES | DELGADO COLAN MARCELO | MAPFRE | 25/08/2026</t>
  </si>
  <si>
    <t>AAQkADdkNThjNzFkLWM0ZmMtNDJhYS04MDVlLTIwNzE4ZDI1Mzg4YgAQAI3u413PGk1Hs92w6XEYIaQ=</t>
  </si>
  <si>
    <t>RV: CASO: MENDOZA URBANO LUIS 04.10.2026</t>
  </si>
  <si>
    <t>AAQkADdkNThjNzFkLWM0ZmMtNDJhYS04MDVlLTIwNzE4ZDI1Mzg4YgAQAI9J_udwUOxAmW8FPQuP2nE=</t>
  </si>
  <si>
    <t>SUBSANAR OBSERVACION DE CG - ACCIDENTE SCTR - ASG PAMPA ARI KARINA ROCIO -  TRANSPORTES CRUZ DEL SUR</t>
  </si>
  <si>
    <t>AAQkADdkNThjNzFkLWM0ZmMtNDJhYS04MDVlLTIwNzE4ZDI1Mzg4YgAQAHXmVaCFOkMrsiJd5rnyMxE=</t>
  </si>
  <si>
    <t>CASO: RUIZ MENES JESSICA MARLENY / MAERSK LOGISTICS &amp; SERVICES PERU SA / SCTR 2300141278 / 05.10.2026</t>
  </si>
  <si>
    <t>Respuesta automática: CASO: MENDOZA URBANO LUIS 04.10.2026</t>
  </si>
  <si>
    <t>AAQkADdkNThjNzFkLWM0ZmMtNDJhYS04MDVlLTIwNzE4ZDI1Mzg4YgAQAAJleXJySRtOhsU-J88cDmg=</t>
  </si>
  <si>
    <t>RV: Atención médica EDDY AGUILAR - Cocinero CASA ANDINA SELECT AREQUIPA  // SCTR SALUD // NESSUS HOTELES PERU</t>
  </si>
  <si>
    <t xml:space="preserve"> | RESPUESTA DEL DOCTOR: Estimada Antonella,_x000D_
Procede cobertura_x000D_
slds_x000D_
_________________________________x000D_
De: SCTRSalud &lt;sctrsalud@mapfre.com.pe&gt;_x000D_
Enviado: lunes, 5 de octubre de 2026 18:34_x000D_
Para: Perez Del Aguila Coda, Jose Luis &lt;jlperez@mapfre.com.pe&gt;; Villalon Flores, Ana Maria</t>
  </si>
  <si>
    <t xml:space="preserve">Buenas tardes,_x000D_
_x000D_
Estimados favor su apoyo evaluando la cobertura de la receta._x000D_
_x000D_
_x000D_
Saludos,_x000D_
_x000D_
_x000D_
_x000D_
_x000D_
_x000D_
Antonella Fernández_x000D_
_x000D_
Mapfre Perú_x000D_
_x000D_
Área de SCTR Salud_x000D_
_x000D_
Av. Armendáriz 345, Miraflores._x000D_
_x000D_
#CuidamosLoQueTeImporta_x000D_
_x000D_
Este mensaje y los archivos </t>
  </si>
  <si>
    <t>RE: URGENTE APOYO - SAN ANTONIO DE ANGAMOS  / SOLICITUD DE AUDITORIA - HANANI RAQUEL SANDOVAL LAZO / SCTR SALUD MAPFRE</t>
  </si>
  <si>
    <t xml:space="preserve"> | RESPUESTA DEL DOCTOR: Estimada Antonella_x000D_
_x000D_
Se envia el informe de rechazo_x000D_
_x000D_
Saludos_x000D_
_x000D_
_________________________________x000D_
De: SCTRSalud &lt;sctrsalud@mapfre.com.pe&gt;_x000D_
Enviado: martes, 6 de octubre de 2026 08:23_x000D_
Para: Perez Del Aguila Coda, Jose Luis &lt;jlperez@mapfre.com.pe&gt;; Vill | RESPUESTA DEL DOCTOR: Estimada Antonella,_x000D_
Según el informe de investigación de accidente el diagnóstico es una contusión de tobillo._x000D_
Si se atiende por contusión de tobillo, tiene cobertura por ese diagnóstico_x000D_
Slds_x000D_
_________________________________x000D_
De: SCTRSalud &lt;sctrsalud@</t>
  </si>
  <si>
    <t xml:space="preserve">Buenas tardes,_x000D_
_x000D_
Doctor Perez, quedo atenta a la evaluación de cobertura de las lesiones del tobillo._x000D_
_x000D_
_x000D_
Saludos,_x000D_
_x000D_
_x000D_
_x000D_
_x000D_
_x000D_
Antonella Fernández_x000D_
_x000D_
Mapfre Perú_x000D_
_x000D_
Área de SCTR Salud_x000D_
_x000D_
Av. Armendáriz 345, Miraflores._x000D_
_x000D_
#CuidamosLoQueTeImporta_x000D_
_x000D_
Este </t>
  </si>
  <si>
    <t>AAQkADdkNThjNzFkLWM0ZmMtNDJhYS04MDVlLTIwNzE4ZDI1Mzg4YgAQAGSMVY53ME06rhHDi3hwNMk=</t>
  </si>
  <si>
    <t xml:space="preserve">APROBACION DE CARTA DE GARANTÍA _ CRISTIAN HIDALGO RIVERA _ DNI 76093435 _ </t>
  </si>
  <si>
    <t>RE: EXAMEN 2 CALERO VILLACORTA FLOR</t>
  </si>
  <si>
    <t xml:space="preserve"> | RESPUESTA DEL DOCTOR: Estimada Antonella_x000D_
_x000D_
Envio el informe de rechazo por los diagnosticos registrados_x000D_
_x000D_
_________________________________x000D_
De: SCTRSalud &lt;sctrsalud@mapfre.com.pe&gt;_x000D_
Enviado: martes, 6 de octubre de 2026 10:29_x000D_
Para: Perez Del Aguila Coda, Jose Luis &lt;jlperez@m</t>
  </si>
  <si>
    <t>Buenos días,_x000D_
_x000D_
Estimados, el cliente solicita una carta de respuesta formal respecto al rechazo de este caso._x000D_
_x000D_
Doctora @Villalon Flores, Ana Maria del Pilar favor su apoyo._x000D_
_x000D_
_x000D_
Saludos,_x000D_
_x000D_
_x000D_
_x000D_
_x000D_
_x000D_
Antonella Fernández_x000D_
_x000D_
Mapfre Perú_x000D_
_x000D_
Área de SCTR Sal</t>
  </si>
  <si>
    <t>RE: GRUPO EULEN - PASE DE ATENCIÓN POR CONTINUIDAD DE TTO - FERNANDO DAVILA LOVERA DNI 09911128</t>
  </si>
  <si>
    <t>AAQkADdkNThjNzFkLWM0ZmMtNDJhYS04MDVlLTIwNzE4ZDI1Mzg4YgAQAC2BhaNoL5xEnH04069Ay5o=</t>
  </si>
  <si>
    <t>SALUBRIDAD SANEAMIENTO SCTR- CONSULTA FORMATO</t>
  </si>
  <si>
    <t>AAQkADdkNThjNzFkLWM0ZmMtNDJhYS04MDVlLTIwNzE4ZDI1Mzg4YgAQADjm9XG4ohhKglKIJ8Ta5Oo=</t>
  </si>
  <si>
    <t>ESTATUS DE CG Y REVISION DE GNC - SCTR SALUD- ASG ISABEL CURI MENDOZA - EFCO AMERICA - MAPFRE</t>
  </si>
  <si>
    <t xml:space="preserve">RE: APROBACION DE CARTA DE GARANTÍA _ CRISTIAN HIDALGO RIVERA _ DNI 76093435 _ </t>
  </si>
  <si>
    <t xml:space="preserve">RE: URGENTE / EMPRESA: TRANSMARINA DEL PERU  - ATENCION SCTR / COLABORADOR: LA CHIRA VITE ALEXIS JUNIOR /  CLINICA MIRAFLORES (PIURA) - CONSULTA COBRO DE CLINICA </t>
  </si>
  <si>
    <t>AAQkADdkNThjNzFkLWM0ZmMtNDJhYS04MDVlLTIwNzE4ZDI1Mzg4YgAQAPo4LoKbtMVPiRwyqIhuzhw=</t>
  </si>
  <si>
    <t>PERTINENCIA MEDICA DE MEDICINAS - SCTR SALUD - ASG CARLOS CORTEZ VELAZCO - CAMPO ANDINO - MAPFRE</t>
  </si>
  <si>
    <t>AAQkADdkNThjNzFkLWM0ZmMtNDJhYS04MDVlLTIwNzE4ZDI1Mzg4YgAQACBIUKMBk3tEuw6Nv5_qRaw=</t>
  </si>
  <si>
    <t>RV: FW: CONSULTA/ ACCIDENTE DE TRABAJO/ SOSA LAPA ANGELO SEBASTIAN/ AYACUCHO</t>
  </si>
  <si>
    <t>AAQkADdkNThjNzFkLWM0ZmMtNDJhYS04MDVlLTIwNzE4ZDI1Mzg4YgAQAAk9S04QbchGjXiJ4VceNNw=</t>
  </si>
  <si>
    <t>RE: INDECO - MAPFRE SCTR SALUD - ASEG. ZAVALETA PAZOS CARLOS - CAMBIO DE CLÍNICA POR MFR.</t>
  </si>
  <si>
    <t>AAQkADdkNThjNzFkLWM0ZmMtNDJhYS04MDVlLTIwNzE4ZDI1Mzg4YgAQAAaZIIkYYVlOoF6SHs3tVrs=</t>
  </si>
  <si>
    <t>REINGRESO POR EMERGENCIA- CONSTRUCTORA GALILEA SAC- JOSE RICARDO CHANAME CABRERA - SCTR SALUD MAPFRE - AUNA CHICLAYO</t>
  </si>
  <si>
    <t>AAQkADdkNThjNzFkLWM0ZmMtNDJhYS04MDVlLTIwNzE4ZDI1Mzg4YgAQAKXmS3Rli0OZuklOREma3uw=</t>
  </si>
  <si>
    <t>REEMBOLSO POR ATENCIÓN MEDICA DE FISIOTERAPIA: ACCIDENTE DE TRABAJO / MAYNITA ABARCA JULIO RAFAEL.</t>
  </si>
  <si>
    <t>| DERIVADO 07/10/2026 09:00</t>
  </si>
  <si>
    <t xml:space="preserve"> | RESPUESTA DEL DOCTOR: Estimada Antonella,_x000D_
Procede cobertura_x000D_
Slds_x000D_
_________________________________x000D_
De: SCTRSalud &lt;sctrsalud@mapfre.com.pe&gt;_x000D_
Enviado: miércoles, 7 de octubre de 2026 08:48_x000D_
Para: Villalon Flores, Ana Maria del Pilar &lt;extanvil@mapfre.com.pe&gt;; Perez Del Aguila  | CERRADO POR RESPUESTA DE CYPILA1@mapfre.com.pe</t>
  </si>
  <si>
    <t>Buenos días,_x000D_
_x000D_
Estimados, favor su apoyo evaluando la cobertura del rembolso solicitado._x000D_
_x000D_
_x000D_
Saludos,_x000D_
_x000D_
_x000D_
_x000D_
_x000D_
_x000D_
Antonella Fernández_x000D_
_x000D_
Mapfre Perú_x000D_
_x000D_
Área de SCTR Salud_x000D_
_x000D_
Av. Armendáriz 345, Miraflores._x000D_
_x000D_
#CuidamosLoQueTeImporta_x000D_
_x000D_
Este mensaje y los</t>
  </si>
  <si>
    <t>AAQkADdkNThjNzFkLWM0ZmMtNDJhYS04MDVlLTIwNzE4ZDI1Mzg4YgAQAKH122_ffbBHpsqgv1S748M=</t>
  </si>
  <si>
    <t xml:space="preserve">ACCIDENTE DE TRABAJO - JAMIR ACOSTA MALPARTIDA - TIENDA HUANUCO </t>
  </si>
  <si>
    <t xml:space="preserve"> | RESPUESTA DEL DOCTOR: Estimada Ale_x000D_
_x000D_
Procede_x000D_
_x000D_
Saludos_x000D_
_x000D_
_________________________________x000D_
De: Cordova Yenque, Pilar Alexandra &lt;CYPILA1@mapfre.com.pe&gt;_x000D_
Enviado: miércoles, 7 de octubre de 2026 08:49_x000D_
Para: Villalon Flores, Ana Maria del Pilar &lt;extanvil@mapfre.com.pe&gt;_x000D_
Cc: S</t>
  </si>
  <si>
    <t>AAQkADdkNThjNzFkLWM0ZmMtNDJhYS04MDVlLTIwNzE4ZDI1Mzg4YgAQAEGXB6sKVF1Bk8TfFfZQrtw=</t>
  </si>
  <si>
    <t>RV: SALUBRIDAD SANEAMIENTO SCTR- ATENCION MAISON DE SANTE- CASANA VILCA ERICA ESTER</t>
  </si>
  <si>
    <t>AAQkADdkNThjNzFkLWM0ZmMtNDJhYS04MDVlLTIwNzE4ZDI1Mzg4YgAQAAN7Z7f_SL5PqUH_zdcoMew=</t>
  </si>
  <si>
    <t xml:space="preserve">RV: CASO - Niño Aliaga Carlos Jose - ESTADO CG </t>
  </si>
  <si>
    <t>AAQkADdkNThjNzFkLWM0ZmMtNDJhYS04MDVlLTIwNzE4ZDI1Mzg4YgAQANv-StynO7lIj13Og5P3Tjw=</t>
  </si>
  <si>
    <t>CAMBIO DE PROVEEDOR_SCTR SALUD_MAPFRE_Trujillo Herrera, Sarita Medalith</t>
  </si>
  <si>
    <t>AAQkADdkNThjNzFkLWM0ZmMtNDJhYS04MDVlLTIwNzE4ZDI1Mzg4YgAQAPfbzS4oO0hJjyBaayt23rA=</t>
  </si>
  <si>
    <t>Respuesta automática: {External} - RE: HUARON // Acc. Trabajo incapacitante 05.05.26 // Yerson Jhonel Ñahui Quispe (DNI 70116898) - Orden Prótesis</t>
  </si>
  <si>
    <t>flor_gamboa@ajg.com</t>
  </si>
  <si>
    <t>RE: FW: CONSULTA/ ACCIDENTE DE TRABAJO/ SOSA LAPA ANGELO SEBASTIAN/ AYACUCHO</t>
  </si>
  <si>
    <t>rtorresr@mapfre.com.pe</t>
  </si>
  <si>
    <t>AAQkADdkNThjNzFkLWM0ZmMtNDJhYS04MDVlLTIwNzE4ZDI1Mzg4YgAQAGPfT3Du0IJPvAfVhrwLCq0=</t>
  </si>
  <si>
    <t>RV: TRAMITE DE TOBILLERA PARA TRABAJADORA SOLBELIZ RODRIGUEZ RODRIGUEZ - ITSANET PERU S.A.C.</t>
  </si>
  <si>
    <t>AAQkADdkNThjNzFkLWM0ZmMtNDJhYS04MDVlLTIwNzE4ZDI1Mzg4YgAQABBcO4p8i-xKo3T264eFcgE=</t>
  </si>
  <si>
    <t>RV: PRINCES SAC  / CONTINUIDAD DE TRATAMIENTO - SCTR SALUD MAPFRE - TARAZONA  VILCHEZ IAN ENRIQUE-</t>
  </si>
  <si>
    <t xml:space="preserve"> | RESPUESTA DEL DOCTOR: Estimada Antonella,_x000D_
Procede cobertura_x000D_
Slds_x000D_
_________________________________x000D_
De: SCTRSalud &lt;sctrsalud@mapfre.com.pe&gt;_x000D_
Enviado: miércoles, 7 de octubre de 2026 15:59_x000D_
Para: Villalon Flores, Ana Maria del Pilar &lt;extanvil@mapfre.com.pe&gt;; Perez Del Aguila </t>
  </si>
  <si>
    <t>Buenas tardes,_x000D_
_x000D_
Estimados doctores, favor su apoyo evaluando la cobertura por la especialidad de cirugía plásticas._x000D_
_x000D_
Saludos,_x000D_
_x000D_
_x000D_
_x000D_
_x000D_
_x000D_
Antonella Fernández_x000D_
_x000D_
Mapfre Perú_x000D_
_x000D_
Área de SCTR Salud_x000D_
_x000D_
Av. Armendáriz 345, Miraflores._x000D_
_x000D_
#CuidamosLoQueTeI</t>
  </si>
  <si>
    <t>AAQkADdkNThjNzFkLWM0ZmMtNDJhYS04MDVlLTIwNzE4ZDI1Mzg4YgAQAPr_TKfrQ0FAl7sePQSmJRM=</t>
  </si>
  <si>
    <t>MEDICINAS PENDIENTE DE ENTREGA ASEG. SEGUNDO ANGEL VARGAS TORRES - PRODUCTOS PARAISO DEL PERU</t>
  </si>
  <si>
    <t xml:space="preserve"> | RESPUESTA DEL DOCTOR: Estimada Antonella_x000D_
_x000D_
Procede_x000D_
_x000D_
Saludos_x000D_
_x000D_
_________________________________x000D_
De: SCTRSalud &lt;sctrsalud@mapfre.com.pe&gt;_x000D_
Enviado: miércoles, 7 de octubre de 2026 16:04_x000D_
Para: Villalon Flores, Ana Maria del Pilar &lt;extanvil@mapfre.com.pe&gt;; Perez Del Aguila Co | CERRADO POR RESPUESTA DE LKCALD1@mapfre.com.pe</t>
  </si>
  <si>
    <t>Buenas tardes,_x000D_
_x000D_
Estimados favor su apoyo evaluando la cobertura de la receta adjunta._x000D_
_x000D_
_x000D_
Saludos,_x000D_
_x000D_
_x000D_
_x000D_
_x000D_
_x000D_
Antonella Fernández_x000D_
_x000D_
Mapfre Perú_x000D_
_x000D_
Área de SCTR Salud_x000D_
_x000D_
Av. Armendáriz 345, Miraflores._x000D_
_x000D_
#CuidamosLoQueTeImporta_x000D_
_x000D_
Este mensaje y los a</t>
  </si>
  <si>
    <t>AAQkADdkNThjNzFkLWM0ZmMtNDJhYS04MDVlLTIwNzE4ZDI1Mzg4YgAQAJEo-4vUFRJGgdZ9BBvRx9s=</t>
  </si>
  <si>
    <t>ACCIDENTE DE TRABAJO ELAYNE HURTADO CARDENAS / SOLICITUD DE RESONANCIA MAGNÉTICA / CANTOL S.A.C</t>
  </si>
  <si>
    <t>AAQkADdkNThjNzFkLWM0ZmMtNDJhYS04MDVlLTIwNzE4ZDI1Mzg4YgAQAHuX3U1Z0u9Mg94rgXMLoiE=</t>
  </si>
  <si>
    <t>COBERTURA DE INSUMO ASEG. JOSE DAVID FLORES ONOFRE - PRODUCTOS PARAISO DEL PERU</t>
  </si>
  <si>
    <t>Buenas tardes,_x000D_
_x000D_
Estimados favor su apoyo evaluando la cobertura de la manga solicitada._x000D_
_x000D_
_x000D_
Saludos,_x000D_
_x000D_
_x000D_
_x000D_
_x000D_
_x000D_
Antonella Fernández_x000D_
_x000D_
Mapfre Perú_x000D_
_x000D_
Área de SCTR Salud_x000D_
_x000D_
Av. Armendáriz 345, Miraflores._x000D_
_x000D_
#CuidamosLoQueTeImporta_x000D_
_x000D_
Este mensaje y los</t>
  </si>
  <si>
    <t>| DERIVADO 09/10/2026 08:06</t>
  </si>
  <si>
    <t>Flor_Gamboa@ajg.com</t>
  </si>
  <si>
    <t>AAQkADdkNThjNzFkLWM0ZmMtNDJhYS04MDVlLTIwNzE4ZDI1Mzg4YgAQAG73PFGvYGxEhdGX7yyeQLU=</t>
  </si>
  <si>
    <t xml:space="preserve">CONTINUIDAD DE ATENCION MEDICA - Sr HUAMAN DE LA CRUZ IVAN ORLANDO CLINICA INTERNACIONAL | MINERA CONSTRUCCION Y TRANSPORTE LA LIBERTAD - MINCOTRALL | 20390962348 | </t>
  </si>
  <si>
    <t>AAQkADdkNThjNzFkLWM0ZmMtNDJhYS04MDVlLTIwNzE4ZDI1Mzg4YgAQAJMruj08-AZNsx_XqNQ_6-Q=</t>
  </si>
  <si>
    <t>RV: RESONANCIA MAGNETICA_ RIVADENEYRA MENDOZA INGRID</t>
  </si>
  <si>
    <t>AAQkADdkNThjNzFkLWM0ZmMtNDJhYS04MDVlLTIwNzE4ZDI1Mzg4YgAQADrqa9D48E_jqskQUyhmCkc=</t>
  </si>
  <si>
    <t>RV: Solicitud de soporte / Cobertura de medicamento SCTR – Diana Rufino Alamo - EMERGENT COLD PERU SAC</t>
  </si>
  <si>
    <t xml:space="preserve"> | RESPUESTA DEL DOCTOR: Estimada Antonella,_x000D_
Procede cobertura_x000D_
Slds_x000D_
_________________________________x000D_
De: SCTRSalud &lt;sctrsalud@mapfre.com.pe&gt;_x000D_
Enviado: viernes, 9 de octubre de 2026 09:50_x000D_
Para: Villalon Flores, Ana Maria del Pilar &lt;extanvil@mapfre.com.pe&gt;; Perez Del Aguila Co</t>
  </si>
  <si>
    <t>Buenos días,_x000D_
_x000D_
Estimados doctores, favor su apoyo evaluando la cobertura del medicamento._x000D_
_x000D_
_x000D_
Saludos,_x000D_
_x000D_
_x000D_
_x000D_
_x000D_
_x000D_
Antonella Fernández_x000D_
_x000D_
Mapfre Perú_x000D_
_x000D_
Área de SCTR Salud_x000D_
_x000D_
Av. Armendáriz 345, Miraflores._x000D_
_x000D_
#CuidamosLoQueTeImporta_x000D_
_x000D_
Este mensaje y lo</t>
  </si>
  <si>
    <t>RE: SUBSANAR OBSERVACION DE CG - ACCIDENTE SCTR - ASG PAMPA ARI KARINA ROCIO -  TRANSPORTES CRUZ DEL SUR</t>
  </si>
  <si>
    <t>AAQkADdkNThjNzFkLWM0ZmMtNDJhYS04MDVlLTIwNzE4ZDI1Mzg4YgAQAPbKExnBAkhXkzXhpDUgXzA=</t>
  </si>
  <si>
    <t>RV: MAPFRE SCTR - REEMBOLSO DE GASTOS POR HOSPITALIZACIÓN - ACC. LABORAL MILTON TOÑOQUE SANTAMARIA</t>
  </si>
  <si>
    <t>| DERIVADO 12/10/2026 09:00</t>
  </si>
  <si>
    <t>RE: ACCIDENTE DE TRABAJO ELAYNE HURTADO CARDENAS / SOLICITUD DE RESONANCIA MAGNÉTICA / CANTOL S.A.C</t>
  </si>
  <si>
    <t>RE: SIMA PERU // EVALUACION MÉDICA POR RECHAZO DE ASEGURADORA // HERNANDEZ ELIAS LUIS</t>
  </si>
  <si>
    <t>AAQkADdkNThjNzFkLWM0ZmMtNDJhYS04MDVlLTIwNzE4ZDI1Mzg4YgAQADomMwfTJglDpp-A70H3qnc=</t>
  </si>
  <si>
    <t>SINIESTRO SCTR -  CARI ROJAS JOSE - SUPERDEPORTE PLUS PERU S.A.C.</t>
  </si>
  <si>
    <t>RE: TRAMITE DE TOBILLERA PARA TRABAJADORA SOLBELIZ RODRIGUEZ RODRIGUEZ - ITSANET PERU S.A.C.</t>
  </si>
  <si>
    <t>cgarantias@santafeortopedia.com</t>
  </si>
  <si>
    <t>AAQkADdkNThjNzFkLWM0ZmMtNDJhYS04MDVlLTIwNzE4ZDI1Mzg4YgAQAB-5dxcnvk8yk-7j-l0wQGc=</t>
  </si>
  <si>
    <t>CICSA - AUTORIZAR FORMATO DIGITAL - SCTR SALUD (AT): MAYTA QUISPE JUAN VIDAL - FA: 05/10/26</t>
  </si>
  <si>
    <t>AAQkADdkNThjNzFkLWM0ZmMtNDJhYS04MDVlLTIwNzE4ZDI1Mzg4YgAQAISqJ7LZMEDEs_lE6J-fNZ0=</t>
  </si>
  <si>
    <t xml:space="preserve">RE: Inversiones Liber SCTR </t>
  </si>
  <si>
    <t>AAQkADdkNThjNzFkLWM0ZmMtNDJhYS04MDVlLTIwNzE4ZDI1Mzg4YgAQAGwW7NXmdeJHmuhD71lM8Wk=</t>
  </si>
  <si>
    <t xml:space="preserve">SOLICITUD URGENTE SCTR - CAMBIO DE CLINICA - RODRIGUEZ RODRIGUEZ MARIO </t>
  </si>
  <si>
    <t>AAQkADdkNThjNzFkLWM0ZmMtNDJhYS04MDVlLTIwNzE4ZDI1Mzg4YgAQAN_KpDEheGhEksoev6l1_PY=</t>
  </si>
  <si>
    <t>CONSTRUCTORA MPM - PROY GALVEZ // SCTR SALUD // A.T. 11.08.2025// Asegurado : Perez Ortiz Carlos Noe - USO DE CABESTRILLO</t>
  </si>
  <si>
    <t>AAQkADdkNThjNzFkLWM0ZmMtNDJhYS04MDVlLTIwNzE4ZDI1Mzg4YgAQADHVjyRrXsRKrr5yw6GBomo=</t>
  </si>
  <si>
    <t>HALEMA SCTR - SOLICITUD DE CABESTRILLO- CELSO URBINA SAMAME</t>
  </si>
  <si>
    <t>AAQkADdkNThjNzFkLWM0ZmMtNDJhYS04MDVlLTIwNzE4ZDI1Mzg4YgAQAKDxYH_RrEFdgX28cD_WcvU=</t>
  </si>
  <si>
    <t>SOLCIITUD DE AUTORIZACION POR TRAUMATOLOGIA - SCTR SALUD - ASG FERNANDEZ CRUZ ESTUAR BRAULIO - CONSTRUCTORA GALILEA</t>
  </si>
  <si>
    <t>AAQkADdkNThjNzFkLWM0ZmMtNDJhYS04MDVlLTIwNzE4ZDI1Mzg4YgAQANOvIEUdcbNPmXV1LP0k10M=</t>
  </si>
  <si>
    <t>RV: MOVIL BUS - CONSULTA DE RECETA MEDICA - ESPINOZA MIRANDA ANGIE STEPHANIE</t>
  </si>
  <si>
    <t>RE: CICSA - AUTORIZAR FORMATO DIGITAL - SCTR SALUD (AT): MAYTA QUISPE JUAN VIDAL - FA: 05/10/26</t>
  </si>
  <si>
    <t>AAQkADdkNThjNzFkLWM0ZmMtNDJhYS04MDVlLTIwNzE4ZDI1Mzg4YgAQAKTll6tlkEErpoHLvMNzXDg=</t>
  </si>
  <si>
    <t>RV: CARTA DE GARANTIA OBSERVADA - QUEZADA QUEVEDO JAIME ALEJANDRO</t>
  </si>
  <si>
    <t>AAQkADdkNThjNzFkLWM0ZmMtNDJhYS04MDVlLTIwNzE4ZDI1Mzg4YgAQAGdKBq3QgEUIq7ELt5aJTHE=</t>
  </si>
  <si>
    <t xml:space="preserve">ELECTROPERU SCTR | PACIENTE Jorge Alberto Cadillo Díaz / CONFIRMAR APROBACION DE CARTA DE GARANTIA. </t>
  </si>
  <si>
    <t>AAQkADdkNThjNzFkLWM0ZmMtNDJhYS04MDVlLTIwNzE4ZDI1Mzg4YgAQAN20GoyEQNxNgx9EXBmCRGs=</t>
  </si>
  <si>
    <t>RV: Caso Wilfredo Inca - ADT - CENCOSUD</t>
  </si>
  <si>
    <t>ricardo_noriega@ajg.com</t>
  </si>
  <si>
    <t>Buenos días:_x000D_
_x000D_
Estimadas, favor su apoyo con la reevaluación de la siguiente CG, la cual se encuentra aprobada por un monto menor al solicitado por la clínica._x000D_
Se adjunta informe médico por el médico tratante, mediante el cual sustenta la necesidad de l</t>
  </si>
  <si>
    <t>RE: URGENTE ACCIDENTE LABORAL DE LA SEDE DE LURIN//SILVA HUAPAYA ANALI - SPROUTED PROTEINS</t>
  </si>
  <si>
    <t>AAQkADdkNThjNzFkLWM0ZmMtNDJhYS04MDVlLTIwNzE4ZDI1Mzg4YgAQAM_3P8UtEEBzliSg2Ftr4go=</t>
  </si>
  <si>
    <t xml:space="preserve">RE: OFTALMOSALUD - VIDA LEY    COBEETURAS ADICIONALES </t>
  </si>
  <si>
    <t>AAQkADdkNThjNzFkLWM0ZmMtNDJhYS04MDVlLTIwNzE4ZDI1Mzg4YgAQAG64aq7TVeRFiFSRdNBV4Nc=</t>
  </si>
  <si>
    <t>ACTIVACION POR ACCIDENTE DE TRABAJO - SCTR -ASG ALVAREZ CANALES RAUL ENRIQUE - TRANSPORTES ANGEL IBARCENA SAC</t>
  </si>
  <si>
    <t>AAQkADdkNThjNzFkLWM0ZmMtNDJhYS04MDVlLTIwNzE4ZDI1Mzg4YgAQAOg_8CF_CmVDj_YhPK_uTds=</t>
  </si>
  <si>
    <t>Accidente de trabajo_Monica Aragon Alegria - REQUERIMIENTO RESONANCIA</t>
  </si>
  <si>
    <t>Ricardo_Noriega@ajg.com</t>
  </si>
  <si>
    <t>AAQkADdkNThjNzFkLWM0ZmMtNDJhYS04MDVlLTIwNzE4ZDI1Mzg4YgAQAPxTjZ5Y2l1GopOOh0CVnm0=</t>
  </si>
  <si>
    <t xml:space="preserve"> SOLICITUD DE FÉRULA: MENACHO MENDIETA, RENZO BENJAMIN</t>
  </si>
  <si>
    <t>RE: CARTA DE GARANTIA OBSERVADA - QUEZADA QUEVEDO JAIME ALEJANDRO</t>
  </si>
  <si>
    <t>AAQkADdkNThjNzFkLWM0ZmMtNDJhYS04MDVlLTIwNzE4ZDI1Mzg4YgAQADZPjEnp8RZGoWHbMYldsLU=</t>
  </si>
  <si>
    <t>RE: VIETTEL  FUENTES TABOADA CLIVER SCTR  // RECHAZO DE ATENCION // COLABOR EN CLINICA</t>
  </si>
  <si>
    <t xml:space="preserve"> | RESPUESTA DEL DOCTOR: Estimada Alicia,_x000D_
No tiene cobertura para RMN cervical porque el trauma descrito es del miembro superior derecho._x000D_
No ha tenido traumatismo en el cuello_x000D_
Slds_x000D_
_________________________________x000D_
De: SCTRSalud &lt;sctrsalud@mapfre.com.pe&gt;_x000D_
Enviado: lunes, 12 d</t>
  </si>
  <si>
    <t xml:space="preserve">Buenas tardes:_x000D_
_x000D_
Estimados, favor su apoyo con la evaluación del siguiente caso y brindando el sustento de la no cobertura._x000D_
_x000D_
ANULADO. INGRESAR CG POR RMN DE HOMBRO DERECHO. NO CUENTA CON COBERTURA PARA RMN CERVICAL_x000D_
El examen que no tiene cobertura es </t>
  </si>
  <si>
    <t>RE: ESTATUS DE CG Y REVISION DE GNC - SCTR SALUD- ASG ISABEL CURI MENDOZA - EFCO AMERICA - MAPFRE</t>
  </si>
  <si>
    <t>RE: URGENTE // SIMA PERU // SOLICITUD DE PROCEDIMIENTO PARA TRATAMIENTO NEUROQUIRURGICO - CASO LUZMILA ZEÑA NIZAMA</t>
  </si>
  <si>
    <t>AAQkADdkNThjNzFkLWM0ZmMtNDJhYS04MDVlLTIwNzE4ZDI1Mzg4YgAQAHOo7zDxiRlCsSMXoeQcBxA=</t>
  </si>
  <si>
    <t>Recuperar: URGENTE // SIMA PERU // SOLICITUD DE PROCEDIMIENTO PARA TRATAMIENTO NEUROQUIRURGICO - CASO LUZMILA ZEÑA NIZAMA</t>
  </si>
  <si>
    <t>AAQkADdkNThjNzFkLWM0ZmMtNDJhYS04MDVlLTIwNzE4ZDI1Mzg4YgAQAD12xrb7l2dMlzCnhT06WCw=</t>
  </si>
  <si>
    <t>RV: Consulta sobre cobro por constancia de descanso médico – Clínica San Juan de Dios Cusco</t>
  </si>
  <si>
    <t>AAQkADdkNThjNzFkLWM0ZmMtNDJhYS04MDVlLTIwNzE4ZDI1Mzg4YgAQANFVzywTV02QnLrWMLs850s=</t>
  </si>
  <si>
    <t>SCTR : Consulta cobertura - Efectos FENOMENO DEL NIÑO</t>
  </si>
  <si>
    <t>AAQkADdkNThjNzFkLWM0ZmMtNDJhYS04MDVlLTIwNzE4ZDI1Mzg4YgAQAHRQ7zN0jAtDvJonAiP9Z9g=</t>
  </si>
  <si>
    <t>HUARON - MAPFRE SCTR SALUD - YERSON JHONEL ÑAHUI WUISPE  - ORDEN DE PRÓTESIS</t>
  </si>
  <si>
    <t>RE: HALEMA SCTR - SOLICITUD DE CABESTRILLO- CELSO URBINA SAMAME</t>
  </si>
  <si>
    <t>Cesar.Eran@marsh.com</t>
  </si>
  <si>
    <t>AAQkADdkNThjNzFkLWM0ZmMtNDJhYS04MDVlLTIwNzE4ZDI1Mzg4YgAQANU9NKY53fpPnt1hJ_SJlAY=</t>
  </si>
  <si>
    <t>RE: RE: REQUERIMIENTO DE INFORMACION ACCIDENTE OCURRIDO AL TRABAJADOR TAPIA FIGUEROA RUTH NOEMI</t>
  </si>
  <si>
    <t>AAQkADdkNThjNzFkLWM0ZmMtNDJhYS04MDVlLTIwNzE4ZDI1Mzg4YgAQAKrW3j40OBFLqdypw_5-J7I=</t>
  </si>
  <si>
    <t xml:space="preserve">ELECTROPERU / AVANCE DE CUENTA SCTR SALUD / CASO COLABORADOR CADILLO DIAZ JORGE. </t>
  </si>
  <si>
    <t>AAQkADdkNThjNzFkLWM0ZmMtNDJhYS04MDVlLTIwNzE4ZDI1Mzg4YgAQAL3smq68Ov1HirmRaPJkxNM=</t>
  </si>
  <si>
    <t>SCTR MAPFRE SOLICITUD DE RESONANCIA MAGNETICA  - ALEXANDHER REYES ROSAS - CENCOSUD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</si>
</sst>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0.0"/>
    <numFmt numFmtId="166" formatCode="0.0%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color rgb="FF808080"/>
      <name val="Calibri"/>
    </font>
    <font>
      <b/>
      <sz val="14"/>
      <color rgb="FFC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0" xfId="0" applyFont="1" applyFill="1"/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0" fillId="2" borderId="0" xfId="0" applyFill="1"/>
    <xf numFmtId="166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/>
    </xf>
    <xf numFmtId="0" fontId="4" fillId="0" borderId="0" xfId="1"/>
    <xf numFmtId="0" fontId="0" fillId="0" borderId="0" xfId="0" applyAlignment="1">
      <alignment wrapText="1"/>
    </xf>
    <xf numFmtId="14" fontId="0" fillId="0" borderId="0" xfId="0" applyNumberFormat="1"/>
    <xf numFmtId="22" fontId="0" fillId="0" borderId="0" xfId="0" applyNumberFormat="1"/>
    <xf numFmtId="0" fontId="5" fillId="3" borderId="0" xfId="0" applyFont="1" applyFill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NumberFormat="1"/>
  </cellXfs>
  <cellStyles count="2">
    <cellStyle name="Hyperlink" xfId="1" xr:uid="{00000000-000B-0000-0000-000008000000}"/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wrapText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TR_Brokers" displayName="SCTR_Brokers" ref="A1:AC532" headerRowDxfId="12">
  <autoFilter ref="A1:AC532" xr:uid="{00000000-0009-0000-0100-000001000000}">
    <filterColumn colId="8">
      <filters blank="1">
        <filter val="SOLICITA INFORMACIÓN"/>
      </filters>
    </filterColumn>
  </autoFilter>
  <tableColumns count="29">
    <tableColumn id="1" xr3:uid="{00000000-0010-0000-0000-000001000000}" name="ConversationId"/>
    <tableColumn id="2" xr3:uid="{00000000-0010-0000-0000-000002000000}" name="ConversationId_Alt"/>
    <tableColumn id="3" xr3:uid="{00000000-0010-0000-0000-000003000000}" name="CasoId">
      <calculatedColumnFormula>IF(SCTR_Brokers[[#This Row],[FechaRecepcion]]="","",SCTR_Brokers[[#This Row],[ConversationId]]&amp;"-"&amp;TEXT(SCTR_Brokers[[#This Row],[FechaRecepcion]],"aaaammddhhmmss"))</calculatedColumnFormula>
    </tableColumn>
    <tableColumn id="4" xr3:uid="{00000000-0010-0000-0000-000004000000}" name="Asunto"/>
    <tableColumn id="5" xr3:uid="{00000000-0010-0000-0000-000005000000}" name="Broker"/>
    <tableColumn id="6" xr3:uid="{00000000-0010-0000-0000-000006000000}" name="FechaRecepcion"/>
    <tableColumn id="7" xr3:uid="{00000000-0010-0000-0000-000007000000}" name="FechaUltimaRespuesta"/>
    <tableColumn id="8" xr3:uid="{00000000-0010-0000-0000-000008000000}" name="PersonaUltimaRespuesta"/>
    <tableColumn id="9" xr3:uid="{00000000-0010-0000-0000-000009000000}" name="Estado"/>
    <tableColumn id="10" xr3:uid="{00000000-0010-0000-0000-00000A000000}" name="Observaciones"/>
    <tableColumn id="11" xr3:uid="{00000000-0010-0000-0000-00000B000000}" name="Encargado"/>
    <tableColumn id="12" xr3:uid="{00000000-0010-0000-0000-00000C000000}" name="CorreoDoctor"/>
    <tableColumn id="13" xr3:uid="{00000000-0010-0000-0000-00000D000000}" name="DoctorEncargado"/>
    <tableColumn id="14" xr3:uid="{00000000-0010-0000-0000-00000E000000}" name="Horas_Transcurridas" dataDxfId="11">
      <calculatedColumnFormula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calculatedColumnFormula>
    </tableColumn>
    <tableColumn id="15" xr3:uid="{00000000-0010-0000-0000-00000F000000}" name="Fecha_Solic_Informe"/>
    <tableColumn id="16" xr3:uid="{00000000-0010-0000-0000-000010000000}" name="Fecha_Informe"/>
    <tableColumn id="17" xr3:uid="{00000000-0010-0000-0000-000011000000}" name="Fecha_Cierre"/>
    <tableColumn id="18" xr3:uid="{00000000-0010-0000-0000-000012000000}" name="Plazo" dataDxfId="10">
      <calculatedColumnFormula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calculatedColumnFormula>
    </tableColumn>
    <tableColumn id="29" xr3:uid="{15CEFD05-38D9-4E65-AE56-ECA39536FBB8}" name="Derivado"/>
    <tableColumn id="19" xr3:uid="{00000000-0010-0000-0000-000013000000}" name="Mes" dataDxfId="9">
      <calculatedColumnFormula>IF(SCTR_Brokers[[#This Row],[FechaRecepcion]]="","",TEXT(SCTR_Brokers[[#This Row],[FechaRecepcion]],"mmmm")&amp;" "&amp;YEAR(SCTR_Brokers[[#This Row],[FechaRecepcion]]))</calculatedColumnFormula>
    </tableColumn>
    <tableColumn id="20" xr3:uid="{00000000-0010-0000-0000-000014000000}" name="EsFinalizado" dataDxfId="8">
      <calculatedColumnFormula>IF(SCTR_Brokers[[#This Row],[Estado]]="FINALIZADO",1,0)</calculatedColumnFormula>
    </tableColumn>
    <tableColumn id="21" xr3:uid="{00000000-0010-0000-0000-000015000000}" name="EsPendiente" dataDxfId="7">
      <calculatedColumnFormula>IF(SCTR_Brokers[[#This Row],[FechaRecepcion]]="","",IF(SCTR_Brokers[[#This Row],[Estado]]="FINALIZADO",0,1))</calculatedColumnFormula>
    </tableColumn>
    <tableColumn id="22" xr3:uid="{00000000-0010-0000-0000-000016000000}" name="DentroPlazo_Finalizado" dataDxfId="6">
      <calculatedColumnFormula>IF(AND(SCTR_Brokers[[#This Row],[Estado]]="FINALIZADO",SCTR_Brokers[[#This Row],[Plazo]]=LISTAS!$J$3),1,0)</calculatedColumnFormula>
    </tableColumn>
    <tableColumn id="23" xr3:uid="{00000000-0010-0000-0000-000017000000}" name="FueraPlazo_Finalizado" dataDxfId="5">
      <calculatedColumnFormula>IF(AND(SCTR_Brokers[[#This Row],[Estado]]="FINALIZADO",SCTR_Brokers[[#This Row],[Plazo]]=LISTAS!$J$4),1,0)</calculatedColumnFormula>
    </tableColumn>
    <tableColumn id="24" xr3:uid="{00000000-0010-0000-0000-000018000000}" name="PendienteFueraPlazo" dataDxfId="4">
      <calculatedColumnFormula>IF(AND(SCTR_Brokers[[#This Row],[Estado]]&lt;&gt;"FINALIZADO",SCTR_Brokers[[#This Row],[Plazo]]=LISTAS!$J$4),1,0)</calculatedColumnFormula>
    </tableColumn>
    <tableColumn id="25" xr3:uid="{00000000-0010-0000-0000-000019000000}" name="SolicitoInforme" dataDxfId="3">
      <calculatedColumnFormula>IF(SCTR_Brokers[[#This Row],[Fecha_Solic_Informe]]="",0,1)</calculatedColumnFormula>
    </tableColumn>
    <tableColumn id="26" xr3:uid="{00000000-0010-0000-0000-00001A000000}" name="InformeRecibido" dataDxfId="2">
      <calculatedColumnFormula>IF(SCTR_Brokers[[#This Row],[Fecha_Informe]]="",0,1)</calculatedColumnFormula>
    </tableColumn>
    <tableColumn id="27" xr3:uid="{00000000-0010-0000-0000-00001B000000}" name="PendienteDoctor" dataDxfId="1">
      <calculatedColumnFormula>IF(AND(SCTR_Brokers[[#This Row],[Fecha_Solic_Informe]]&lt;&gt;"",SCTR_Brokers[[#This Row],[Fecha_Informe]]=""),1,0)</calculatedColumnFormula>
    </tableColumn>
    <tableColumn id="28" xr3:uid="{00000000-0010-0000-0000-00001C000000}" name="HorasRespuestaDoctor" dataDxfId="0">
      <calculatedColumnFormula>IF(AND(SCTR_Brokers[[#This Row],[Fecha_Solic_Informe]]&lt;&gt;"",SCTR_Brokers[[#This Row],[Fecha_Informe]]&lt;&gt;""),ROUND((SCTR_Brokers[[#This Row],[Fecha_Informe]]-SCTR_Brokers[[#This Row],[Fecha_Solic_Informe]])*24,1),"")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avf2110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cgarantias@santafeortoped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66"/>
  <sheetViews>
    <sheetView topLeftCell="D1" workbookViewId="0">
      <selection activeCell="M3" sqref="M3"/>
    </sheetView>
  </sheetViews>
  <sheetFormatPr defaultRowHeight="15"/>
  <cols>
    <col min="2" max="2" width="26" customWidth="1"/>
    <col min="4" max="4" width="22" customWidth="1"/>
    <col min="5" max="5" width="18" customWidth="1"/>
    <col min="7" max="7" width="14" customWidth="1"/>
    <col min="8" max="8" width="30" customWidth="1"/>
    <col min="9" max="9" width="17" bestFit="1" customWidth="1"/>
    <col min="10" max="10" width="12" customWidth="1"/>
    <col min="12" max="12" width="21.140625" style="15" customWidth="1"/>
    <col min="13" max="14" width="11.42578125" bestFit="1" customWidth="1"/>
  </cols>
  <sheetData>
    <row r="2" spans="2:14">
      <c r="B2" s="1" t="s">
        <v>0</v>
      </c>
      <c r="D2" s="1" t="s">
        <v>1</v>
      </c>
      <c r="E2" s="1" t="s">
        <v>2</v>
      </c>
      <c r="G2" s="1" t="s">
        <v>3</v>
      </c>
      <c r="H2" s="1" t="s">
        <v>4</v>
      </c>
      <c r="J2" s="1" t="s">
        <v>5</v>
      </c>
      <c r="L2" s="13" t="s">
        <v>6</v>
      </c>
    </row>
    <row r="3" spans="2:14">
      <c r="B3" t="s">
        <v>7</v>
      </c>
      <c r="D3" t="s">
        <v>8</v>
      </c>
      <c r="E3">
        <v>6</v>
      </c>
      <c r="G3" t="s">
        <v>9</v>
      </c>
      <c r="H3" t="s">
        <v>10</v>
      </c>
      <c r="J3" t="s">
        <v>11</v>
      </c>
      <c r="L3" s="14" cm="1">
        <f t="array" aca="1" ref="L3:L66" ca="1">_xlfn.LET(_xlpm.y,YEAR(TODAY()),_xlpm.i,_xlfn.SEQUENCE(64),_xlpm.a,_xlpm.y-INT((_xlpm.i-1)/16),_xlpm.h,MOD(_xlpm.i-1,16)+1,_xlpm.pas,ROUND(DATE(_xlpm.a,4,1)/7+MOD(19*MOD(_xlpm.a,19)-7,30)*0.14,0)*7-6,_xlpm.m,CHOOSE(_xlpm.h,1,1,1,5,6,6,7,7,7,8,8,10,11,12,12,12),_xlpm.d,CHOOSE(_xlpm.h,1,1,1,1,7,29,23,28,29,6,30,8,1,8,9,25),IF(_xlpm.h=2,_xlpm.pas-3,IF(_xlpm.h=3,_xlpm.pas-2,DATE(_xlpm.a,_xlpm.m,_xlpm.d))))</f>
        <v>46023</v>
      </c>
      <c r="M3" s="11" t="s">
        <v>12</v>
      </c>
    </row>
    <row r="4" spans="2:14">
      <c r="B4" t="s">
        <v>13</v>
      </c>
      <c r="D4" t="s">
        <v>14</v>
      </c>
      <c r="E4" s="2" t="s">
        <v>15</v>
      </c>
      <c r="G4" t="s">
        <v>16</v>
      </c>
      <c r="H4" s="9" t="s">
        <v>17</v>
      </c>
      <c r="J4" t="s">
        <v>18</v>
      </c>
      <c r="L4" s="14">
        <f ca="1"/>
        <v>46114</v>
      </c>
      <c r="M4" s="11"/>
    </row>
    <row r="5" spans="2:14">
      <c r="B5" t="s">
        <v>19</v>
      </c>
      <c r="D5" t="s">
        <v>20</v>
      </c>
      <c r="L5" s="14">
        <f ca="1"/>
        <v>46115</v>
      </c>
      <c r="M5" s="11"/>
    </row>
    <row r="6" spans="2:14">
      <c r="D6" t="s">
        <v>21</v>
      </c>
      <c r="L6" s="14">
        <f ca="1"/>
        <v>46143</v>
      </c>
      <c r="M6" s="11"/>
    </row>
    <row r="7" spans="2:14">
      <c r="B7" s="2" t="s">
        <v>22</v>
      </c>
      <c r="D7" t="s">
        <v>23</v>
      </c>
      <c r="L7" s="14">
        <f ca="1"/>
        <v>46180</v>
      </c>
      <c r="M7" s="11"/>
    </row>
    <row r="8" spans="2:14">
      <c r="L8" s="14">
        <f ca="1"/>
        <v>46202</v>
      </c>
      <c r="M8" s="11"/>
    </row>
    <row r="9" spans="2:14">
      <c r="L9" s="14">
        <f ca="1"/>
        <v>46226</v>
      </c>
      <c r="M9" s="11"/>
    </row>
    <row r="10" spans="2:14">
      <c r="L10" s="14">
        <f ca="1"/>
        <v>46231</v>
      </c>
      <c r="N10" s="11"/>
    </row>
    <row r="11" spans="2:14">
      <c r="L11" s="14">
        <f ca="1"/>
        <v>46232</v>
      </c>
    </row>
    <row r="12" spans="2:14">
      <c r="I12" s="12"/>
      <c r="J12" s="12"/>
      <c r="L12" s="14">
        <f ca="1"/>
        <v>46240</v>
      </c>
    </row>
    <row r="13" spans="2:14">
      <c r="L13" s="14">
        <f ca="1"/>
        <v>46264</v>
      </c>
    </row>
    <row r="14" spans="2:14">
      <c r="L14" s="14">
        <f ca="1"/>
        <v>46303</v>
      </c>
    </row>
    <row r="15" spans="2:14">
      <c r="L15" s="14">
        <f ca="1"/>
        <v>46327</v>
      </c>
    </row>
    <row r="16" spans="2:14">
      <c r="L16" s="14">
        <f ca="1"/>
        <v>46364</v>
      </c>
    </row>
    <row r="17" spans="12:12">
      <c r="L17" s="14">
        <f ca="1"/>
        <v>46365</v>
      </c>
    </row>
    <row r="18" spans="12:12">
      <c r="L18" s="14">
        <f ca="1"/>
        <v>46381</v>
      </c>
    </row>
    <row r="19" spans="12:12">
      <c r="L19" s="14">
        <f ca="1"/>
        <v>45658</v>
      </c>
    </row>
    <row r="20" spans="12:12">
      <c r="L20" s="14">
        <f ca="1"/>
        <v>45764</v>
      </c>
    </row>
    <row r="21" spans="12:12">
      <c r="L21" s="14">
        <f ca="1"/>
        <v>45765</v>
      </c>
    </row>
    <row r="22" spans="12:12">
      <c r="L22" s="14">
        <f ca="1"/>
        <v>45778</v>
      </c>
    </row>
    <row r="23" spans="12:12">
      <c r="L23" s="14">
        <f ca="1"/>
        <v>45815</v>
      </c>
    </row>
    <row r="24" spans="12:12">
      <c r="L24" s="14">
        <f ca="1"/>
        <v>45837</v>
      </c>
    </row>
    <row r="25" spans="12:12">
      <c r="L25" s="14">
        <f ca="1"/>
        <v>45861</v>
      </c>
    </row>
    <row r="26" spans="12:12">
      <c r="L26" s="14">
        <f ca="1"/>
        <v>45866</v>
      </c>
    </row>
    <row r="27" spans="12:12">
      <c r="L27" s="14">
        <f ca="1"/>
        <v>45867</v>
      </c>
    </row>
    <row r="28" spans="12:12">
      <c r="L28" s="14">
        <f ca="1"/>
        <v>45875</v>
      </c>
    </row>
    <row r="29" spans="12:12">
      <c r="L29" s="14">
        <f ca="1"/>
        <v>45899</v>
      </c>
    </row>
    <row r="30" spans="12:12">
      <c r="L30" s="14">
        <f ca="1"/>
        <v>45938</v>
      </c>
    </row>
    <row r="31" spans="12:12">
      <c r="L31" s="14">
        <f ca="1"/>
        <v>45962</v>
      </c>
    </row>
    <row r="32" spans="12:12">
      <c r="L32" s="14">
        <f ca="1"/>
        <v>45999</v>
      </c>
    </row>
    <row r="33" spans="12:12">
      <c r="L33" s="14">
        <f ca="1"/>
        <v>46000</v>
      </c>
    </row>
    <row r="34" spans="12:12">
      <c r="L34" s="14">
        <f ca="1"/>
        <v>46016</v>
      </c>
    </row>
    <row r="35" spans="12:12">
      <c r="L35" s="14">
        <f ca="1"/>
        <v>45292</v>
      </c>
    </row>
    <row r="36" spans="12:12">
      <c r="L36" s="14">
        <f ca="1"/>
        <v>45379</v>
      </c>
    </row>
    <row r="37" spans="12:12">
      <c r="L37" s="14">
        <f ca="1"/>
        <v>45380</v>
      </c>
    </row>
    <row r="38" spans="12:12">
      <c r="L38" s="14">
        <f ca="1"/>
        <v>45413</v>
      </c>
    </row>
    <row r="39" spans="12:12">
      <c r="L39" s="14">
        <f ca="1"/>
        <v>45450</v>
      </c>
    </row>
    <row r="40" spans="12:12">
      <c r="L40" s="14">
        <f ca="1"/>
        <v>45472</v>
      </c>
    </row>
    <row r="41" spans="12:12">
      <c r="L41" s="14">
        <f ca="1"/>
        <v>45496</v>
      </c>
    </row>
    <row r="42" spans="12:12">
      <c r="L42" s="14">
        <f ca="1"/>
        <v>45501</v>
      </c>
    </row>
    <row r="43" spans="12:12">
      <c r="L43" s="14">
        <f ca="1"/>
        <v>45502</v>
      </c>
    </row>
    <row r="44" spans="12:12">
      <c r="L44" s="14">
        <f ca="1"/>
        <v>45510</v>
      </c>
    </row>
    <row r="45" spans="12:12">
      <c r="L45" s="14">
        <f ca="1"/>
        <v>45534</v>
      </c>
    </row>
    <row r="46" spans="12:12">
      <c r="L46" s="14">
        <f ca="1"/>
        <v>45573</v>
      </c>
    </row>
    <row r="47" spans="12:12">
      <c r="L47" s="14">
        <f ca="1"/>
        <v>45597</v>
      </c>
    </row>
    <row r="48" spans="12:12">
      <c r="L48" s="14">
        <f ca="1"/>
        <v>45634</v>
      </c>
    </row>
    <row r="49" spans="12:12">
      <c r="L49" s="14">
        <f ca="1"/>
        <v>45635</v>
      </c>
    </row>
    <row r="50" spans="12:12">
      <c r="L50" s="14">
        <f ca="1"/>
        <v>45651</v>
      </c>
    </row>
    <row r="51" spans="12:12">
      <c r="L51" s="14">
        <f ca="1"/>
        <v>44927</v>
      </c>
    </row>
    <row r="52" spans="12:12">
      <c r="L52" s="14">
        <f ca="1"/>
        <v>45022</v>
      </c>
    </row>
    <row r="53" spans="12:12">
      <c r="L53" s="14">
        <f ca="1"/>
        <v>45023</v>
      </c>
    </row>
    <row r="54" spans="12:12">
      <c r="L54" s="14">
        <f ca="1"/>
        <v>45047</v>
      </c>
    </row>
    <row r="55" spans="12:12">
      <c r="L55" s="14">
        <f ca="1"/>
        <v>45084</v>
      </c>
    </row>
    <row r="56" spans="12:12">
      <c r="L56" s="14">
        <f ca="1"/>
        <v>45106</v>
      </c>
    </row>
    <row r="57" spans="12:12">
      <c r="L57" s="14">
        <f ca="1"/>
        <v>45130</v>
      </c>
    </row>
    <row r="58" spans="12:12">
      <c r="L58" s="14">
        <f ca="1"/>
        <v>45135</v>
      </c>
    </row>
    <row r="59" spans="12:12">
      <c r="L59" s="14">
        <f ca="1"/>
        <v>45136</v>
      </c>
    </row>
    <row r="60" spans="12:12">
      <c r="L60" s="14">
        <f ca="1"/>
        <v>45144</v>
      </c>
    </row>
    <row r="61" spans="12:12">
      <c r="L61" s="14">
        <f ca="1"/>
        <v>45168</v>
      </c>
    </row>
    <row r="62" spans="12:12">
      <c r="L62" s="14">
        <f ca="1"/>
        <v>45207</v>
      </c>
    </row>
    <row r="63" spans="12:12">
      <c r="L63" s="14">
        <f ca="1"/>
        <v>45231</v>
      </c>
    </row>
    <row r="64" spans="12:12">
      <c r="L64" s="14">
        <f ca="1"/>
        <v>45268</v>
      </c>
    </row>
    <row r="65" spans="12:12">
      <c r="L65" s="14">
        <f ca="1"/>
        <v>45269</v>
      </c>
    </row>
    <row r="66" spans="12:12">
      <c r="L66" s="14">
        <f ca="1"/>
        <v>45285</v>
      </c>
    </row>
  </sheetData>
  <hyperlinks>
    <hyperlink ref="H4" r:id="rId1" xr:uid="{74573B65-55CC-43DE-BD4B-A2E30C2E627A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30"/>
  <sheetViews>
    <sheetView workbookViewId="0">
      <selection activeCell="C32" sqref="C32"/>
    </sheetView>
  </sheetViews>
  <sheetFormatPr defaultRowHeight="15"/>
  <cols>
    <col min="2" max="2" width="30" customWidth="1"/>
    <col min="3" max="3" width="14" customWidth="1"/>
  </cols>
  <sheetData>
    <row r="2" spans="2:3">
      <c r="B2" s="4" t="s">
        <v>24</v>
      </c>
    </row>
    <row r="4" spans="2:3">
      <c r="B4" s="1" t="s">
        <v>25</v>
      </c>
      <c r="C4" s="5"/>
    </row>
    <row r="5" spans="2:3">
      <c r="B5" t="s">
        <v>8</v>
      </c>
      <c r="C5">
        <f>COUNTIF(SCTR_Brokers[Broker],"ARTHUR GALLAGHER")</f>
        <v>102</v>
      </c>
    </row>
    <row r="6" spans="2:3">
      <c r="B6" t="s">
        <v>14</v>
      </c>
      <c r="C6">
        <f>COUNTIF(SCTR_Brokers[Broker],"GABEL")</f>
        <v>53</v>
      </c>
    </row>
    <row r="7" spans="2:3">
      <c r="B7" t="s">
        <v>20</v>
      </c>
      <c r="C7">
        <f>COUNTIF(SCTR_Brokers[Broker],"HOWDEN")</f>
        <v>73</v>
      </c>
    </row>
    <row r="8" spans="2:3">
      <c r="B8" t="s">
        <v>21</v>
      </c>
      <c r="C8">
        <f>COUNTIF(SCTR_Brokers[Broker],"MARSH")</f>
        <v>250</v>
      </c>
    </row>
    <row r="9" spans="2:3">
      <c r="B9" t="s">
        <v>23</v>
      </c>
      <c r="C9">
        <f>COUNTIF(SCTR_Brokers[Broker],"UIB")</f>
        <v>51</v>
      </c>
    </row>
    <row r="10" spans="2:3">
      <c r="B10" t="s">
        <v>26</v>
      </c>
      <c r="C10">
        <f>COUNTA(SCTR_Brokers[ConversationId])</f>
        <v>531</v>
      </c>
    </row>
    <row r="12" spans="2:3">
      <c r="B12" s="1" t="s">
        <v>27</v>
      </c>
      <c r="C12" s="5"/>
    </row>
    <row r="13" spans="2:3">
      <c r="B13" t="s">
        <v>28</v>
      </c>
      <c r="C13">
        <f>COUNTA(SCTR_Brokers[ConversationId])-COUNTIF(SCTR_Brokers[Estado],"FINALIZADO")-COUNTIF(SCTR_Brokers[Estado],"SOLICITA INFORMACIÓN")-COUNTIF(SCTR_Brokers[Estado],"INFORMACIÓN ENVIADA")</f>
        <v>18</v>
      </c>
    </row>
    <row r="14" spans="2:3">
      <c r="B14" t="s">
        <v>13</v>
      </c>
      <c r="C14">
        <f>COUNTIF(SCTR_Brokers[Estado],"SOLICITA INFORMACIÓN")</f>
        <v>1</v>
      </c>
    </row>
    <row r="15" spans="2:3">
      <c r="B15" t="s">
        <v>19</v>
      </c>
      <c r="C15">
        <f>COUNTIF(SCTR_Brokers[Estado],"INFORMACIÓN ENVIADA")</f>
        <v>1</v>
      </c>
    </row>
    <row r="16" spans="2:3">
      <c r="B16" t="s">
        <v>7</v>
      </c>
      <c r="C16">
        <f>COUNTIF(SCTR_Brokers[Estado],"FINALIZADO")</f>
        <v>511</v>
      </c>
    </row>
    <row r="19" spans="2:3">
      <c r="B19" s="1" t="str">
        <f>"PLAZO ("&amp;LISTAS!E3&amp;" h)"</f>
        <v>PLAZO (6 h)</v>
      </c>
      <c r="C19" s="5"/>
    </row>
    <row r="20" spans="2:3">
      <c r="B20" t="s">
        <v>29</v>
      </c>
      <c r="C20">
        <f ca="1">SUM(SCTR_Brokers[DentroPlazo_Finalizado])</f>
        <v>379</v>
      </c>
    </row>
    <row r="21" spans="2:3">
      <c r="B21" t="s">
        <v>30</v>
      </c>
      <c r="C21">
        <f ca="1">SUM(SCTR_Brokers[FueraPlazo_Finalizado])</f>
        <v>132</v>
      </c>
    </row>
    <row r="22" spans="2:3">
      <c r="B22" t="s">
        <v>31</v>
      </c>
      <c r="C22">
        <f ca="1">SUM(SCTR_Brokers[PendienteFueraPlazo])</f>
        <v>5</v>
      </c>
    </row>
    <row r="23" spans="2:3">
      <c r="B23" t="s">
        <v>32</v>
      </c>
      <c r="C23" s="6">
        <f ca="1">IFERROR(SUM(SCTR_Brokers[DentroPlazo_Finalizado])/SUM(SCTR_Brokers[EsFinalizado]),"")</f>
        <v>0.7416829745596869</v>
      </c>
    </row>
    <row r="26" spans="2:3">
      <c r="B26" s="1" t="s">
        <v>33</v>
      </c>
      <c r="C26" s="5"/>
    </row>
    <row r="27" spans="2:3">
      <c r="B27" t="s">
        <v>34</v>
      </c>
      <c r="C27">
        <f>SUM(SCTR_Brokers[SolicitoInforme])</f>
        <v>36</v>
      </c>
    </row>
    <row r="28" spans="2:3">
      <c r="B28" t="s">
        <v>35</v>
      </c>
      <c r="C28">
        <f>SUM(SCTR_Brokers[InformeRecibido])</f>
        <v>24</v>
      </c>
    </row>
    <row r="29" spans="2:3">
      <c r="B29" t="s">
        <v>36</v>
      </c>
      <c r="C29">
        <f>SUM(SCTR_Brokers[PendienteDoctor])</f>
        <v>14</v>
      </c>
    </row>
    <row r="30" spans="2:3">
      <c r="B30" t="s">
        <v>37</v>
      </c>
      <c r="C30" s="7">
        <f>IFERROR(AVERAGE(SCTR_Brokers[HorasRespuestaDoctor]),"")</f>
        <v>3.6863636363636361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32"/>
  <sheetViews>
    <sheetView tabSelected="1" workbookViewId="0">
      <pane ySplit="1" topLeftCell="A480" activePane="bottomLeft" state="frozen"/>
      <selection pane="bottomLeft" activeCell="J507" sqref="J507"/>
    </sheetView>
  </sheetViews>
  <sheetFormatPr defaultRowHeight="15"/>
  <cols>
    <col min="1" max="1" width="6.42578125" customWidth="1"/>
    <col min="2" max="2" width="7.7109375" customWidth="1"/>
    <col min="3" max="3" width="8.5703125" customWidth="1"/>
    <col min="4" max="4" width="49.7109375" customWidth="1"/>
    <col min="5" max="7" width="20" customWidth="1"/>
    <col min="8" max="8" width="28" customWidth="1"/>
    <col min="9" max="9" width="11.7109375" bestFit="1" customWidth="1"/>
    <col min="10" max="10" width="29.42578125" customWidth="1"/>
    <col min="11" max="11" width="16" customWidth="1"/>
    <col min="12" max="12" width="50" hidden="1" customWidth="1"/>
    <col min="13" max="13" width="16" customWidth="1"/>
    <col min="14" max="14" width="18" customWidth="1"/>
    <col min="15" max="17" width="20" customWidth="1"/>
    <col min="18" max="19" width="10" customWidth="1"/>
    <col min="20" max="29" width="13" customWidth="1"/>
  </cols>
  <sheetData>
    <row r="1" spans="1:29">
      <c r="A1" s="8" t="s">
        <v>38</v>
      </c>
      <c r="B1" s="8" t="s">
        <v>39</v>
      </c>
      <c r="C1" s="8" t="s">
        <v>40</v>
      </c>
      <c r="D1" s="8" t="s">
        <v>41</v>
      </c>
      <c r="E1" s="8" t="s">
        <v>1</v>
      </c>
      <c r="F1" s="8" t="s">
        <v>42</v>
      </c>
      <c r="G1" s="8" t="s">
        <v>43</v>
      </c>
      <c r="H1" s="8" t="s">
        <v>44</v>
      </c>
      <c r="I1" s="8" t="s">
        <v>0</v>
      </c>
      <c r="J1" s="8" t="s">
        <v>45</v>
      </c>
      <c r="K1" s="8" t="s">
        <v>46</v>
      </c>
      <c r="L1" s="8" t="s">
        <v>47</v>
      </c>
      <c r="M1" s="8" t="s">
        <v>48</v>
      </c>
      <c r="N1" s="8" t="s">
        <v>49</v>
      </c>
      <c r="O1" s="8" t="s">
        <v>50</v>
      </c>
      <c r="P1" s="8" t="s">
        <v>51</v>
      </c>
      <c r="Q1" s="8" t="s">
        <v>52</v>
      </c>
      <c r="R1" s="8" t="s">
        <v>5</v>
      </c>
      <c r="S1" s="8" t="s">
        <v>53</v>
      </c>
      <c r="T1" s="8" t="s">
        <v>54</v>
      </c>
      <c r="U1" s="8" t="s">
        <v>55</v>
      </c>
      <c r="V1" s="8" t="s">
        <v>56</v>
      </c>
      <c r="W1" s="8" t="s">
        <v>57</v>
      </c>
      <c r="X1" s="8" t="s">
        <v>58</v>
      </c>
      <c r="Y1" s="8" t="s">
        <v>59</v>
      </c>
      <c r="Z1" s="8" t="s">
        <v>60</v>
      </c>
      <c r="AA1" s="8" t="s">
        <v>61</v>
      </c>
      <c r="AB1" s="8" t="s">
        <v>62</v>
      </c>
      <c r="AC1" s="8" t="s">
        <v>63</v>
      </c>
    </row>
    <row r="2" spans="1:29" hidden="1">
      <c r="A2" t="s">
        <v>64</v>
      </c>
      <c r="C2" t="str">
        <f>IF(SCTR_Brokers[[#This Row],[FechaRecepcion]]="","",SCTR_Brokers[[#This Row],[ConversationId]]&amp;"-"&amp;TEXT(SCTR_Brokers[[#This Row],[FechaRecepcion]],"aaaammddhhmmss"))</f>
        <v>AAQkADdkNThjNzFkLWM0ZmMtNDJhYS04MDVlLTIwNzE4ZDI1Mzg4YgAQAJce04pfmOxCjc66JQ_YqAI=-20260813130900</v>
      </c>
      <c r="D2" t="s">
        <v>65</v>
      </c>
      <c r="E2" t="s">
        <v>21</v>
      </c>
      <c r="F2" s="3">
        <v>46247.54791666667</v>
      </c>
      <c r="G2" s="3">
        <v>46247.616516203707</v>
      </c>
      <c r="H2" t="s">
        <v>66</v>
      </c>
      <c r="I2" t="s">
        <v>7</v>
      </c>
      <c r="K2" t="s">
        <v>67</v>
      </c>
      <c r="N2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" s="3"/>
      <c r="P2" s="3"/>
      <c r="Q2" s="3">
        <v>46247.618055555555</v>
      </c>
      <c r="R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" t="str">
        <f>IF(SCTR_Brokers[[#This Row],[FechaRecepcion]]="","",TEXT(SCTR_Brokers[[#This Row],[FechaRecepcion]],"mmmm")&amp;" "&amp;YEAR(SCTR_Brokers[[#This Row],[FechaRecepcion]]))</f>
        <v>agosto 2026</v>
      </c>
      <c r="U2">
        <f>IF(SCTR_Brokers[[#This Row],[Estado]]="FINALIZADO",1,0)</f>
        <v>1</v>
      </c>
      <c r="V2">
        <f>IF(SCTR_Brokers[[#This Row],[FechaRecepcion]]="","",IF(SCTR_Brokers[[#This Row],[Estado]]="FINALIZADO",0,1))</f>
        <v>0</v>
      </c>
      <c r="W2">
        <f ca="1">IF(AND(SCTR_Brokers[[#This Row],[Estado]]="FINALIZADO",SCTR_Brokers[[#This Row],[Plazo]]=LISTAS!$J$3),1,0)</f>
        <v>1</v>
      </c>
      <c r="X2">
        <f ca="1">IF(AND(SCTR_Brokers[[#This Row],[Estado]]="FINALIZADO",SCTR_Brokers[[#This Row],[Plazo]]=LISTAS!$J$4),1,0)</f>
        <v>0</v>
      </c>
      <c r="Y2">
        <f ca="1">IF(AND(SCTR_Brokers[[#This Row],[Estado]]&lt;&gt;"FINALIZADO",SCTR_Brokers[[#This Row],[Plazo]]=LISTAS!$J$4),1,0)</f>
        <v>0</v>
      </c>
      <c r="Z2">
        <f>IF(SCTR_Brokers[[#This Row],[Fecha_Solic_Informe]]="",0,1)</f>
        <v>0</v>
      </c>
      <c r="AA2">
        <f>IF(SCTR_Brokers[[#This Row],[Fecha_Informe]]="",0,1)</f>
        <v>0</v>
      </c>
      <c r="AB2">
        <f>IF(AND(SCTR_Brokers[[#This Row],[Fecha_Solic_Informe]]&lt;&gt;"",SCTR_Brokers[[#This Row],[Fecha_Informe]]=""),1,0)</f>
        <v>0</v>
      </c>
      <c r="AC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" spans="1:29" hidden="1">
      <c r="A3" t="s">
        <v>68</v>
      </c>
      <c r="C3" t="str">
        <f>IF(SCTR_Brokers[[#This Row],[FechaRecepcion]]="","",SCTR_Brokers[[#This Row],[ConversationId]]&amp;"-"&amp;TEXT(SCTR_Brokers[[#This Row],[FechaRecepcion]],"aaaammddhhmmss"))</f>
        <v>AAQkADdkNThjNzFkLWM0ZmMtNDJhYS04MDVlLTIwNzE4ZDI1Mzg4YgAQAH-nDgfBdEb_vQ6M26ET90Q=-20260813150331</v>
      </c>
      <c r="D3" t="s">
        <v>69</v>
      </c>
      <c r="E3" t="s">
        <v>14</v>
      </c>
      <c r="F3" s="3">
        <v>46247.627442129633</v>
      </c>
      <c r="G3" s="3">
        <v>46247.694155092591</v>
      </c>
      <c r="H3" t="s">
        <v>70</v>
      </c>
      <c r="I3" t="s">
        <v>7</v>
      </c>
      <c r="K3" t="s">
        <v>67</v>
      </c>
      <c r="N3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" s="3"/>
      <c r="P3" s="3"/>
      <c r="Q3" s="3">
        <v>46247.694155092591</v>
      </c>
      <c r="R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" t="str">
        <f>IF(SCTR_Brokers[[#This Row],[FechaRecepcion]]="","",TEXT(SCTR_Brokers[[#This Row],[FechaRecepcion]],"mmmm")&amp;" "&amp;YEAR(SCTR_Brokers[[#This Row],[FechaRecepcion]]))</f>
        <v>agosto 2026</v>
      </c>
      <c r="U3">
        <f>IF(SCTR_Brokers[[#This Row],[Estado]]="FINALIZADO",1,0)</f>
        <v>1</v>
      </c>
      <c r="V3">
        <f>IF(SCTR_Brokers[[#This Row],[FechaRecepcion]]="","",IF(SCTR_Brokers[[#This Row],[Estado]]="FINALIZADO",0,1))</f>
        <v>0</v>
      </c>
      <c r="W3">
        <f ca="1">IF(AND(SCTR_Brokers[[#This Row],[Estado]]="FINALIZADO",SCTR_Brokers[[#This Row],[Plazo]]=LISTAS!$J$3),1,0)</f>
        <v>1</v>
      </c>
      <c r="X3">
        <f ca="1">IF(AND(SCTR_Brokers[[#This Row],[Estado]]="FINALIZADO",SCTR_Brokers[[#This Row],[Plazo]]=LISTAS!$J$4),1,0)</f>
        <v>0</v>
      </c>
      <c r="Y3">
        <f ca="1">IF(AND(SCTR_Brokers[[#This Row],[Estado]]&lt;&gt;"FINALIZADO",SCTR_Brokers[[#This Row],[Plazo]]=LISTAS!$J$4),1,0)</f>
        <v>0</v>
      </c>
      <c r="Z3">
        <f>IF(SCTR_Brokers[[#This Row],[Fecha_Solic_Informe]]="",0,1)</f>
        <v>0</v>
      </c>
      <c r="AA3">
        <f>IF(SCTR_Brokers[[#This Row],[Fecha_Informe]]="",0,1)</f>
        <v>0</v>
      </c>
      <c r="AB3">
        <f>IF(AND(SCTR_Brokers[[#This Row],[Fecha_Solic_Informe]]&lt;&gt;"",SCTR_Brokers[[#This Row],[Fecha_Informe]]=""),1,0)</f>
        <v>0</v>
      </c>
      <c r="AC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" spans="1:29" hidden="1">
      <c r="A4" t="s">
        <v>71</v>
      </c>
      <c r="C4" t="str">
        <f>IF(SCTR_Brokers[[#This Row],[FechaRecepcion]]="","",SCTR_Brokers[[#This Row],[ConversationId]]&amp;"-"&amp;TEXT(SCTR_Brokers[[#This Row],[FechaRecepcion]],"aaaammddhhmmss"))</f>
        <v>AAQkADdkNThjNzFkLWM0ZmMtNDJhYS04MDVlLTIwNzE4ZDI1Mzg4YgAQAJt1sQcA00SYr0ix69nzDCs=-20260813152212</v>
      </c>
      <c r="D4" t="s">
        <v>72</v>
      </c>
      <c r="E4" t="s">
        <v>8</v>
      </c>
      <c r="F4" s="3">
        <v>46247.640416666669</v>
      </c>
      <c r="G4" s="3">
        <v>46251.334467592591</v>
      </c>
      <c r="H4" t="s">
        <v>73</v>
      </c>
      <c r="I4" t="s">
        <v>7</v>
      </c>
      <c r="K4" t="s">
        <v>67</v>
      </c>
      <c r="N4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" s="3"/>
      <c r="P4" s="3"/>
      <c r="Q4" s="3">
        <v>46251.334467592591</v>
      </c>
      <c r="R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4" t="str">
        <f>IF(SCTR_Brokers[[#This Row],[FechaRecepcion]]="","",TEXT(SCTR_Brokers[[#This Row],[FechaRecepcion]],"mmmm")&amp;" "&amp;YEAR(SCTR_Brokers[[#This Row],[FechaRecepcion]]))</f>
        <v>agosto 2026</v>
      </c>
      <c r="U4">
        <f>IF(SCTR_Brokers[[#This Row],[Estado]]="FINALIZADO",1,0)</f>
        <v>1</v>
      </c>
      <c r="V4">
        <f>IF(SCTR_Brokers[[#This Row],[FechaRecepcion]]="","",IF(SCTR_Brokers[[#This Row],[Estado]]="FINALIZADO",0,1))</f>
        <v>0</v>
      </c>
      <c r="W4">
        <f ca="1">IF(AND(SCTR_Brokers[[#This Row],[Estado]]="FINALIZADO",SCTR_Brokers[[#This Row],[Plazo]]=LISTAS!$J$3),1,0)</f>
        <v>0</v>
      </c>
      <c r="X4">
        <f ca="1">IF(AND(SCTR_Brokers[[#This Row],[Estado]]="FINALIZADO",SCTR_Brokers[[#This Row],[Plazo]]=LISTAS!$J$4),1,0)</f>
        <v>1</v>
      </c>
      <c r="Y4">
        <f ca="1">IF(AND(SCTR_Brokers[[#This Row],[Estado]]&lt;&gt;"FINALIZADO",SCTR_Brokers[[#This Row],[Plazo]]=LISTAS!$J$4),1,0)</f>
        <v>0</v>
      </c>
      <c r="Z4">
        <f>IF(SCTR_Brokers[[#This Row],[Fecha_Solic_Informe]]="",0,1)</f>
        <v>0</v>
      </c>
      <c r="AA4">
        <f>IF(SCTR_Brokers[[#This Row],[Fecha_Informe]]="",0,1)</f>
        <v>0</v>
      </c>
      <c r="AB4">
        <f>IF(AND(SCTR_Brokers[[#This Row],[Fecha_Solic_Informe]]&lt;&gt;"",SCTR_Brokers[[#This Row],[Fecha_Informe]]=""),1,0)</f>
        <v>0</v>
      </c>
      <c r="AC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" spans="1:29" hidden="1">
      <c r="A5" t="s">
        <v>74</v>
      </c>
      <c r="C5" t="str">
        <f>IF(SCTR_Brokers[[#This Row],[FechaRecepcion]]="","",SCTR_Brokers[[#This Row],[ConversationId]]&amp;"-"&amp;TEXT(SCTR_Brokers[[#This Row],[FechaRecepcion]],"aaaammddhhmmss"))</f>
        <v>AAQkADdkNThjNzFkLWM0ZmMtNDJhYS04MDVlLTIwNzE4ZDI1Mzg4YgAQAO6d2gmjtd5Kpw0zInaJXh8=-20260813160806</v>
      </c>
      <c r="D5" t="s">
        <v>75</v>
      </c>
      <c r="E5" t="s">
        <v>21</v>
      </c>
      <c r="F5" s="3">
        <v>46247.672291666669</v>
      </c>
      <c r="G5" s="3">
        <v>46247.706331018519</v>
      </c>
      <c r="H5" t="s">
        <v>70</v>
      </c>
      <c r="I5" t="s">
        <v>7</v>
      </c>
      <c r="K5" t="s">
        <v>67</v>
      </c>
      <c r="N5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" s="3"/>
      <c r="P5" s="3"/>
      <c r="Q5" s="3">
        <v>46247.706331018519</v>
      </c>
      <c r="R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" t="str">
        <f>IF(SCTR_Brokers[[#This Row],[FechaRecepcion]]="","",TEXT(SCTR_Brokers[[#This Row],[FechaRecepcion]],"mmmm")&amp;" "&amp;YEAR(SCTR_Brokers[[#This Row],[FechaRecepcion]]))</f>
        <v>agosto 2026</v>
      </c>
      <c r="U5">
        <f>IF(SCTR_Brokers[[#This Row],[Estado]]="FINALIZADO",1,0)</f>
        <v>1</v>
      </c>
      <c r="V5">
        <f>IF(SCTR_Brokers[[#This Row],[FechaRecepcion]]="","",IF(SCTR_Brokers[[#This Row],[Estado]]="FINALIZADO",0,1))</f>
        <v>0</v>
      </c>
      <c r="W5">
        <f ca="1">IF(AND(SCTR_Brokers[[#This Row],[Estado]]="FINALIZADO",SCTR_Brokers[[#This Row],[Plazo]]=LISTAS!$J$3),1,0)</f>
        <v>1</v>
      </c>
      <c r="X5">
        <f ca="1">IF(AND(SCTR_Brokers[[#This Row],[Estado]]="FINALIZADO",SCTR_Brokers[[#This Row],[Plazo]]=LISTAS!$J$4),1,0)</f>
        <v>0</v>
      </c>
      <c r="Y5">
        <f ca="1">IF(AND(SCTR_Brokers[[#This Row],[Estado]]&lt;&gt;"FINALIZADO",SCTR_Brokers[[#This Row],[Plazo]]=LISTAS!$J$4),1,0)</f>
        <v>0</v>
      </c>
      <c r="Z5">
        <f>IF(SCTR_Brokers[[#This Row],[Fecha_Solic_Informe]]="",0,1)</f>
        <v>0</v>
      </c>
      <c r="AA5">
        <f>IF(SCTR_Brokers[[#This Row],[Fecha_Informe]]="",0,1)</f>
        <v>0</v>
      </c>
      <c r="AB5">
        <f>IF(AND(SCTR_Brokers[[#This Row],[Fecha_Solic_Informe]]&lt;&gt;"",SCTR_Brokers[[#This Row],[Fecha_Informe]]=""),1,0)</f>
        <v>0</v>
      </c>
      <c r="AC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6" spans="1:29" hidden="1">
      <c r="A6" t="s">
        <v>76</v>
      </c>
      <c r="C6" t="str">
        <f>IF(SCTR_Brokers[[#This Row],[FechaRecepcion]]="","",SCTR_Brokers[[#This Row],[ConversationId]]&amp;"-"&amp;TEXT(SCTR_Brokers[[#This Row],[FechaRecepcion]],"aaaammddhhmmss"))</f>
        <v>AAQkADdkNThjNzFkLWM0ZmMtNDJhYS04MDVlLTIwNzE4ZDI1Mzg4YgAQAJbH0u8xpU60thd9UB-4onM=-20260813165004</v>
      </c>
      <c r="D6" t="s">
        <v>77</v>
      </c>
      <c r="E6" t="s">
        <v>21</v>
      </c>
      <c r="F6" s="3">
        <v>46247.701435185183</v>
      </c>
      <c r="G6" s="3">
        <v>46247.711400462962</v>
      </c>
      <c r="H6" t="s">
        <v>70</v>
      </c>
      <c r="I6" t="s">
        <v>7</v>
      </c>
      <c r="K6" t="s">
        <v>67</v>
      </c>
      <c r="N6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6" s="3"/>
      <c r="P6" s="3"/>
      <c r="Q6" s="3">
        <v>46247.711400462962</v>
      </c>
      <c r="R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6" t="str">
        <f>IF(SCTR_Brokers[[#This Row],[FechaRecepcion]]="","",TEXT(SCTR_Brokers[[#This Row],[FechaRecepcion]],"mmmm")&amp;" "&amp;YEAR(SCTR_Brokers[[#This Row],[FechaRecepcion]]))</f>
        <v>agosto 2026</v>
      </c>
      <c r="U6">
        <f>IF(SCTR_Brokers[[#This Row],[Estado]]="FINALIZADO",1,0)</f>
        <v>1</v>
      </c>
      <c r="V6">
        <f>IF(SCTR_Brokers[[#This Row],[FechaRecepcion]]="","",IF(SCTR_Brokers[[#This Row],[Estado]]="FINALIZADO",0,1))</f>
        <v>0</v>
      </c>
      <c r="W6">
        <f ca="1">IF(AND(SCTR_Brokers[[#This Row],[Estado]]="FINALIZADO",SCTR_Brokers[[#This Row],[Plazo]]=LISTAS!$J$3),1,0)</f>
        <v>1</v>
      </c>
      <c r="X6">
        <f ca="1">IF(AND(SCTR_Brokers[[#This Row],[Estado]]="FINALIZADO",SCTR_Brokers[[#This Row],[Plazo]]=LISTAS!$J$4),1,0)</f>
        <v>0</v>
      </c>
      <c r="Y6">
        <f ca="1">IF(AND(SCTR_Brokers[[#This Row],[Estado]]&lt;&gt;"FINALIZADO",SCTR_Brokers[[#This Row],[Plazo]]=LISTAS!$J$4),1,0)</f>
        <v>0</v>
      </c>
      <c r="Z6">
        <f>IF(SCTR_Brokers[[#This Row],[Fecha_Solic_Informe]]="",0,1)</f>
        <v>0</v>
      </c>
      <c r="AA6">
        <f>IF(SCTR_Brokers[[#This Row],[Fecha_Informe]]="",0,1)</f>
        <v>0</v>
      </c>
      <c r="AB6">
        <f>IF(AND(SCTR_Brokers[[#This Row],[Fecha_Solic_Informe]]&lt;&gt;"",SCTR_Brokers[[#This Row],[Fecha_Informe]]=""),1,0)</f>
        <v>0</v>
      </c>
      <c r="AC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7" spans="1:29" hidden="1">
      <c r="A7" t="s">
        <v>78</v>
      </c>
      <c r="C7" t="str">
        <f>IF(SCTR_Brokers[[#This Row],[FechaRecepcion]]="","",SCTR_Brokers[[#This Row],[ConversationId]]&amp;"-"&amp;TEXT(SCTR_Brokers[[#This Row],[FechaRecepcion]],"aaaammddhhmmss"))</f>
        <v>AAQkADdkNThjNzFkLWM0ZmMtNDJhYS04MDVlLTIwNzE4ZDI1Mzg4YgAQAKj4wOyC3j1JjF2bNr2RW68=-20260813172429</v>
      </c>
      <c r="D7" t="s">
        <v>79</v>
      </c>
      <c r="E7" t="s">
        <v>21</v>
      </c>
      <c r="F7" s="3">
        <v>46247.725335648145</v>
      </c>
      <c r="G7" s="3">
        <v>46248.498460648145</v>
      </c>
      <c r="H7" t="s">
        <v>70</v>
      </c>
      <c r="I7" t="s">
        <v>7</v>
      </c>
      <c r="K7" t="s">
        <v>67</v>
      </c>
      <c r="N7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7" s="3"/>
      <c r="P7" s="3"/>
      <c r="Q7" s="3">
        <v>46248.498460648145</v>
      </c>
      <c r="R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7" t="str">
        <f>IF(SCTR_Brokers[[#This Row],[FechaRecepcion]]="","",TEXT(SCTR_Brokers[[#This Row],[FechaRecepcion]],"mmmm")&amp;" "&amp;YEAR(SCTR_Brokers[[#This Row],[FechaRecepcion]]))</f>
        <v>agosto 2026</v>
      </c>
      <c r="U7">
        <f>IF(SCTR_Brokers[[#This Row],[Estado]]="FINALIZADO",1,0)</f>
        <v>1</v>
      </c>
      <c r="V7">
        <f>IF(SCTR_Brokers[[#This Row],[FechaRecepcion]]="","",IF(SCTR_Brokers[[#This Row],[Estado]]="FINALIZADO",0,1))</f>
        <v>0</v>
      </c>
      <c r="W7">
        <f ca="1">IF(AND(SCTR_Brokers[[#This Row],[Estado]]="FINALIZADO",SCTR_Brokers[[#This Row],[Plazo]]=LISTAS!$J$3),1,0)</f>
        <v>1</v>
      </c>
      <c r="X7">
        <f ca="1">IF(AND(SCTR_Brokers[[#This Row],[Estado]]="FINALIZADO",SCTR_Brokers[[#This Row],[Plazo]]=LISTAS!$J$4),1,0)</f>
        <v>0</v>
      </c>
      <c r="Y7">
        <f ca="1">IF(AND(SCTR_Brokers[[#This Row],[Estado]]&lt;&gt;"FINALIZADO",SCTR_Brokers[[#This Row],[Plazo]]=LISTAS!$J$4),1,0)</f>
        <v>0</v>
      </c>
      <c r="Z7">
        <f>IF(SCTR_Brokers[[#This Row],[Fecha_Solic_Informe]]="",0,1)</f>
        <v>0</v>
      </c>
      <c r="AA7">
        <f>IF(SCTR_Brokers[[#This Row],[Fecha_Informe]]="",0,1)</f>
        <v>0</v>
      </c>
      <c r="AB7">
        <f>IF(AND(SCTR_Brokers[[#This Row],[Fecha_Solic_Informe]]&lt;&gt;"",SCTR_Brokers[[#This Row],[Fecha_Informe]]=""),1,0)</f>
        <v>0</v>
      </c>
      <c r="AC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8" spans="1:29" hidden="1">
      <c r="A8" t="s">
        <v>80</v>
      </c>
      <c r="C8" t="str">
        <f>IF(SCTR_Brokers[[#This Row],[FechaRecepcion]]="","",SCTR_Brokers[[#This Row],[ConversationId]]&amp;"-"&amp;TEXT(SCTR_Brokers[[#This Row],[FechaRecepcion]],"aaaammddhhmmss"))</f>
        <v>AAQkADdkNThjNzFkLWM0ZmMtNDJhYS04MDVlLTIwNzE4ZDI1Mzg4YgAQAEWL9Z2HU35Ah8_6EELq5Sc=-20260813173727</v>
      </c>
      <c r="D8" t="s">
        <v>81</v>
      </c>
      <c r="E8" t="s">
        <v>8</v>
      </c>
      <c r="F8" s="3">
        <v>46247.734340277777</v>
      </c>
      <c r="G8" s="3">
        <v>46247.748599537037</v>
      </c>
      <c r="H8" t="s">
        <v>70</v>
      </c>
      <c r="I8" t="s">
        <v>7</v>
      </c>
      <c r="K8" t="s">
        <v>67</v>
      </c>
      <c r="N8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8" s="3"/>
      <c r="P8" s="3"/>
      <c r="Q8" s="3">
        <v>46247.748599537037</v>
      </c>
      <c r="R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8" t="str">
        <f>IF(SCTR_Brokers[[#This Row],[FechaRecepcion]]="","",TEXT(SCTR_Brokers[[#This Row],[FechaRecepcion]],"mmmm")&amp;" "&amp;YEAR(SCTR_Brokers[[#This Row],[FechaRecepcion]]))</f>
        <v>agosto 2026</v>
      </c>
      <c r="U8">
        <f>IF(SCTR_Brokers[[#This Row],[Estado]]="FINALIZADO",1,0)</f>
        <v>1</v>
      </c>
      <c r="V8">
        <f>IF(SCTR_Brokers[[#This Row],[FechaRecepcion]]="","",IF(SCTR_Brokers[[#This Row],[Estado]]="FINALIZADO",0,1))</f>
        <v>0</v>
      </c>
      <c r="W8">
        <f ca="1">IF(AND(SCTR_Brokers[[#This Row],[Estado]]="FINALIZADO",SCTR_Brokers[[#This Row],[Plazo]]=LISTAS!$J$3),1,0)</f>
        <v>1</v>
      </c>
      <c r="X8">
        <f ca="1">IF(AND(SCTR_Brokers[[#This Row],[Estado]]="FINALIZADO",SCTR_Brokers[[#This Row],[Plazo]]=LISTAS!$J$4),1,0)</f>
        <v>0</v>
      </c>
      <c r="Y8">
        <f ca="1">IF(AND(SCTR_Brokers[[#This Row],[Estado]]&lt;&gt;"FINALIZADO",SCTR_Brokers[[#This Row],[Plazo]]=LISTAS!$J$4),1,0)</f>
        <v>0</v>
      </c>
      <c r="Z8">
        <f>IF(SCTR_Brokers[[#This Row],[Fecha_Solic_Informe]]="",0,1)</f>
        <v>0</v>
      </c>
      <c r="AA8">
        <f>IF(SCTR_Brokers[[#This Row],[Fecha_Informe]]="",0,1)</f>
        <v>0</v>
      </c>
      <c r="AB8">
        <f>IF(AND(SCTR_Brokers[[#This Row],[Fecha_Solic_Informe]]&lt;&gt;"",SCTR_Brokers[[#This Row],[Fecha_Informe]]=""),1,0)</f>
        <v>0</v>
      </c>
      <c r="AC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9" spans="1:29" hidden="1">
      <c r="A9" t="s">
        <v>82</v>
      </c>
      <c r="C9" t="str">
        <f>IF(SCTR_Brokers[[#This Row],[FechaRecepcion]]="","",SCTR_Brokers[[#This Row],[ConversationId]]&amp;"-"&amp;TEXT(SCTR_Brokers[[#This Row],[FechaRecepcion]],"aaaammddhhmmss"))</f>
        <v>AAQkADdkNThjNzFkLWM0ZmMtNDJhYS04MDVlLTIwNzE4ZDI1Mzg4YgAQAEvkGJ0JTE4hpm6yW1eczK8=-20260813174900</v>
      </c>
      <c r="D9" t="s">
        <v>83</v>
      </c>
      <c r="E9" t="s">
        <v>20</v>
      </c>
      <c r="F9" s="3">
        <v>46247.742361111108</v>
      </c>
      <c r="G9" s="3">
        <v>46251.47446759259</v>
      </c>
      <c r="H9" t="s">
        <v>70</v>
      </c>
      <c r="I9" t="s">
        <v>7</v>
      </c>
      <c r="K9" t="s">
        <v>67</v>
      </c>
      <c r="N9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9" s="3"/>
      <c r="P9" s="3"/>
      <c r="Q9" s="3">
        <v>46251.47446759259</v>
      </c>
      <c r="R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9" t="str">
        <f>IF(SCTR_Brokers[[#This Row],[FechaRecepcion]]="","",TEXT(SCTR_Brokers[[#This Row],[FechaRecepcion]],"mmmm")&amp;" "&amp;YEAR(SCTR_Brokers[[#This Row],[FechaRecepcion]]))</f>
        <v>agosto 2026</v>
      </c>
      <c r="U9">
        <f>IF(SCTR_Brokers[[#This Row],[Estado]]="FINALIZADO",1,0)</f>
        <v>1</v>
      </c>
      <c r="V9">
        <f>IF(SCTR_Brokers[[#This Row],[FechaRecepcion]]="","",IF(SCTR_Brokers[[#This Row],[Estado]]="FINALIZADO",0,1))</f>
        <v>0</v>
      </c>
      <c r="W9">
        <f ca="1">IF(AND(SCTR_Brokers[[#This Row],[Estado]]="FINALIZADO",SCTR_Brokers[[#This Row],[Plazo]]=LISTAS!$J$3),1,0)</f>
        <v>0</v>
      </c>
      <c r="X9">
        <f ca="1">IF(AND(SCTR_Brokers[[#This Row],[Estado]]="FINALIZADO",SCTR_Brokers[[#This Row],[Plazo]]=LISTAS!$J$4),1,0)</f>
        <v>1</v>
      </c>
      <c r="Y9">
        <f ca="1">IF(AND(SCTR_Brokers[[#This Row],[Estado]]&lt;&gt;"FINALIZADO",SCTR_Brokers[[#This Row],[Plazo]]=LISTAS!$J$4),1,0)</f>
        <v>0</v>
      </c>
      <c r="Z9">
        <f>IF(SCTR_Brokers[[#This Row],[Fecha_Solic_Informe]]="",0,1)</f>
        <v>0</v>
      </c>
      <c r="AA9">
        <f>IF(SCTR_Brokers[[#This Row],[Fecha_Informe]]="",0,1)</f>
        <v>0</v>
      </c>
      <c r="AB9">
        <f>IF(AND(SCTR_Brokers[[#This Row],[Fecha_Solic_Informe]]&lt;&gt;"",SCTR_Brokers[[#This Row],[Fecha_Informe]]=""),1,0)</f>
        <v>0</v>
      </c>
      <c r="AC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0" spans="1:29" hidden="1">
      <c r="A10" t="s">
        <v>84</v>
      </c>
      <c r="C10" t="str">
        <f>IF(SCTR_Brokers[[#This Row],[FechaRecepcion]]="","",SCTR_Brokers[[#This Row],[ConversationId]]&amp;"-"&amp;TEXT(SCTR_Brokers[[#This Row],[FechaRecepcion]],"aaaammddhhmmss"))</f>
        <v>AAQkADdkNThjNzFkLWM0ZmMtNDJhYS04MDVlLTIwNzE4ZDI1Mzg4YgAQAIcHvAvKE042nOSk-cjbPIc=-20260813220218</v>
      </c>
      <c r="D10" t="s">
        <v>85</v>
      </c>
      <c r="E10" t="s">
        <v>8</v>
      </c>
      <c r="F10" s="3">
        <v>46247.918263888889</v>
      </c>
      <c r="G10" s="3">
        <v>46248.546620370369</v>
      </c>
      <c r="H10" t="s">
        <v>70</v>
      </c>
      <c r="I10" t="s">
        <v>7</v>
      </c>
      <c r="K10" t="s">
        <v>67</v>
      </c>
      <c r="N10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0" s="3"/>
      <c r="P10" s="3"/>
      <c r="Q10" s="3">
        <v>46248.546620370369</v>
      </c>
      <c r="R1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0" t="str">
        <f>IF(SCTR_Brokers[[#This Row],[FechaRecepcion]]="","",TEXT(SCTR_Brokers[[#This Row],[FechaRecepcion]],"mmmm")&amp;" "&amp;YEAR(SCTR_Brokers[[#This Row],[FechaRecepcion]]))</f>
        <v>agosto 2026</v>
      </c>
      <c r="U10">
        <f>IF(SCTR_Brokers[[#This Row],[Estado]]="FINALIZADO",1,0)</f>
        <v>1</v>
      </c>
      <c r="V10">
        <f>IF(SCTR_Brokers[[#This Row],[FechaRecepcion]]="","",IF(SCTR_Brokers[[#This Row],[Estado]]="FINALIZADO",0,1))</f>
        <v>0</v>
      </c>
      <c r="W10">
        <f ca="1">IF(AND(SCTR_Brokers[[#This Row],[Estado]]="FINALIZADO",SCTR_Brokers[[#This Row],[Plazo]]=LISTAS!$J$3),1,0)</f>
        <v>1</v>
      </c>
      <c r="X10">
        <f ca="1">IF(AND(SCTR_Brokers[[#This Row],[Estado]]="FINALIZADO",SCTR_Brokers[[#This Row],[Plazo]]=LISTAS!$J$4),1,0)</f>
        <v>0</v>
      </c>
      <c r="Y10">
        <f ca="1">IF(AND(SCTR_Brokers[[#This Row],[Estado]]&lt;&gt;"FINALIZADO",SCTR_Brokers[[#This Row],[Plazo]]=LISTAS!$J$4),1,0)</f>
        <v>0</v>
      </c>
      <c r="Z10">
        <f>IF(SCTR_Brokers[[#This Row],[Fecha_Solic_Informe]]="",0,1)</f>
        <v>0</v>
      </c>
      <c r="AA10">
        <f>IF(SCTR_Brokers[[#This Row],[Fecha_Informe]]="",0,1)</f>
        <v>0</v>
      </c>
      <c r="AB10">
        <f>IF(AND(SCTR_Brokers[[#This Row],[Fecha_Solic_Informe]]&lt;&gt;"",SCTR_Brokers[[#This Row],[Fecha_Informe]]=""),1,0)</f>
        <v>0</v>
      </c>
      <c r="AC1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1" spans="1:29" hidden="1">
      <c r="A11" t="s">
        <v>86</v>
      </c>
      <c r="C11" t="str">
        <f>IF(SCTR_Brokers[[#This Row],[FechaRecepcion]]="","",SCTR_Brokers[[#This Row],[ConversationId]]&amp;"-"&amp;TEXT(SCTR_Brokers[[#This Row],[FechaRecepcion]],"aaaammddhhmmss"))</f>
        <v>AAQkADdkNThjNzFkLWM0ZmMtNDJhYS04MDVlLTIwNzE4ZDI1Mzg4YgAQAE6KChvywltLjo3Y0Mnsb3U=-20260813220517</v>
      </c>
      <c r="D11" t="s">
        <v>87</v>
      </c>
      <c r="E11" t="s">
        <v>8</v>
      </c>
      <c r="F11" s="3">
        <v>46247.920335648145</v>
      </c>
      <c r="G11" s="3">
        <v>46248.537951388891</v>
      </c>
      <c r="H11" t="s">
        <v>70</v>
      </c>
      <c r="I11" t="s">
        <v>7</v>
      </c>
      <c r="K11" t="s">
        <v>67</v>
      </c>
      <c r="N11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1" s="3"/>
      <c r="P11" s="3"/>
      <c r="Q11" s="3">
        <v>46248.537951388891</v>
      </c>
      <c r="R1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1" t="str">
        <f>IF(SCTR_Brokers[[#This Row],[FechaRecepcion]]="","",TEXT(SCTR_Brokers[[#This Row],[FechaRecepcion]],"mmmm")&amp;" "&amp;YEAR(SCTR_Brokers[[#This Row],[FechaRecepcion]]))</f>
        <v>agosto 2026</v>
      </c>
      <c r="U11">
        <f>IF(SCTR_Brokers[[#This Row],[Estado]]="FINALIZADO",1,0)</f>
        <v>1</v>
      </c>
      <c r="V11">
        <f>IF(SCTR_Brokers[[#This Row],[FechaRecepcion]]="","",IF(SCTR_Brokers[[#This Row],[Estado]]="FINALIZADO",0,1))</f>
        <v>0</v>
      </c>
      <c r="W11">
        <f ca="1">IF(AND(SCTR_Brokers[[#This Row],[Estado]]="FINALIZADO",SCTR_Brokers[[#This Row],[Plazo]]=LISTAS!$J$3),1,0)</f>
        <v>1</v>
      </c>
      <c r="X11">
        <f ca="1">IF(AND(SCTR_Brokers[[#This Row],[Estado]]="FINALIZADO",SCTR_Brokers[[#This Row],[Plazo]]=LISTAS!$J$4),1,0)</f>
        <v>0</v>
      </c>
      <c r="Y11">
        <f ca="1">IF(AND(SCTR_Brokers[[#This Row],[Estado]]&lt;&gt;"FINALIZADO",SCTR_Brokers[[#This Row],[Plazo]]=LISTAS!$J$4),1,0)</f>
        <v>0</v>
      </c>
      <c r="Z11">
        <f>IF(SCTR_Brokers[[#This Row],[Fecha_Solic_Informe]]="",0,1)</f>
        <v>0</v>
      </c>
      <c r="AA11">
        <f>IF(SCTR_Brokers[[#This Row],[Fecha_Informe]]="",0,1)</f>
        <v>0</v>
      </c>
      <c r="AB11">
        <f>IF(AND(SCTR_Brokers[[#This Row],[Fecha_Solic_Informe]]&lt;&gt;"",SCTR_Brokers[[#This Row],[Fecha_Informe]]=""),1,0)</f>
        <v>0</v>
      </c>
      <c r="AC1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2" spans="1:29" hidden="1">
      <c r="A12" t="s">
        <v>88</v>
      </c>
      <c r="C12" t="str">
        <f>IF(SCTR_Brokers[[#This Row],[FechaRecepcion]]="","",SCTR_Brokers[[#This Row],[ConversationId]]&amp;"-"&amp;TEXT(SCTR_Brokers[[#This Row],[FechaRecepcion]],"aaaammddhhmmss"))</f>
        <v>AAQkADdkNThjNzFkLWM0ZmMtNDJhYS04MDVlLTIwNzE4ZDI1Mzg4YgAQAGNYmKV8CwNGkjfWksK0qfg=-20260814091313</v>
      </c>
      <c r="D12" t="s">
        <v>89</v>
      </c>
      <c r="E12" t="s">
        <v>21</v>
      </c>
      <c r="F12" s="3">
        <v>46248.38417824074</v>
      </c>
      <c r="G12" s="3">
        <v>46248.38417824074</v>
      </c>
      <c r="H12" t="s">
        <v>90</v>
      </c>
      <c r="I12" t="s">
        <v>7</v>
      </c>
      <c r="K12" t="s">
        <v>67</v>
      </c>
      <c r="N12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2" s="3"/>
      <c r="P12" s="3"/>
      <c r="Q12" s="3">
        <v>46248.59375</v>
      </c>
      <c r="R1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2" t="str">
        <f>IF(SCTR_Brokers[[#This Row],[FechaRecepcion]]="","",TEXT(SCTR_Brokers[[#This Row],[FechaRecepcion]],"mmmm")&amp;" "&amp;YEAR(SCTR_Brokers[[#This Row],[FechaRecepcion]]))</f>
        <v>agosto 2026</v>
      </c>
      <c r="U12">
        <f>IF(SCTR_Brokers[[#This Row],[Estado]]="FINALIZADO",1,0)</f>
        <v>1</v>
      </c>
      <c r="V12">
        <f>IF(SCTR_Brokers[[#This Row],[FechaRecepcion]]="","",IF(SCTR_Brokers[[#This Row],[Estado]]="FINALIZADO",0,1))</f>
        <v>0</v>
      </c>
      <c r="W12">
        <f ca="1">IF(AND(SCTR_Brokers[[#This Row],[Estado]]="FINALIZADO",SCTR_Brokers[[#This Row],[Plazo]]=LISTAS!$J$3),1,0)</f>
        <v>1</v>
      </c>
      <c r="X12">
        <f ca="1">IF(AND(SCTR_Brokers[[#This Row],[Estado]]="FINALIZADO",SCTR_Brokers[[#This Row],[Plazo]]=LISTAS!$J$4),1,0)</f>
        <v>0</v>
      </c>
      <c r="Y12">
        <f ca="1">IF(AND(SCTR_Brokers[[#This Row],[Estado]]&lt;&gt;"FINALIZADO",SCTR_Brokers[[#This Row],[Plazo]]=LISTAS!$J$4),1,0)</f>
        <v>0</v>
      </c>
      <c r="Z12">
        <f>IF(SCTR_Brokers[[#This Row],[Fecha_Solic_Informe]]="",0,1)</f>
        <v>0</v>
      </c>
      <c r="AA12">
        <f>IF(SCTR_Brokers[[#This Row],[Fecha_Informe]]="",0,1)</f>
        <v>0</v>
      </c>
      <c r="AB12">
        <f>IF(AND(SCTR_Brokers[[#This Row],[Fecha_Solic_Informe]]&lt;&gt;"",SCTR_Brokers[[#This Row],[Fecha_Informe]]=""),1,0)</f>
        <v>0</v>
      </c>
      <c r="AC1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3" spans="1:29" hidden="1">
      <c r="A13" t="s">
        <v>91</v>
      </c>
      <c r="C13" t="str">
        <f>IF(SCTR_Brokers[[#This Row],[FechaRecepcion]]="","",SCTR_Brokers[[#This Row],[ConversationId]]&amp;"-"&amp;TEXT(SCTR_Brokers[[#This Row],[FechaRecepcion]],"aaaammddhhmmss"))</f>
        <v>AAQkADdkNThjNzFkLWM0ZmMtNDJhYS04MDVlLTIwNzE4ZDI1Mzg4YgAQAL3ITZJk9d9Fkya9zVOFO74=-20260814104959</v>
      </c>
      <c r="D13" t="s">
        <v>92</v>
      </c>
      <c r="E13" t="s">
        <v>20</v>
      </c>
      <c r="F13" s="3">
        <v>46248.451377314814</v>
      </c>
      <c r="G13" s="3">
        <v>46248.468136574076</v>
      </c>
      <c r="H13" t="s">
        <v>93</v>
      </c>
      <c r="I13" t="s">
        <v>7</v>
      </c>
      <c r="K13" t="s">
        <v>67</v>
      </c>
      <c r="N13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3" s="3"/>
      <c r="P13" s="3"/>
      <c r="Q13" s="3">
        <v>46248.498611111114</v>
      </c>
      <c r="R1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3" t="str">
        <f>IF(SCTR_Brokers[[#This Row],[FechaRecepcion]]="","",TEXT(SCTR_Brokers[[#This Row],[FechaRecepcion]],"mmmm")&amp;" "&amp;YEAR(SCTR_Brokers[[#This Row],[FechaRecepcion]]))</f>
        <v>agosto 2026</v>
      </c>
      <c r="U13">
        <f>IF(SCTR_Brokers[[#This Row],[Estado]]="FINALIZADO",1,0)</f>
        <v>1</v>
      </c>
      <c r="V13">
        <f>IF(SCTR_Brokers[[#This Row],[FechaRecepcion]]="","",IF(SCTR_Brokers[[#This Row],[Estado]]="FINALIZADO",0,1))</f>
        <v>0</v>
      </c>
      <c r="W13">
        <f ca="1">IF(AND(SCTR_Brokers[[#This Row],[Estado]]="FINALIZADO",SCTR_Brokers[[#This Row],[Plazo]]=LISTAS!$J$3),1,0)</f>
        <v>1</v>
      </c>
      <c r="X13">
        <f ca="1">IF(AND(SCTR_Brokers[[#This Row],[Estado]]="FINALIZADO",SCTR_Brokers[[#This Row],[Plazo]]=LISTAS!$J$4),1,0)</f>
        <v>0</v>
      </c>
      <c r="Y13">
        <f ca="1">IF(AND(SCTR_Brokers[[#This Row],[Estado]]&lt;&gt;"FINALIZADO",SCTR_Brokers[[#This Row],[Plazo]]=LISTAS!$J$4),1,0)</f>
        <v>0</v>
      </c>
      <c r="Z13">
        <f>IF(SCTR_Brokers[[#This Row],[Fecha_Solic_Informe]]="",0,1)</f>
        <v>0</v>
      </c>
      <c r="AA13">
        <f>IF(SCTR_Brokers[[#This Row],[Fecha_Informe]]="",0,1)</f>
        <v>0</v>
      </c>
      <c r="AB13">
        <f>IF(AND(SCTR_Brokers[[#This Row],[Fecha_Solic_Informe]]&lt;&gt;"",SCTR_Brokers[[#This Row],[Fecha_Informe]]=""),1,0)</f>
        <v>0</v>
      </c>
      <c r="AC1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4" spans="1:29" hidden="1">
      <c r="A14" t="s">
        <v>94</v>
      </c>
      <c r="C14" t="str">
        <f>IF(SCTR_Brokers[[#This Row],[FechaRecepcion]]="","",SCTR_Brokers[[#This Row],[ConversationId]]&amp;"-"&amp;TEXT(SCTR_Brokers[[#This Row],[FechaRecepcion]],"aaaammddhhmmss"))</f>
        <v>AAQkADdkNThjNzFkLWM0ZmMtNDJhYS04MDVlLTIwNzE4ZDI1Mzg4YgAQABURf2VZ3k8zqSK-80uc1ks=-20260814113258</v>
      </c>
      <c r="D14" t="s">
        <v>95</v>
      </c>
      <c r="E14" t="s">
        <v>23</v>
      </c>
      <c r="F14" s="3">
        <v>46248.481226851851</v>
      </c>
      <c r="G14" s="3">
        <v>46248.536817129629</v>
      </c>
      <c r="H14" t="s">
        <v>70</v>
      </c>
      <c r="I14" t="s">
        <v>7</v>
      </c>
      <c r="K14" t="s">
        <v>67</v>
      </c>
      <c r="N14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4" s="3"/>
      <c r="P14" s="3"/>
      <c r="Q14" s="3">
        <v>46248.536817129629</v>
      </c>
      <c r="R1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4" t="str">
        <f>IF(SCTR_Brokers[[#This Row],[FechaRecepcion]]="","",TEXT(SCTR_Brokers[[#This Row],[FechaRecepcion]],"mmmm")&amp;" "&amp;YEAR(SCTR_Brokers[[#This Row],[FechaRecepcion]]))</f>
        <v>agosto 2026</v>
      </c>
      <c r="U14">
        <f>IF(SCTR_Brokers[[#This Row],[Estado]]="FINALIZADO",1,0)</f>
        <v>1</v>
      </c>
      <c r="V14">
        <f>IF(SCTR_Brokers[[#This Row],[FechaRecepcion]]="","",IF(SCTR_Brokers[[#This Row],[Estado]]="FINALIZADO",0,1))</f>
        <v>0</v>
      </c>
      <c r="W14">
        <f ca="1">IF(AND(SCTR_Brokers[[#This Row],[Estado]]="FINALIZADO",SCTR_Brokers[[#This Row],[Plazo]]=LISTAS!$J$3),1,0)</f>
        <v>1</v>
      </c>
      <c r="X14">
        <f ca="1">IF(AND(SCTR_Brokers[[#This Row],[Estado]]="FINALIZADO",SCTR_Brokers[[#This Row],[Plazo]]=LISTAS!$J$4),1,0)</f>
        <v>0</v>
      </c>
      <c r="Y14">
        <f ca="1">IF(AND(SCTR_Brokers[[#This Row],[Estado]]&lt;&gt;"FINALIZADO",SCTR_Brokers[[#This Row],[Plazo]]=LISTAS!$J$4),1,0)</f>
        <v>0</v>
      </c>
      <c r="Z14">
        <f>IF(SCTR_Brokers[[#This Row],[Fecha_Solic_Informe]]="",0,1)</f>
        <v>0</v>
      </c>
      <c r="AA14">
        <f>IF(SCTR_Brokers[[#This Row],[Fecha_Informe]]="",0,1)</f>
        <v>0</v>
      </c>
      <c r="AB14">
        <f>IF(AND(SCTR_Brokers[[#This Row],[Fecha_Solic_Informe]]&lt;&gt;"",SCTR_Brokers[[#This Row],[Fecha_Informe]]=""),1,0)</f>
        <v>0</v>
      </c>
      <c r="AC1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5" spans="1:29" hidden="1">
      <c r="A15" t="s">
        <v>96</v>
      </c>
      <c r="C15" t="str">
        <f>IF(SCTR_Brokers[[#This Row],[FechaRecepcion]]="","",SCTR_Brokers[[#This Row],[ConversationId]]&amp;"-"&amp;TEXT(SCTR_Brokers[[#This Row],[FechaRecepcion]],"aaaammddhhmmss"))</f>
        <v>AAQkADdkNThjNzFkLWM0ZmMtNDJhYS04MDVlLTIwNzE4ZDI1Mzg4YgAQADCottROfd1Pp_nXZmiudL4=-20260814113955</v>
      </c>
      <c r="D15" t="s">
        <v>97</v>
      </c>
      <c r="E15" t="s">
        <v>8</v>
      </c>
      <c r="F15" s="3">
        <v>46248.48605324074</v>
      </c>
      <c r="G15" s="3">
        <v>46248.530335648145</v>
      </c>
      <c r="H15" t="s">
        <v>70</v>
      </c>
      <c r="I15" t="s">
        <v>7</v>
      </c>
      <c r="K15" t="s">
        <v>67</v>
      </c>
      <c r="N15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5" s="3"/>
      <c r="P15" s="3"/>
      <c r="Q15" s="3">
        <v>46248.530335648145</v>
      </c>
      <c r="R1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5" t="str">
        <f>IF(SCTR_Brokers[[#This Row],[FechaRecepcion]]="","",TEXT(SCTR_Brokers[[#This Row],[FechaRecepcion]],"mmmm")&amp;" "&amp;YEAR(SCTR_Brokers[[#This Row],[FechaRecepcion]]))</f>
        <v>agosto 2026</v>
      </c>
      <c r="U15">
        <f>IF(SCTR_Brokers[[#This Row],[Estado]]="FINALIZADO",1,0)</f>
        <v>1</v>
      </c>
      <c r="V15">
        <f>IF(SCTR_Brokers[[#This Row],[FechaRecepcion]]="","",IF(SCTR_Brokers[[#This Row],[Estado]]="FINALIZADO",0,1))</f>
        <v>0</v>
      </c>
      <c r="W15">
        <f ca="1">IF(AND(SCTR_Brokers[[#This Row],[Estado]]="FINALIZADO",SCTR_Brokers[[#This Row],[Plazo]]=LISTAS!$J$3),1,0)</f>
        <v>1</v>
      </c>
      <c r="X15">
        <f ca="1">IF(AND(SCTR_Brokers[[#This Row],[Estado]]="FINALIZADO",SCTR_Brokers[[#This Row],[Plazo]]=LISTAS!$J$4),1,0)</f>
        <v>0</v>
      </c>
      <c r="Y15">
        <f ca="1">IF(AND(SCTR_Brokers[[#This Row],[Estado]]&lt;&gt;"FINALIZADO",SCTR_Brokers[[#This Row],[Plazo]]=LISTAS!$J$4),1,0)</f>
        <v>0</v>
      </c>
      <c r="Z15">
        <f>IF(SCTR_Brokers[[#This Row],[Fecha_Solic_Informe]]="",0,1)</f>
        <v>0</v>
      </c>
      <c r="AA15">
        <f>IF(SCTR_Brokers[[#This Row],[Fecha_Informe]]="",0,1)</f>
        <v>0</v>
      </c>
      <c r="AB15">
        <f>IF(AND(SCTR_Brokers[[#This Row],[Fecha_Solic_Informe]]&lt;&gt;"",SCTR_Brokers[[#This Row],[Fecha_Informe]]=""),1,0)</f>
        <v>0</v>
      </c>
      <c r="AC1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6" spans="1:29" hidden="1">
      <c r="A16" t="s">
        <v>98</v>
      </c>
      <c r="C16" t="str">
        <f>IF(SCTR_Brokers[[#This Row],[FechaRecepcion]]="","",SCTR_Brokers[[#This Row],[ConversationId]]&amp;"-"&amp;TEXT(SCTR_Brokers[[#This Row],[FechaRecepcion]],"aaaammddhhmmss"))</f>
        <v>AAQkADdkNThjNzFkLWM0ZmMtNDJhYS04MDVlLTIwNzE4ZDI1Mzg4YgAQAD_wnXEnjrNOuaL_qkr7GmE=-20260814120034</v>
      </c>
      <c r="D16" t="s">
        <v>99</v>
      </c>
      <c r="E16" t="s">
        <v>20</v>
      </c>
      <c r="F16" s="3">
        <v>46248.500393518516</v>
      </c>
      <c r="G16" s="3">
        <v>46248.506539351853</v>
      </c>
      <c r="H16" t="s">
        <v>70</v>
      </c>
      <c r="I16" t="s">
        <v>7</v>
      </c>
      <c r="K16" t="s">
        <v>67</v>
      </c>
      <c r="N16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6" s="3"/>
      <c r="P16" s="3"/>
      <c r="Q16" s="3">
        <v>46248.54954861111</v>
      </c>
      <c r="R1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6" t="str">
        <f>IF(SCTR_Brokers[[#This Row],[FechaRecepcion]]="","",TEXT(SCTR_Brokers[[#This Row],[FechaRecepcion]],"mmmm")&amp;" "&amp;YEAR(SCTR_Brokers[[#This Row],[FechaRecepcion]]))</f>
        <v>agosto 2026</v>
      </c>
      <c r="U16">
        <f>IF(SCTR_Brokers[[#This Row],[Estado]]="FINALIZADO",1,0)</f>
        <v>1</v>
      </c>
      <c r="V16">
        <f>IF(SCTR_Brokers[[#This Row],[FechaRecepcion]]="","",IF(SCTR_Brokers[[#This Row],[Estado]]="FINALIZADO",0,1))</f>
        <v>0</v>
      </c>
      <c r="W16">
        <f ca="1">IF(AND(SCTR_Brokers[[#This Row],[Estado]]="FINALIZADO",SCTR_Brokers[[#This Row],[Plazo]]=LISTAS!$J$3),1,0)</f>
        <v>1</v>
      </c>
      <c r="X16">
        <f ca="1">IF(AND(SCTR_Brokers[[#This Row],[Estado]]="FINALIZADO",SCTR_Brokers[[#This Row],[Plazo]]=LISTAS!$J$4),1,0)</f>
        <v>0</v>
      </c>
      <c r="Y16">
        <f ca="1">IF(AND(SCTR_Brokers[[#This Row],[Estado]]&lt;&gt;"FINALIZADO",SCTR_Brokers[[#This Row],[Plazo]]=LISTAS!$J$4),1,0)</f>
        <v>0</v>
      </c>
      <c r="Z16">
        <f>IF(SCTR_Brokers[[#This Row],[Fecha_Solic_Informe]]="",0,1)</f>
        <v>0</v>
      </c>
      <c r="AA16">
        <f>IF(SCTR_Brokers[[#This Row],[Fecha_Informe]]="",0,1)</f>
        <v>0</v>
      </c>
      <c r="AB16">
        <f>IF(AND(SCTR_Brokers[[#This Row],[Fecha_Solic_Informe]]&lt;&gt;"",SCTR_Brokers[[#This Row],[Fecha_Informe]]=""),1,0)</f>
        <v>0</v>
      </c>
      <c r="AC1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7" spans="1:29" hidden="1">
      <c r="A17" t="s">
        <v>100</v>
      </c>
      <c r="C17" t="str">
        <f>IF(SCTR_Brokers[[#This Row],[FechaRecepcion]]="","",SCTR_Brokers[[#This Row],[ConversationId]]&amp;"-"&amp;TEXT(SCTR_Brokers[[#This Row],[FechaRecepcion]],"aaaammddhhmmss"))</f>
        <v>AAQkADdkNThjNzFkLWM0ZmMtNDJhYS04MDVlLTIwNzE4ZDI1Mzg4YgAQAN8nmHl1gsBAj4k02S1J6vc=-20260814122801</v>
      </c>
      <c r="D17" t="s">
        <v>101</v>
      </c>
      <c r="E17" t="s">
        <v>8</v>
      </c>
      <c r="F17" s="3">
        <v>46248.519456018519</v>
      </c>
      <c r="G17" s="3">
        <v>46248.54954861111</v>
      </c>
      <c r="H17" t="s">
        <v>70</v>
      </c>
      <c r="I17" t="s">
        <v>7</v>
      </c>
      <c r="K17" t="s">
        <v>67</v>
      </c>
      <c r="L17" t="s">
        <v>102</v>
      </c>
      <c r="N17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7" s="3">
        <v>46248.534398148149</v>
      </c>
      <c r="P17" s="3">
        <v>46248.54583333333</v>
      </c>
      <c r="Q17" s="3">
        <v>46248.54954861111</v>
      </c>
      <c r="R1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7" t="str">
        <f>IF(SCTR_Brokers[[#This Row],[FechaRecepcion]]="","",TEXT(SCTR_Brokers[[#This Row],[FechaRecepcion]],"mmmm")&amp;" "&amp;YEAR(SCTR_Brokers[[#This Row],[FechaRecepcion]]))</f>
        <v>agosto 2026</v>
      </c>
      <c r="U17">
        <f>IF(SCTR_Brokers[[#This Row],[Estado]]="FINALIZADO",1,0)</f>
        <v>1</v>
      </c>
      <c r="V17">
        <f>IF(SCTR_Brokers[[#This Row],[FechaRecepcion]]="","",IF(SCTR_Brokers[[#This Row],[Estado]]="FINALIZADO",0,1))</f>
        <v>0</v>
      </c>
      <c r="W17">
        <f ca="1">IF(AND(SCTR_Brokers[[#This Row],[Estado]]="FINALIZADO",SCTR_Brokers[[#This Row],[Plazo]]=LISTAS!$J$3),1,0)</f>
        <v>1</v>
      </c>
      <c r="X17">
        <f ca="1">IF(AND(SCTR_Brokers[[#This Row],[Estado]]="FINALIZADO",SCTR_Brokers[[#This Row],[Plazo]]=LISTAS!$J$4),1,0)</f>
        <v>0</v>
      </c>
      <c r="Y17">
        <f ca="1">IF(AND(SCTR_Brokers[[#This Row],[Estado]]&lt;&gt;"FINALIZADO",SCTR_Brokers[[#This Row],[Plazo]]=LISTAS!$J$4),1,0)</f>
        <v>0</v>
      </c>
      <c r="Z17">
        <f>IF(SCTR_Brokers[[#This Row],[Fecha_Solic_Informe]]="",0,1)</f>
        <v>1</v>
      </c>
      <c r="AA17">
        <f>IF(SCTR_Brokers[[#This Row],[Fecha_Informe]]="",0,1)</f>
        <v>1</v>
      </c>
      <c r="AB17">
        <f>IF(AND(SCTR_Brokers[[#This Row],[Fecha_Solic_Informe]]&lt;&gt;"",SCTR_Brokers[[#This Row],[Fecha_Informe]]=""),1,0)</f>
        <v>0</v>
      </c>
      <c r="AC17">
        <f>IF(AND(SCTR_Brokers[[#This Row],[Fecha_Solic_Informe]]&lt;&gt;"",SCTR_Brokers[[#This Row],[Fecha_Informe]]&lt;&gt;""),ROUND((SCTR_Brokers[[#This Row],[Fecha_Informe]]-SCTR_Brokers[[#This Row],[Fecha_Solic_Informe]])*24,1),"")</f>
        <v>0.3</v>
      </c>
    </row>
    <row r="18" spans="1:29" hidden="1">
      <c r="A18" t="s">
        <v>103</v>
      </c>
      <c r="C18" t="str">
        <f>IF(SCTR_Brokers[[#This Row],[FechaRecepcion]]="","",SCTR_Brokers[[#This Row],[ConversationId]]&amp;"-"&amp;TEXT(SCTR_Brokers[[#This Row],[FechaRecepcion]],"aaaammddhhmmss"))</f>
        <v>AAQkADdkNThjNzFkLWM0ZmMtNDJhYS04MDVlLTIwNzE4ZDI1Mzg4YgAQAFvSRRnHhNhOqxGz6fyRmY0=-20260814124354</v>
      </c>
      <c r="D18" t="s">
        <v>104</v>
      </c>
      <c r="E18" t="s">
        <v>14</v>
      </c>
      <c r="F18" s="3">
        <v>46248.530486111114</v>
      </c>
      <c r="G18" s="3">
        <v>46248.530486111114</v>
      </c>
      <c r="H18" t="s">
        <v>105</v>
      </c>
      <c r="I18" t="s">
        <v>7</v>
      </c>
      <c r="K18" t="s">
        <v>67</v>
      </c>
      <c r="N18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8" s="3"/>
      <c r="P18" s="3"/>
      <c r="Q18" s="3">
        <v>46248.731944444444</v>
      </c>
      <c r="R1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8" t="str">
        <f>IF(SCTR_Brokers[[#This Row],[FechaRecepcion]]="","",TEXT(SCTR_Brokers[[#This Row],[FechaRecepcion]],"mmmm")&amp;" "&amp;YEAR(SCTR_Brokers[[#This Row],[FechaRecepcion]]))</f>
        <v>agosto 2026</v>
      </c>
      <c r="U18">
        <f>IF(SCTR_Brokers[[#This Row],[Estado]]="FINALIZADO",1,0)</f>
        <v>1</v>
      </c>
      <c r="V18">
        <f>IF(SCTR_Brokers[[#This Row],[FechaRecepcion]]="","",IF(SCTR_Brokers[[#This Row],[Estado]]="FINALIZADO",0,1))</f>
        <v>0</v>
      </c>
      <c r="W18">
        <f ca="1">IF(AND(SCTR_Brokers[[#This Row],[Estado]]="FINALIZADO",SCTR_Brokers[[#This Row],[Plazo]]=LISTAS!$J$3),1,0)</f>
        <v>1</v>
      </c>
      <c r="X18">
        <f ca="1">IF(AND(SCTR_Brokers[[#This Row],[Estado]]="FINALIZADO",SCTR_Brokers[[#This Row],[Plazo]]=LISTAS!$J$4),1,0)</f>
        <v>0</v>
      </c>
      <c r="Y18">
        <f ca="1">IF(AND(SCTR_Brokers[[#This Row],[Estado]]&lt;&gt;"FINALIZADO",SCTR_Brokers[[#This Row],[Plazo]]=LISTAS!$J$4),1,0)</f>
        <v>0</v>
      </c>
      <c r="Z18">
        <f>IF(SCTR_Brokers[[#This Row],[Fecha_Solic_Informe]]="",0,1)</f>
        <v>0</v>
      </c>
      <c r="AA18">
        <f>IF(SCTR_Brokers[[#This Row],[Fecha_Informe]]="",0,1)</f>
        <v>0</v>
      </c>
      <c r="AB18">
        <f>IF(AND(SCTR_Brokers[[#This Row],[Fecha_Solic_Informe]]&lt;&gt;"",SCTR_Brokers[[#This Row],[Fecha_Informe]]=""),1,0)</f>
        <v>0</v>
      </c>
      <c r="AC1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9" spans="1:29" hidden="1">
      <c r="A19" t="s">
        <v>106</v>
      </c>
      <c r="C19" t="str">
        <f>IF(SCTR_Brokers[[#This Row],[FechaRecepcion]]="","",SCTR_Brokers[[#This Row],[ConversationId]]&amp;"-"&amp;TEXT(SCTR_Brokers[[#This Row],[FechaRecepcion]],"aaaammddhhmmss"))</f>
        <v>AAQkADdkNThjNzFkLWM0ZmMtNDJhYS04MDVlLTIwNzE4ZDI1Mzg4YgAQAD0KJzq8UO5HuSV08G9KmYE=-20260814131146</v>
      </c>
      <c r="D19" t="s">
        <v>107</v>
      </c>
      <c r="E19" t="s">
        <v>21</v>
      </c>
      <c r="F19" s="3">
        <v>46248.549837962964</v>
      </c>
      <c r="G19" s="3">
        <v>46248.578101851854</v>
      </c>
      <c r="H19" t="s">
        <v>70</v>
      </c>
      <c r="I19" t="s">
        <v>7</v>
      </c>
      <c r="K19" t="s">
        <v>67</v>
      </c>
      <c r="N19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9" s="3"/>
      <c r="P19" s="3"/>
      <c r="Q19" s="3">
        <v>46248.578101851854</v>
      </c>
      <c r="R1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9" t="str">
        <f>IF(SCTR_Brokers[[#This Row],[FechaRecepcion]]="","",TEXT(SCTR_Brokers[[#This Row],[FechaRecepcion]],"mmmm")&amp;" "&amp;YEAR(SCTR_Brokers[[#This Row],[FechaRecepcion]]))</f>
        <v>agosto 2026</v>
      </c>
      <c r="U19">
        <f>IF(SCTR_Brokers[[#This Row],[Estado]]="FINALIZADO",1,0)</f>
        <v>1</v>
      </c>
      <c r="V19">
        <f>IF(SCTR_Brokers[[#This Row],[FechaRecepcion]]="","",IF(SCTR_Brokers[[#This Row],[Estado]]="FINALIZADO",0,1))</f>
        <v>0</v>
      </c>
      <c r="W19">
        <f ca="1">IF(AND(SCTR_Brokers[[#This Row],[Estado]]="FINALIZADO",SCTR_Brokers[[#This Row],[Plazo]]=LISTAS!$J$3),1,0)</f>
        <v>1</v>
      </c>
      <c r="X19">
        <f ca="1">IF(AND(SCTR_Brokers[[#This Row],[Estado]]="FINALIZADO",SCTR_Brokers[[#This Row],[Plazo]]=LISTAS!$J$4),1,0)</f>
        <v>0</v>
      </c>
      <c r="Y19">
        <f ca="1">IF(AND(SCTR_Brokers[[#This Row],[Estado]]&lt;&gt;"FINALIZADO",SCTR_Brokers[[#This Row],[Plazo]]=LISTAS!$J$4),1,0)</f>
        <v>0</v>
      </c>
      <c r="Z19">
        <f>IF(SCTR_Brokers[[#This Row],[Fecha_Solic_Informe]]="",0,1)</f>
        <v>0</v>
      </c>
      <c r="AA19">
        <f>IF(SCTR_Brokers[[#This Row],[Fecha_Informe]]="",0,1)</f>
        <v>0</v>
      </c>
      <c r="AB19">
        <f>IF(AND(SCTR_Brokers[[#This Row],[Fecha_Solic_Informe]]&lt;&gt;"",SCTR_Brokers[[#This Row],[Fecha_Informe]]=""),1,0)</f>
        <v>0</v>
      </c>
      <c r="AC1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0" spans="1:29" hidden="1">
      <c r="A20" t="s">
        <v>108</v>
      </c>
      <c r="C20" t="str">
        <f>IF(SCTR_Brokers[[#This Row],[FechaRecepcion]]="","",SCTR_Brokers[[#This Row],[ConversationId]]&amp;"-"&amp;TEXT(SCTR_Brokers[[#This Row],[FechaRecepcion]],"aaaammddhhmmss"))</f>
        <v>AAQkADdkNThjNzFkLWM0ZmMtNDJhYS04MDVlLTIwNzE4ZDI1Mzg4YgAQALdAcFsH1PJArDbyP_CirxI=-20260814145615</v>
      </c>
      <c r="D20" t="s">
        <v>109</v>
      </c>
      <c r="E20" t="s">
        <v>21</v>
      </c>
      <c r="F20" s="3">
        <v>46248.622395833336</v>
      </c>
      <c r="G20" s="3">
        <v>46252.37940972222</v>
      </c>
      <c r="H20" t="s">
        <v>70</v>
      </c>
      <c r="I20" t="s">
        <v>7</v>
      </c>
      <c r="K20" t="s">
        <v>67</v>
      </c>
      <c r="N20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0" s="3"/>
      <c r="P20" s="3"/>
      <c r="Q20" s="3">
        <v>46252.37940972222</v>
      </c>
      <c r="R2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20" t="str">
        <f>IF(SCTR_Brokers[[#This Row],[FechaRecepcion]]="","",TEXT(SCTR_Brokers[[#This Row],[FechaRecepcion]],"mmmm")&amp;" "&amp;YEAR(SCTR_Brokers[[#This Row],[FechaRecepcion]]))</f>
        <v>agosto 2026</v>
      </c>
      <c r="U20">
        <f>IF(SCTR_Brokers[[#This Row],[Estado]]="FINALIZADO",1,0)</f>
        <v>1</v>
      </c>
      <c r="V20">
        <f>IF(SCTR_Brokers[[#This Row],[FechaRecepcion]]="","",IF(SCTR_Brokers[[#This Row],[Estado]]="FINALIZADO",0,1))</f>
        <v>0</v>
      </c>
      <c r="W20">
        <f ca="1">IF(AND(SCTR_Brokers[[#This Row],[Estado]]="FINALIZADO",SCTR_Brokers[[#This Row],[Plazo]]=LISTAS!$J$3),1,0)</f>
        <v>0</v>
      </c>
      <c r="X20">
        <f ca="1">IF(AND(SCTR_Brokers[[#This Row],[Estado]]="FINALIZADO",SCTR_Brokers[[#This Row],[Plazo]]=LISTAS!$J$4),1,0)</f>
        <v>1</v>
      </c>
      <c r="Y20">
        <f ca="1">IF(AND(SCTR_Brokers[[#This Row],[Estado]]&lt;&gt;"FINALIZADO",SCTR_Brokers[[#This Row],[Plazo]]=LISTAS!$J$4),1,0)</f>
        <v>0</v>
      </c>
      <c r="Z20">
        <f>IF(SCTR_Brokers[[#This Row],[Fecha_Solic_Informe]]="",0,1)</f>
        <v>0</v>
      </c>
      <c r="AA20">
        <f>IF(SCTR_Brokers[[#This Row],[Fecha_Informe]]="",0,1)</f>
        <v>0</v>
      </c>
      <c r="AB20">
        <f>IF(AND(SCTR_Brokers[[#This Row],[Fecha_Solic_Informe]]&lt;&gt;"",SCTR_Brokers[[#This Row],[Fecha_Informe]]=""),1,0)</f>
        <v>0</v>
      </c>
      <c r="AC2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1" spans="1:29" hidden="1">
      <c r="A21" t="s">
        <v>110</v>
      </c>
      <c r="C21" t="str">
        <f>IF(SCTR_Brokers[[#This Row],[FechaRecepcion]]="","",SCTR_Brokers[[#This Row],[ConversationId]]&amp;"-"&amp;TEXT(SCTR_Brokers[[#This Row],[FechaRecepcion]],"aaaammddhhmmss"))</f>
        <v>AAQkADdkNThjNzFkLWM0ZmMtNDJhYS04MDVlLTIwNzE4ZDI1Mzg4YgAQAO1Ks_-a0Es1sJ99uZJRKRc=-20260814154225</v>
      </c>
      <c r="D21" t="s">
        <v>111</v>
      </c>
      <c r="E21" t="s">
        <v>21</v>
      </c>
      <c r="F21" s="3">
        <v>46248.654456018521</v>
      </c>
      <c r="G21" s="3">
        <v>46248.654456018521</v>
      </c>
      <c r="H21" t="s">
        <v>112</v>
      </c>
      <c r="I21" t="s">
        <v>7</v>
      </c>
      <c r="K21" t="s">
        <v>67</v>
      </c>
      <c r="N21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1" s="3"/>
      <c r="P21" s="3"/>
      <c r="Q21" s="3">
        <v>46248.654456018521</v>
      </c>
      <c r="R2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1" t="str">
        <f>IF(SCTR_Brokers[[#This Row],[FechaRecepcion]]="","",TEXT(SCTR_Brokers[[#This Row],[FechaRecepcion]],"mmmm")&amp;" "&amp;YEAR(SCTR_Brokers[[#This Row],[FechaRecepcion]]))</f>
        <v>agosto 2026</v>
      </c>
      <c r="U21">
        <f>IF(SCTR_Brokers[[#This Row],[Estado]]="FINALIZADO",1,0)</f>
        <v>1</v>
      </c>
      <c r="V21">
        <f>IF(SCTR_Brokers[[#This Row],[FechaRecepcion]]="","",IF(SCTR_Brokers[[#This Row],[Estado]]="FINALIZADO",0,1))</f>
        <v>0</v>
      </c>
      <c r="W21">
        <f ca="1">IF(AND(SCTR_Brokers[[#This Row],[Estado]]="FINALIZADO",SCTR_Brokers[[#This Row],[Plazo]]=LISTAS!$J$3),1,0)</f>
        <v>1</v>
      </c>
      <c r="X21">
        <f ca="1">IF(AND(SCTR_Brokers[[#This Row],[Estado]]="FINALIZADO",SCTR_Brokers[[#This Row],[Plazo]]=LISTAS!$J$4),1,0)</f>
        <v>0</v>
      </c>
      <c r="Y21">
        <f ca="1">IF(AND(SCTR_Brokers[[#This Row],[Estado]]&lt;&gt;"FINALIZADO",SCTR_Brokers[[#This Row],[Plazo]]=LISTAS!$J$4),1,0)</f>
        <v>0</v>
      </c>
      <c r="Z21">
        <f>IF(SCTR_Brokers[[#This Row],[Fecha_Solic_Informe]]="",0,1)</f>
        <v>0</v>
      </c>
      <c r="AA21">
        <f>IF(SCTR_Brokers[[#This Row],[Fecha_Informe]]="",0,1)</f>
        <v>0</v>
      </c>
      <c r="AB21">
        <f>IF(AND(SCTR_Brokers[[#This Row],[Fecha_Solic_Informe]]&lt;&gt;"",SCTR_Brokers[[#This Row],[Fecha_Informe]]=""),1,0)</f>
        <v>0</v>
      </c>
      <c r="AC2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2" spans="1:29" hidden="1">
      <c r="A22" t="s">
        <v>113</v>
      </c>
      <c r="C22" t="str">
        <f>IF(SCTR_Brokers[[#This Row],[FechaRecepcion]]="","",SCTR_Brokers[[#This Row],[ConversationId]]&amp;"-"&amp;TEXT(SCTR_Brokers[[#This Row],[FechaRecepcion]],"aaaammddhhmmss"))</f>
        <v>AAQkADdkNThjNzFkLWM0ZmMtNDJhYS04MDVlLTIwNzE4ZDI1Mzg4YgAQAFGmjH3HIEZQpdi_IN7Cyw8=-20260814154819</v>
      </c>
      <c r="D22" t="s">
        <v>114</v>
      </c>
      <c r="E22" t="s">
        <v>14</v>
      </c>
      <c r="F22" s="3">
        <v>46248.658553240741</v>
      </c>
      <c r="G22" s="3">
        <v>46248.658553240741</v>
      </c>
      <c r="H22" t="s">
        <v>115</v>
      </c>
      <c r="I22" t="s">
        <v>7</v>
      </c>
      <c r="K22" t="s">
        <v>67</v>
      </c>
      <c r="N22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2" s="3"/>
      <c r="P22" s="3"/>
      <c r="Q22" s="3">
        <v>46251.502083333333</v>
      </c>
      <c r="R2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2" t="str">
        <f>IF(SCTR_Brokers[[#This Row],[FechaRecepcion]]="","",TEXT(SCTR_Brokers[[#This Row],[FechaRecepcion]],"mmmm")&amp;" "&amp;YEAR(SCTR_Brokers[[#This Row],[FechaRecepcion]]))</f>
        <v>agosto 2026</v>
      </c>
      <c r="U22">
        <f>IF(SCTR_Brokers[[#This Row],[Estado]]="FINALIZADO",1,0)</f>
        <v>1</v>
      </c>
      <c r="V22">
        <f>IF(SCTR_Brokers[[#This Row],[FechaRecepcion]]="","",IF(SCTR_Brokers[[#This Row],[Estado]]="FINALIZADO",0,1))</f>
        <v>0</v>
      </c>
      <c r="W22">
        <f ca="1">IF(AND(SCTR_Brokers[[#This Row],[Estado]]="FINALIZADO",SCTR_Brokers[[#This Row],[Plazo]]=LISTAS!$J$3),1,0)</f>
        <v>1</v>
      </c>
      <c r="X22">
        <f ca="1">IF(AND(SCTR_Brokers[[#This Row],[Estado]]="FINALIZADO",SCTR_Brokers[[#This Row],[Plazo]]=LISTAS!$J$4),1,0)</f>
        <v>0</v>
      </c>
      <c r="Y22">
        <f ca="1">IF(AND(SCTR_Brokers[[#This Row],[Estado]]&lt;&gt;"FINALIZADO",SCTR_Brokers[[#This Row],[Plazo]]=LISTAS!$J$4),1,0)</f>
        <v>0</v>
      </c>
      <c r="Z22">
        <f>IF(SCTR_Brokers[[#This Row],[Fecha_Solic_Informe]]="",0,1)</f>
        <v>0</v>
      </c>
      <c r="AA22">
        <f>IF(SCTR_Brokers[[#This Row],[Fecha_Informe]]="",0,1)</f>
        <v>0</v>
      </c>
      <c r="AB22">
        <f>IF(AND(SCTR_Brokers[[#This Row],[Fecha_Solic_Informe]]&lt;&gt;"",SCTR_Brokers[[#This Row],[Fecha_Informe]]=""),1,0)</f>
        <v>0</v>
      </c>
      <c r="AC2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3" spans="1:29" hidden="1">
      <c r="A23" t="s">
        <v>116</v>
      </c>
      <c r="C23" t="str">
        <f>IF(SCTR_Brokers[[#This Row],[FechaRecepcion]]="","",SCTR_Brokers[[#This Row],[ConversationId]]&amp;"-"&amp;TEXT(SCTR_Brokers[[#This Row],[FechaRecepcion]],"aaaammddhhmmss"))</f>
        <v>AAQkADdkNThjNzFkLWM0ZmMtNDJhYS04MDVlLTIwNzE4ZDI1Mzg4YgAQAKqb5xWndDpBvqEi82SUhBo=-20260814155245</v>
      </c>
      <c r="D23" t="s">
        <v>117</v>
      </c>
      <c r="E23" t="s">
        <v>21</v>
      </c>
      <c r="F23" s="3">
        <v>46248.661631944444</v>
      </c>
      <c r="G23" s="3">
        <v>46251.670138888891</v>
      </c>
      <c r="H23" t="s">
        <v>118</v>
      </c>
      <c r="I23" t="s">
        <v>7</v>
      </c>
      <c r="K23" t="s">
        <v>67</v>
      </c>
      <c r="N23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3" s="3"/>
      <c r="P23" s="3"/>
      <c r="Q23" s="3">
        <v>46251.670138888891</v>
      </c>
      <c r="R2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23" t="str">
        <f>IF(SCTR_Brokers[[#This Row],[FechaRecepcion]]="","",TEXT(SCTR_Brokers[[#This Row],[FechaRecepcion]],"mmmm")&amp;" "&amp;YEAR(SCTR_Brokers[[#This Row],[FechaRecepcion]]))</f>
        <v>agosto 2026</v>
      </c>
      <c r="U23">
        <f>IF(SCTR_Brokers[[#This Row],[Estado]]="FINALIZADO",1,0)</f>
        <v>1</v>
      </c>
      <c r="V23">
        <f>IF(SCTR_Brokers[[#This Row],[FechaRecepcion]]="","",IF(SCTR_Brokers[[#This Row],[Estado]]="FINALIZADO",0,1))</f>
        <v>0</v>
      </c>
      <c r="W23">
        <f ca="1">IF(AND(SCTR_Brokers[[#This Row],[Estado]]="FINALIZADO",SCTR_Brokers[[#This Row],[Plazo]]=LISTAS!$J$3),1,0)</f>
        <v>0</v>
      </c>
      <c r="X23">
        <f ca="1">IF(AND(SCTR_Brokers[[#This Row],[Estado]]="FINALIZADO",SCTR_Brokers[[#This Row],[Plazo]]=LISTAS!$J$4),1,0)</f>
        <v>1</v>
      </c>
      <c r="Y23">
        <f ca="1">IF(AND(SCTR_Brokers[[#This Row],[Estado]]&lt;&gt;"FINALIZADO",SCTR_Brokers[[#This Row],[Plazo]]=LISTAS!$J$4),1,0)</f>
        <v>0</v>
      </c>
      <c r="Z23">
        <f>IF(SCTR_Brokers[[#This Row],[Fecha_Solic_Informe]]="",0,1)</f>
        <v>0</v>
      </c>
      <c r="AA23">
        <f>IF(SCTR_Brokers[[#This Row],[Fecha_Informe]]="",0,1)</f>
        <v>0</v>
      </c>
      <c r="AB23">
        <f>IF(AND(SCTR_Brokers[[#This Row],[Fecha_Solic_Informe]]&lt;&gt;"",SCTR_Brokers[[#This Row],[Fecha_Informe]]=""),1,0)</f>
        <v>0</v>
      </c>
      <c r="AC2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4" spans="1:29" hidden="1">
      <c r="A24" t="s">
        <v>119</v>
      </c>
      <c r="C24" t="str">
        <f>IF(SCTR_Brokers[[#This Row],[FechaRecepcion]]="","",SCTR_Brokers[[#This Row],[ConversationId]]&amp;"-"&amp;TEXT(SCTR_Brokers[[#This Row],[FechaRecepcion]],"aaaammddhhmmss"))</f>
        <v>AAQkADdkNThjNzFkLWM0ZmMtNDJhYS04MDVlLTIwNzE4ZDI1Mzg4YgAQAHxs9sqdkTpGvBXLONcmbdw=-20260814171411</v>
      </c>
      <c r="D24" t="s">
        <v>120</v>
      </c>
      <c r="E24" t="s">
        <v>20</v>
      </c>
      <c r="F24" s="3">
        <v>46248.718182870369</v>
      </c>
      <c r="G24" s="3">
        <v>46251.416192129633</v>
      </c>
      <c r="H24" t="s">
        <v>70</v>
      </c>
      <c r="I24" t="s">
        <v>7</v>
      </c>
      <c r="K24" t="s">
        <v>67</v>
      </c>
      <c r="N24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4" s="3"/>
      <c r="P24" s="3"/>
      <c r="Q24" s="3">
        <v>46251.416192129633</v>
      </c>
      <c r="R2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4" t="str">
        <f>IF(SCTR_Brokers[[#This Row],[FechaRecepcion]]="","",TEXT(SCTR_Brokers[[#This Row],[FechaRecepcion]],"mmmm")&amp;" "&amp;YEAR(SCTR_Brokers[[#This Row],[FechaRecepcion]]))</f>
        <v>agosto 2026</v>
      </c>
      <c r="U24">
        <f>IF(SCTR_Brokers[[#This Row],[Estado]]="FINALIZADO",1,0)</f>
        <v>1</v>
      </c>
      <c r="V24">
        <f>IF(SCTR_Brokers[[#This Row],[FechaRecepcion]]="","",IF(SCTR_Brokers[[#This Row],[Estado]]="FINALIZADO",0,1))</f>
        <v>0</v>
      </c>
      <c r="W24">
        <f ca="1">IF(AND(SCTR_Brokers[[#This Row],[Estado]]="FINALIZADO",SCTR_Brokers[[#This Row],[Plazo]]=LISTAS!$J$3),1,0)</f>
        <v>1</v>
      </c>
      <c r="X24">
        <f ca="1">IF(AND(SCTR_Brokers[[#This Row],[Estado]]="FINALIZADO",SCTR_Brokers[[#This Row],[Plazo]]=LISTAS!$J$4),1,0)</f>
        <v>0</v>
      </c>
      <c r="Y24">
        <f ca="1">IF(AND(SCTR_Brokers[[#This Row],[Estado]]&lt;&gt;"FINALIZADO",SCTR_Brokers[[#This Row],[Plazo]]=LISTAS!$J$4),1,0)</f>
        <v>0</v>
      </c>
      <c r="Z24">
        <f>IF(SCTR_Brokers[[#This Row],[Fecha_Solic_Informe]]="",0,1)</f>
        <v>0</v>
      </c>
      <c r="AA24">
        <f>IF(SCTR_Brokers[[#This Row],[Fecha_Informe]]="",0,1)</f>
        <v>0</v>
      </c>
      <c r="AB24">
        <f>IF(AND(SCTR_Brokers[[#This Row],[Fecha_Solic_Informe]]&lt;&gt;"",SCTR_Brokers[[#This Row],[Fecha_Informe]]=""),1,0)</f>
        <v>0</v>
      </c>
      <c r="AC2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5" spans="1:29" hidden="1">
      <c r="A25" t="s">
        <v>121</v>
      </c>
      <c r="C25" t="str">
        <f>IF(SCTR_Brokers[[#This Row],[FechaRecepcion]]="","",SCTR_Brokers[[#This Row],[ConversationId]]&amp;"-"&amp;TEXT(SCTR_Brokers[[#This Row],[FechaRecepcion]],"aaaammddhhmmss"))</f>
        <v>AAQkADdkNThjNzFkLWM0ZmMtNDJhYS04MDVlLTIwNzE4ZDI1Mzg4YgAQAEgjq3kKTEBgskkgYt1qMZI=-20260814184751</v>
      </c>
      <c r="D25" t="s">
        <v>122</v>
      </c>
      <c r="E25" t="s">
        <v>21</v>
      </c>
      <c r="F25" s="3">
        <v>46248.783229166664</v>
      </c>
      <c r="G25" s="3">
        <v>46248.783229166664</v>
      </c>
      <c r="H25" t="s">
        <v>66</v>
      </c>
      <c r="I25" t="s">
        <v>7</v>
      </c>
      <c r="K25" t="s">
        <v>67</v>
      </c>
      <c r="N25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5" s="3"/>
      <c r="P25" s="3"/>
      <c r="Q25" s="3">
        <v>46251.445138888892</v>
      </c>
      <c r="R2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5" t="str">
        <f>IF(SCTR_Brokers[[#This Row],[FechaRecepcion]]="","",TEXT(SCTR_Brokers[[#This Row],[FechaRecepcion]],"mmmm")&amp;" "&amp;YEAR(SCTR_Brokers[[#This Row],[FechaRecepcion]]))</f>
        <v>agosto 2026</v>
      </c>
      <c r="U25">
        <f>IF(SCTR_Brokers[[#This Row],[Estado]]="FINALIZADO",1,0)</f>
        <v>1</v>
      </c>
      <c r="V25">
        <f>IF(SCTR_Brokers[[#This Row],[FechaRecepcion]]="","",IF(SCTR_Brokers[[#This Row],[Estado]]="FINALIZADO",0,1))</f>
        <v>0</v>
      </c>
      <c r="W25">
        <f ca="1">IF(AND(SCTR_Brokers[[#This Row],[Estado]]="FINALIZADO",SCTR_Brokers[[#This Row],[Plazo]]=LISTAS!$J$3),1,0)</f>
        <v>1</v>
      </c>
      <c r="X25">
        <f ca="1">IF(AND(SCTR_Brokers[[#This Row],[Estado]]="FINALIZADO",SCTR_Brokers[[#This Row],[Plazo]]=LISTAS!$J$4),1,0)</f>
        <v>0</v>
      </c>
      <c r="Y25">
        <f ca="1">IF(AND(SCTR_Brokers[[#This Row],[Estado]]&lt;&gt;"FINALIZADO",SCTR_Brokers[[#This Row],[Plazo]]=LISTAS!$J$4),1,0)</f>
        <v>0</v>
      </c>
      <c r="Z25">
        <f>IF(SCTR_Brokers[[#This Row],[Fecha_Solic_Informe]]="",0,1)</f>
        <v>0</v>
      </c>
      <c r="AA25">
        <f>IF(SCTR_Brokers[[#This Row],[Fecha_Informe]]="",0,1)</f>
        <v>0</v>
      </c>
      <c r="AB25">
        <f>IF(AND(SCTR_Brokers[[#This Row],[Fecha_Solic_Informe]]&lt;&gt;"",SCTR_Brokers[[#This Row],[Fecha_Informe]]=""),1,0)</f>
        <v>0</v>
      </c>
      <c r="AC2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6" spans="1:29" hidden="1">
      <c r="A26" t="s">
        <v>123</v>
      </c>
      <c r="C26" t="str">
        <f>IF(SCTR_Brokers[[#This Row],[FechaRecepcion]]="","",SCTR_Brokers[[#This Row],[ConversationId]]&amp;"-"&amp;TEXT(SCTR_Brokers[[#This Row],[FechaRecepcion]],"aaaammddhhmmss"))</f>
        <v>AAQkADdkNThjNzFkLWM0ZmMtNDJhYS04MDVlLTIwNzE4ZDI1Mzg4YgAQAJUvwckyVvNFuzFeVSuR08E=-20260816195354</v>
      </c>
      <c r="D26" t="s">
        <v>124</v>
      </c>
      <c r="E26" t="s">
        <v>8</v>
      </c>
      <c r="F26" s="3">
        <v>46250.829097222224</v>
      </c>
      <c r="G26" s="3">
        <v>46251.459317129629</v>
      </c>
      <c r="H26" t="s">
        <v>70</v>
      </c>
      <c r="I26" t="s">
        <v>7</v>
      </c>
      <c r="K26" t="s">
        <v>67</v>
      </c>
      <c r="N26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6" s="3"/>
      <c r="P26" s="3"/>
      <c r="Q26" s="3">
        <v>46251.459317129629</v>
      </c>
      <c r="R2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6" t="str">
        <f>IF(SCTR_Brokers[[#This Row],[FechaRecepcion]]="","",TEXT(SCTR_Brokers[[#This Row],[FechaRecepcion]],"mmmm")&amp;" "&amp;YEAR(SCTR_Brokers[[#This Row],[FechaRecepcion]]))</f>
        <v>agosto 2026</v>
      </c>
      <c r="U26">
        <f>IF(SCTR_Brokers[[#This Row],[Estado]]="FINALIZADO",1,0)</f>
        <v>1</v>
      </c>
      <c r="V26">
        <f>IF(SCTR_Brokers[[#This Row],[FechaRecepcion]]="","",IF(SCTR_Brokers[[#This Row],[Estado]]="FINALIZADO",0,1))</f>
        <v>0</v>
      </c>
      <c r="W26">
        <f ca="1">IF(AND(SCTR_Brokers[[#This Row],[Estado]]="FINALIZADO",SCTR_Brokers[[#This Row],[Plazo]]=LISTAS!$J$3),1,0)</f>
        <v>1</v>
      </c>
      <c r="X26">
        <f ca="1">IF(AND(SCTR_Brokers[[#This Row],[Estado]]="FINALIZADO",SCTR_Brokers[[#This Row],[Plazo]]=LISTAS!$J$4),1,0)</f>
        <v>0</v>
      </c>
      <c r="Y26">
        <f ca="1">IF(AND(SCTR_Brokers[[#This Row],[Estado]]&lt;&gt;"FINALIZADO",SCTR_Brokers[[#This Row],[Plazo]]=LISTAS!$J$4),1,0)</f>
        <v>0</v>
      </c>
      <c r="Z26">
        <f>IF(SCTR_Brokers[[#This Row],[Fecha_Solic_Informe]]="",0,1)</f>
        <v>0</v>
      </c>
      <c r="AA26">
        <f>IF(SCTR_Brokers[[#This Row],[Fecha_Informe]]="",0,1)</f>
        <v>0</v>
      </c>
      <c r="AB26">
        <f>IF(AND(SCTR_Brokers[[#This Row],[Fecha_Solic_Informe]]&lt;&gt;"",SCTR_Brokers[[#This Row],[Fecha_Informe]]=""),1,0)</f>
        <v>0</v>
      </c>
      <c r="AC2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7" spans="1:29" hidden="1">
      <c r="A27" t="s">
        <v>125</v>
      </c>
      <c r="C27" t="str">
        <f>IF(SCTR_Brokers[[#This Row],[FechaRecepcion]]="","",SCTR_Brokers[[#This Row],[ConversationId]]&amp;"-"&amp;TEXT(SCTR_Brokers[[#This Row],[FechaRecepcion]],"aaaammddhhmmss"))</f>
        <v>AAQkADdkNThjNzFkLWM0ZmMtNDJhYS04MDVlLTIwNzE4ZDI1Mzg4YgAQAKx3ApF14n5Am1OvD8XqgLs=-20260817094727</v>
      </c>
      <c r="D27" t="s">
        <v>126</v>
      </c>
      <c r="E27" t="s">
        <v>21</v>
      </c>
      <c r="F27" s="3">
        <v>46251.407951388886</v>
      </c>
      <c r="G27" s="3">
        <v>46251.407951388886</v>
      </c>
      <c r="H27" t="s">
        <v>90</v>
      </c>
      <c r="I27" t="s">
        <v>7</v>
      </c>
      <c r="K27" t="s">
        <v>67</v>
      </c>
      <c r="N27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7" s="3"/>
      <c r="P27" s="3"/>
      <c r="Q27" s="3">
        <v>46251.414583333331</v>
      </c>
      <c r="R2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7" t="str">
        <f>IF(SCTR_Brokers[[#This Row],[FechaRecepcion]]="","",TEXT(SCTR_Brokers[[#This Row],[FechaRecepcion]],"mmmm")&amp;" "&amp;YEAR(SCTR_Brokers[[#This Row],[FechaRecepcion]]))</f>
        <v>agosto 2026</v>
      </c>
      <c r="U27">
        <f>IF(SCTR_Brokers[[#This Row],[Estado]]="FINALIZADO",1,0)</f>
        <v>1</v>
      </c>
      <c r="V27">
        <f>IF(SCTR_Brokers[[#This Row],[FechaRecepcion]]="","",IF(SCTR_Brokers[[#This Row],[Estado]]="FINALIZADO",0,1))</f>
        <v>0</v>
      </c>
      <c r="W27">
        <f ca="1">IF(AND(SCTR_Brokers[[#This Row],[Estado]]="FINALIZADO",SCTR_Brokers[[#This Row],[Plazo]]=LISTAS!$J$3),1,0)</f>
        <v>1</v>
      </c>
      <c r="X27">
        <f ca="1">IF(AND(SCTR_Brokers[[#This Row],[Estado]]="FINALIZADO",SCTR_Brokers[[#This Row],[Plazo]]=LISTAS!$J$4),1,0)</f>
        <v>0</v>
      </c>
      <c r="Y27">
        <f ca="1">IF(AND(SCTR_Brokers[[#This Row],[Estado]]&lt;&gt;"FINALIZADO",SCTR_Brokers[[#This Row],[Plazo]]=LISTAS!$J$4),1,0)</f>
        <v>0</v>
      </c>
      <c r="Z27">
        <f>IF(SCTR_Brokers[[#This Row],[Fecha_Solic_Informe]]="",0,1)</f>
        <v>0</v>
      </c>
      <c r="AA27">
        <f>IF(SCTR_Brokers[[#This Row],[Fecha_Informe]]="",0,1)</f>
        <v>0</v>
      </c>
      <c r="AB27">
        <f>IF(AND(SCTR_Brokers[[#This Row],[Fecha_Solic_Informe]]&lt;&gt;"",SCTR_Brokers[[#This Row],[Fecha_Informe]]=""),1,0)</f>
        <v>0</v>
      </c>
      <c r="AC2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8" spans="1:29" hidden="1">
      <c r="A28" t="s">
        <v>127</v>
      </c>
      <c r="C28" t="str">
        <f>IF(SCTR_Brokers[[#This Row],[FechaRecepcion]]="","",SCTR_Brokers[[#This Row],[ConversationId]]&amp;"-"&amp;TEXT(SCTR_Brokers[[#This Row],[FechaRecepcion]],"aaaammddhhmmss"))</f>
        <v>AAQkADdkNThjNzFkLWM0ZmMtNDJhYS04MDVlLTIwNzE4ZDI1Mzg4YgAQANSE-aJEkslGlaoAXMxZ9lw=-20260817100012</v>
      </c>
      <c r="D28" t="s">
        <v>128</v>
      </c>
      <c r="E28" t="s">
        <v>21</v>
      </c>
      <c r="F28" s="3">
        <v>46251.416805555556</v>
      </c>
      <c r="G28" s="3">
        <v>46251.479768518519</v>
      </c>
      <c r="H28" t="s">
        <v>70</v>
      </c>
      <c r="I28" t="s">
        <v>7</v>
      </c>
      <c r="K28" t="s">
        <v>67</v>
      </c>
      <c r="N28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8" s="3"/>
      <c r="P28" s="3"/>
      <c r="Q28" s="3">
        <v>46251.479768518519</v>
      </c>
      <c r="R2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8" t="str">
        <f>IF(SCTR_Brokers[[#This Row],[FechaRecepcion]]="","",TEXT(SCTR_Brokers[[#This Row],[FechaRecepcion]],"mmmm")&amp;" "&amp;YEAR(SCTR_Brokers[[#This Row],[FechaRecepcion]]))</f>
        <v>agosto 2026</v>
      </c>
      <c r="U28">
        <f>IF(SCTR_Brokers[[#This Row],[Estado]]="FINALIZADO",1,0)</f>
        <v>1</v>
      </c>
      <c r="V28">
        <f>IF(SCTR_Brokers[[#This Row],[FechaRecepcion]]="","",IF(SCTR_Brokers[[#This Row],[Estado]]="FINALIZADO",0,1))</f>
        <v>0</v>
      </c>
      <c r="W28">
        <f ca="1">IF(AND(SCTR_Brokers[[#This Row],[Estado]]="FINALIZADO",SCTR_Brokers[[#This Row],[Plazo]]=LISTAS!$J$3),1,0)</f>
        <v>1</v>
      </c>
      <c r="X28">
        <f ca="1">IF(AND(SCTR_Brokers[[#This Row],[Estado]]="FINALIZADO",SCTR_Brokers[[#This Row],[Plazo]]=LISTAS!$J$4),1,0)</f>
        <v>0</v>
      </c>
      <c r="Y28">
        <f ca="1">IF(AND(SCTR_Brokers[[#This Row],[Estado]]&lt;&gt;"FINALIZADO",SCTR_Brokers[[#This Row],[Plazo]]=LISTAS!$J$4),1,0)</f>
        <v>0</v>
      </c>
      <c r="Z28">
        <f>IF(SCTR_Brokers[[#This Row],[Fecha_Solic_Informe]]="",0,1)</f>
        <v>0</v>
      </c>
      <c r="AA28">
        <f>IF(SCTR_Brokers[[#This Row],[Fecha_Informe]]="",0,1)</f>
        <v>0</v>
      </c>
      <c r="AB28">
        <f>IF(AND(SCTR_Brokers[[#This Row],[Fecha_Solic_Informe]]&lt;&gt;"",SCTR_Brokers[[#This Row],[Fecha_Informe]]=""),1,0)</f>
        <v>0</v>
      </c>
      <c r="AC2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9" spans="1:29" hidden="1">
      <c r="A29" t="s">
        <v>129</v>
      </c>
      <c r="C29" t="str">
        <f>IF(SCTR_Brokers[[#This Row],[FechaRecepcion]]="","",SCTR_Brokers[[#This Row],[ConversationId]]&amp;"-"&amp;TEXT(SCTR_Brokers[[#This Row],[FechaRecepcion]],"aaaammddhhmmss"))</f>
        <v>AAQkADdkNThjNzFkLWM0ZmMtNDJhYS04MDVlLTIwNzE4ZDI1Mzg4YgAQAJSk1HVJhQ9CjRWRk8DjuCk=-20260817100757</v>
      </c>
      <c r="D29" t="s">
        <v>130</v>
      </c>
      <c r="E29" t="s">
        <v>21</v>
      </c>
      <c r="F29" s="3">
        <v>46251.4221875</v>
      </c>
      <c r="G29" s="3">
        <v>46251.4221875</v>
      </c>
      <c r="H29" t="s">
        <v>90</v>
      </c>
      <c r="I29" t="s">
        <v>7</v>
      </c>
      <c r="K29" t="s">
        <v>67</v>
      </c>
      <c r="N29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9" s="3"/>
      <c r="P29" s="3"/>
      <c r="Q29" s="3">
        <v>46251.4221875</v>
      </c>
      <c r="R2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9" t="str">
        <f>IF(SCTR_Brokers[[#This Row],[FechaRecepcion]]="","",TEXT(SCTR_Brokers[[#This Row],[FechaRecepcion]],"mmmm")&amp;" "&amp;YEAR(SCTR_Brokers[[#This Row],[FechaRecepcion]]))</f>
        <v>agosto 2026</v>
      </c>
      <c r="U29">
        <f>IF(SCTR_Brokers[[#This Row],[Estado]]="FINALIZADO",1,0)</f>
        <v>1</v>
      </c>
      <c r="V29">
        <f>IF(SCTR_Brokers[[#This Row],[FechaRecepcion]]="","",IF(SCTR_Brokers[[#This Row],[Estado]]="FINALIZADO",0,1))</f>
        <v>0</v>
      </c>
      <c r="W29">
        <f ca="1">IF(AND(SCTR_Brokers[[#This Row],[Estado]]="FINALIZADO",SCTR_Brokers[[#This Row],[Plazo]]=LISTAS!$J$3),1,0)</f>
        <v>1</v>
      </c>
      <c r="X29">
        <f ca="1">IF(AND(SCTR_Brokers[[#This Row],[Estado]]="FINALIZADO",SCTR_Brokers[[#This Row],[Plazo]]=LISTAS!$J$4),1,0)</f>
        <v>0</v>
      </c>
      <c r="Y29">
        <f ca="1">IF(AND(SCTR_Brokers[[#This Row],[Estado]]&lt;&gt;"FINALIZADO",SCTR_Brokers[[#This Row],[Plazo]]=LISTAS!$J$4),1,0)</f>
        <v>0</v>
      </c>
      <c r="Z29">
        <f>IF(SCTR_Brokers[[#This Row],[Fecha_Solic_Informe]]="",0,1)</f>
        <v>0</v>
      </c>
      <c r="AA29">
        <f>IF(SCTR_Brokers[[#This Row],[Fecha_Informe]]="",0,1)</f>
        <v>0</v>
      </c>
      <c r="AB29">
        <f>IF(AND(SCTR_Brokers[[#This Row],[Fecha_Solic_Informe]]&lt;&gt;"",SCTR_Brokers[[#This Row],[Fecha_Informe]]=""),1,0)</f>
        <v>0</v>
      </c>
      <c r="AC2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0" spans="1:29" hidden="1">
      <c r="A30" t="s">
        <v>131</v>
      </c>
      <c r="C30" t="str">
        <f>IF(SCTR_Brokers[[#This Row],[FechaRecepcion]]="","",SCTR_Brokers[[#This Row],[ConversationId]]&amp;"-"&amp;TEXT(SCTR_Brokers[[#This Row],[FechaRecepcion]],"aaaammddhhmmss"))</f>
        <v>AAQkADdkNThjNzFkLWM0ZmMtNDJhYS04MDVlLTIwNzE4ZDI1Mzg4YgAQAJTMDEGV0UWSjkIECyQSqdk=-20260817104046</v>
      </c>
      <c r="D30" t="s">
        <v>132</v>
      </c>
      <c r="E30" t="s">
        <v>8</v>
      </c>
      <c r="F30" s="3">
        <v>46251.444976851853</v>
      </c>
      <c r="G30" s="3">
        <v>46252.391145833331</v>
      </c>
      <c r="H30" t="s">
        <v>70</v>
      </c>
      <c r="I30" t="s">
        <v>7</v>
      </c>
      <c r="K30" t="s">
        <v>67</v>
      </c>
      <c r="N30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0" s="3"/>
      <c r="P30" s="3"/>
      <c r="Q30" s="3">
        <v>46252.391145833331</v>
      </c>
      <c r="R3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0" t="str">
        <f>IF(SCTR_Brokers[[#This Row],[FechaRecepcion]]="","",TEXT(SCTR_Brokers[[#This Row],[FechaRecepcion]],"mmmm")&amp;" "&amp;YEAR(SCTR_Brokers[[#This Row],[FechaRecepcion]]))</f>
        <v>agosto 2026</v>
      </c>
      <c r="U30">
        <f>IF(SCTR_Brokers[[#This Row],[Estado]]="FINALIZADO",1,0)</f>
        <v>1</v>
      </c>
      <c r="V30">
        <f>IF(SCTR_Brokers[[#This Row],[FechaRecepcion]]="","",IF(SCTR_Brokers[[#This Row],[Estado]]="FINALIZADO",0,1))</f>
        <v>0</v>
      </c>
      <c r="W30">
        <f ca="1">IF(AND(SCTR_Brokers[[#This Row],[Estado]]="FINALIZADO",SCTR_Brokers[[#This Row],[Plazo]]=LISTAS!$J$3),1,0)</f>
        <v>0</v>
      </c>
      <c r="X30">
        <f ca="1">IF(AND(SCTR_Brokers[[#This Row],[Estado]]="FINALIZADO",SCTR_Brokers[[#This Row],[Plazo]]=LISTAS!$J$4),1,0)</f>
        <v>1</v>
      </c>
      <c r="Y30">
        <f ca="1">IF(AND(SCTR_Brokers[[#This Row],[Estado]]&lt;&gt;"FINALIZADO",SCTR_Brokers[[#This Row],[Plazo]]=LISTAS!$J$4),1,0)</f>
        <v>0</v>
      </c>
      <c r="Z30">
        <f>IF(SCTR_Brokers[[#This Row],[Fecha_Solic_Informe]]="",0,1)</f>
        <v>0</v>
      </c>
      <c r="AA30">
        <f>IF(SCTR_Brokers[[#This Row],[Fecha_Informe]]="",0,1)</f>
        <v>0</v>
      </c>
      <c r="AB30">
        <f>IF(AND(SCTR_Brokers[[#This Row],[Fecha_Solic_Informe]]&lt;&gt;"",SCTR_Brokers[[#This Row],[Fecha_Informe]]=""),1,0)</f>
        <v>0</v>
      </c>
      <c r="AC3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1" spans="1:29" hidden="1">
      <c r="A31" t="s">
        <v>133</v>
      </c>
      <c r="C31" t="str">
        <f>IF(SCTR_Brokers[[#This Row],[FechaRecepcion]]="","",SCTR_Brokers[[#This Row],[ConversationId]]&amp;"-"&amp;TEXT(SCTR_Brokers[[#This Row],[FechaRecepcion]],"aaaammddhhmmss"))</f>
        <v>AAQkADdkNThjNzFkLWM0ZmMtNDJhYS04MDVlLTIwNzE4ZDI1Mzg4YgAQAD8skMqf_3FGtrrySVSnC-0=-20260817120401</v>
      </c>
      <c r="D31" t="s">
        <v>134</v>
      </c>
      <c r="E31" t="s">
        <v>14</v>
      </c>
      <c r="F31" s="3">
        <v>46251.502789351849</v>
      </c>
      <c r="G31" s="3">
        <v>46251.502789351849</v>
      </c>
      <c r="H31" t="s">
        <v>135</v>
      </c>
      <c r="I31" t="s">
        <v>7</v>
      </c>
      <c r="K31" t="s">
        <v>67</v>
      </c>
      <c r="N31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1" s="3"/>
      <c r="P31" s="3"/>
      <c r="Q31" s="3">
        <v>46251.502789351849</v>
      </c>
      <c r="R3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1" t="str">
        <f>IF(SCTR_Brokers[[#This Row],[FechaRecepcion]]="","",TEXT(SCTR_Brokers[[#This Row],[FechaRecepcion]],"mmmm")&amp;" "&amp;YEAR(SCTR_Brokers[[#This Row],[FechaRecepcion]]))</f>
        <v>agosto 2026</v>
      </c>
      <c r="U31">
        <f>IF(SCTR_Brokers[[#This Row],[Estado]]="FINALIZADO",1,0)</f>
        <v>1</v>
      </c>
      <c r="V31">
        <f>IF(SCTR_Brokers[[#This Row],[FechaRecepcion]]="","",IF(SCTR_Brokers[[#This Row],[Estado]]="FINALIZADO",0,1))</f>
        <v>0</v>
      </c>
      <c r="W31">
        <f ca="1">IF(AND(SCTR_Brokers[[#This Row],[Estado]]="FINALIZADO",SCTR_Brokers[[#This Row],[Plazo]]=LISTAS!$J$3),1,0)</f>
        <v>1</v>
      </c>
      <c r="X31">
        <f ca="1">IF(AND(SCTR_Brokers[[#This Row],[Estado]]="FINALIZADO",SCTR_Brokers[[#This Row],[Plazo]]=LISTAS!$J$4),1,0)</f>
        <v>0</v>
      </c>
      <c r="Y31">
        <f ca="1">IF(AND(SCTR_Brokers[[#This Row],[Estado]]&lt;&gt;"FINALIZADO",SCTR_Brokers[[#This Row],[Plazo]]=LISTAS!$J$4),1,0)</f>
        <v>0</v>
      </c>
      <c r="Z31">
        <f>IF(SCTR_Brokers[[#This Row],[Fecha_Solic_Informe]]="",0,1)</f>
        <v>0</v>
      </c>
      <c r="AA31">
        <f>IF(SCTR_Brokers[[#This Row],[Fecha_Informe]]="",0,1)</f>
        <v>0</v>
      </c>
      <c r="AB31">
        <f>IF(AND(SCTR_Brokers[[#This Row],[Fecha_Solic_Informe]]&lt;&gt;"",SCTR_Brokers[[#This Row],[Fecha_Informe]]=""),1,0)</f>
        <v>0</v>
      </c>
      <c r="AC3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2" spans="1:29" hidden="1">
      <c r="A32" t="s">
        <v>136</v>
      </c>
      <c r="C32" t="str">
        <f>IF(SCTR_Brokers[[#This Row],[FechaRecepcion]]="","",SCTR_Brokers[[#This Row],[ConversationId]]&amp;"-"&amp;TEXT(SCTR_Brokers[[#This Row],[FechaRecepcion]],"aaaammddhhmmss"))</f>
        <v>AAQkADdkNThjNzFkLWM0ZmMtNDJhYS04MDVlLTIwNzE4ZDI1Mzg4YgAQAOUkxh_7kiNJmiDB2S_Ve3w=-20260817143553</v>
      </c>
      <c r="D32" t="s">
        <v>137</v>
      </c>
      <c r="E32" t="s">
        <v>14</v>
      </c>
      <c r="F32" s="3">
        <v>46251.608252314814</v>
      </c>
      <c r="G32" s="3">
        <v>46252.434548611112</v>
      </c>
      <c r="H32" t="s">
        <v>70</v>
      </c>
      <c r="I32" t="s">
        <v>7</v>
      </c>
      <c r="K32" t="s">
        <v>138</v>
      </c>
      <c r="L32" s="10" t="s">
        <v>139</v>
      </c>
      <c r="M32" t="s">
        <v>16</v>
      </c>
      <c r="N32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2" s="3">
        <v>46252.381574074076</v>
      </c>
      <c r="P32" s="3"/>
      <c r="Q32" s="3">
        <v>46252.434548611112</v>
      </c>
      <c r="R3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2" t="str">
        <f>IF(SCTR_Brokers[[#This Row],[FechaRecepcion]]="","",TEXT(SCTR_Brokers[[#This Row],[FechaRecepcion]],"mmmm")&amp;" "&amp;YEAR(SCTR_Brokers[[#This Row],[FechaRecepcion]]))</f>
        <v>agosto 2026</v>
      </c>
      <c r="U32">
        <f>IF(SCTR_Brokers[[#This Row],[Estado]]="FINALIZADO",1,0)</f>
        <v>1</v>
      </c>
      <c r="V32">
        <f>IF(SCTR_Brokers[[#This Row],[FechaRecepcion]]="","",IF(SCTR_Brokers[[#This Row],[Estado]]="FINALIZADO",0,1))</f>
        <v>0</v>
      </c>
      <c r="W32">
        <f ca="1">IF(AND(SCTR_Brokers[[#This Row],[Estado]]="FINALIZADO",SCTR_Brokers[[#This Row],[Plazo]]=LISTAS!$J$3),1,0)</f>
        <v>1</v>
      </c>
      <c r="X32">
        <f ca="1">IF(AND(SCTR_Brokers[[#This Row],[Estado]]="FINALIZADO",SCTR_Brokers[[#This Row],[Plazo]]=LISTAS!$J$4),1,0)</f>
        <v>0</v>
      </c>
      <c r="Y32">
        <f ca="1">IF(AND(SCTR_Brokers[[#This Row],[Estado]]&lt;&gt;"FINALIZADO",SCTR_Brokers[[#This Row],[Plazo]]=LISTAS!$J$4),1,0)</f>
        <v>0</v>
      </c>
      <c r="Z32">
        <f>IF(SCTR_Brokers[[#This Row],[Fecha_Solic_Informe]]="",0,1)</f>
        <v>1</v>
      </c>
      <c r="AA32">
        <f>IF(SCTR_Brokers[[#This Row],[Fecha_Informe]]="",0,1)</f>
        <v>0</v>
      </c>
      <c r="AB32">
        <f>IF(AND(SCTR_Brokers[[#This Row],[Fecha_Solic_Informe]]&lt;&gt;"",SCTR_Brokers[[#This Row],[Fecha_Informe]]=""),1,0)</f>
        <v>1</v>
      </c>
      <c r="AC3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3" spans="1:29" hidden="1">
      <c r="A33" t="s">
        <v>64</v>
      </c>
      <c r="C33" t="str">
        <f>IF(SCTR_Brokers[[#This Row],[FechaRecepcion]]="","",SCTR_Brokers[[#This Row],[ConversationId]]&amp;"-"&amp;TEXT(SCTR_Brokers[[#This Row],[FechaRecepcion]],"aaaammddhhmmss"))</f>
        <v>AAQkADdkNThjNzFkLWM0ZmMtNDJhYS04MDVlLTIwNzE4ZDI1Mzg4YgAQAJce04pfmOxCjc66JQ_YqAI=-20260817154843</v>
      </c>
      <c r="D33" t="s">
        <v>65</v>
      </c>
      <c r="E33" t="s">
        <v>21</v>
      </c>
      <c r="F33" s="3">
        <v>46251.658831018518</v>
      </c>
      <c r="G33" s="3">
        <v>46251.658831018518</v>
      </c>
      <c r="H33" t="s">
        <v>66</v>
      </c>
      <c r="I33" t="s">
        <v>7</v>
      </c>
      <c r="K33" t="s">
        <v>67</v>
      </c>
      <c r="N33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3" s="3"/>
      <c r="P33" s="3"/>
      <c r="Q33" s="3">
        <v>46251.665775462963</v>
      </c>
      <c r="R3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3" t="str">
        <f>IF(SCTR_Brokers[[#This Row],[FechaRecepcion]]="","",TEXT(SCTR_Brokers[[#This Row],[FechaRecepcion]],"mmmm")&amp;" "&amp;YEAR(SCTR_Brokers[[#This Row],[FechaRecepcion]]))</f>
        <v>agosto 2026</v>
      </c>
      <c r="U33">
        <f>IF(SCTR_Brokers[[#This Row],[Estado]]="FINALIZADO",1,0)</f>
        <v>1</v>
      </c>
      <c r="V33">
        <f>IF(SCTR_Brokers[[#This Row],[FechaRecepcion]]="","",IF(SCTR_Brokers[[#This Row],[Estado]]="FINALIZADO",0,1))</f>
        <v>0</v>
      </c>
      <c r="W33">
        <f ca="1">IF(AND(SCTR_Brokers[[#This Row],[Estado]]="FINALIZADO",SCTR_Brokers[[#This Row],[Plazo]]=LISTAS!$J$3),1,0)</f>
        <v>1</v>
      </c>
      <c r="X33">
        <f ca="1">IF(AND(SCTR_Brokers[[#This Row],[Estado]]="FINALIZADO",SCTR_Brokers[[#This Row],[Plazo]]=LISTAS!$J$4),1,0)</f>
        <v>0</v>
      </c>
      <c r="Y33">
        <f ca="1">IF(AND(SCTR_Brokers[[#This Row],[Estado]]&lt;&gt;"FINALIZADO",SCTR_Brokers[[#This Row],[Plazo]]=LISTAS!$J$4),1,0)</f>
        <v>0</v>
      </c>
      <c r="Z33">
        <f>IF(SCTR_Brokers[[#This Row],[Fecha_Solic_Informe]]="",0,1)</f>
        <v>0</v>
      </c>
      <c r="AA33">
        <f>IF(SCTR_Brokers[[#This Row],[Fecha_Informe]]="",0,1)</f>
        <v>0</v>
      </c>
      <c r="AB33">
        <f>IF(AND(SCTR_Brokers[[#This Row],[Fecha_Solic_Informe]]&lt;&gt;"",SCTR_Brokers[[#This Row],[Fecha_Informe]]=""),1,0)</f>
        <v>0</v>
      </c>
      <c r="AC3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4" spans="1:29" hidden="1">
      <c r="A34" t="s">
        <v>140</v>
      </c>
      <c r="C34" t="str">
        <f>IF(SCTR_Brokers[[#This Row],[FechaRecepcion]]="","",SCTR_Brokers[[#This Row],[ConversationId]]&amp;"-"&amp;TEXT(SCTR_Brokers[[#This Row],[FechaRecepcion]],"aaaammddhhmmss"))</f>
        <v>AAQkADdkNThjNzFkLWM0ZmMtNDJhYS04MDVlLTIwNzE4ZDI1Mzg4YgAQANgmCUHEJVVIljOU-AWYE_M=-20260817171923</v>
      </c>
      <c r="D34" t="s">
        <v>141</v>
      </c>
      <c r="E34" t="s">
        <v>23</v>
      </c>
      <c r="F34" s="3">
        <v>46251.72179398148</v>
      </c>
      <c r="G34" s="3">
        <v>46252.413657407407</v>
      </c>
      <c r="H34" t="s">
        <v>70</v>
      </c>
      <c r="I34" t="s">
        <v>7</v>
      </c>
      <c r="K34" t="s">
        <v>67</v>
      </c>
      <c r="N34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4" s="3"/>
      <c r="P34" s="3"/>
      <c r="Q34" s="3">
        <v>46252.413657407407</v>
      </c>
      <c r="R3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4" t="str">
        <f>IF(SCTR_Brokers[[#This Row],[FechaRecepcion]]="","",TEXT(SCTR_Brokers[[#This Row],[FechaRecepcion]],"mmmm")&amp;" "&amp;YEAR(SCTR_Brokers[[#This Row],[FechaRecepcion]]))</f>
        <v>agosto 2026</v>
      </c>
      <c r="U34">
        <f>IF(SCTR_Brokers[[#This Row],[Estado]]="FINALIZADO",1,0)</f>
        <v>1</v>
      </c>
      <c r="V34">
        <f>IF(SCTR_Brokers[[#This Row],[FechaRecepcion]]="","",IF(SCTR_Brokers[[#This Row],[Estado]]="FINALIZADO",0,1))</f>
        <v>0</v>
      </c>
      <c r="W34">
        <f ca="1">IF(AND(SCTR_Brokers[[#This Row],[Estado]]="FINALIZADO",SCTR_Brokers[[#This Row],[Plazo]]=LISTAS!$J$3),1,0)</f>
        <v>1</v>
      </c>
      <c r="X34">
        <f ca="1">IF(AND(SCTR_Brokers[[#This Row],[Estado]]="FINALIZADO",SCTR_Brokers[[#This Row],[Plazo]]=LISTAS!$J$4),1,0)</f>
        <v>0</v>
      </c>
      <c r="Y34">
        <f ca="1">IF(AND(SCTR_Brokers[[#This Row],[Estado]]&lt;&gt;"FINALIZADO",SCTR_Brokers[[#This Row],[Plazo]]=LISTAS!$J$4),1,0)</f>
        <v>0</v>
      </c>
      <c r="Z34">
        <f>IF(SCTR_Brokers[[#This Row],[Fecha_Solic_Informe]]="",0,1)</f>
        <v>0</v>
      </c>
      <c r="AA34">
        <f>IF(SCTR_Brokers[[#This Row],[Fecha_Informe]]="",0,1)</f>
        <v>0</v>
      </c>
      <c r="AB34">
        <f>IF(AND(SCTR_Brokers[[#This Row],[Fecha_Solic_Informe]]&lt;&gt;"",SCTR_Brokers[[#This Row],[Fecha_Informe]]=""),1,0)</f>
        <v>0</v>
      </c>
      <c r="AC3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5" spans="1:29" hidden="1">
      <c r="A35" t="s">
        <v>142</v>
      </c>
      <c r="C35" t="str">
        <f>IF(SCTR_Brokers[[#This Row],[FechaRecepcion]]="","",SCTR_Brokers[[#This Row],[ConversationId]]&amp;"-"&amp;TEXT(SCTR_Brokers[[#This Row],[FechaRecepcion]],"aaaammddhhmmss"))</f>
        <v>AAQkADdkNThjNzFkLWM0ZmMtNDJhYS04MDVlLTIwNzE4ZDI1Mzg4YgAQAM9tjetLPAtPgKsVDxqNIko=-20260817180520</v>
      </c>
      <c r="D35" t="s">
        <v>143</v>
      </c>
      <c r="E35" t="s">
        <v>23</v>
      </c>
      <c r="F35" s="3">
        <v>46251.753703703704</v>
      </c>
      <c r="G35" s="3">
        <v>46252.537453703706</v>
      </c>
      <c r="H35" t="s">
        <v>144</v>
      </c>
      <c r="I35" t="s">
        <v>7</v>
      </c>
      <c r="K35" t="s">
        <v>67</v>
      </c>
      <c r="N35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5" s="3"/>
      <c r="P35" s="3"/>
      <c r="Q35" s="3">
        <v>46252.537453703706</v>
      </c>
      <c r="R3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5" t="str">
        <f>IF(SCTR_Brokers[[#This Row],[FechaRecepcion]]="","",TEXT(SCTR_Brokers[[#This Row],[FechaRecepcion]],"mmmm")&amp;" "&amp;YEAR(SCTR_Brokers[[#This Row],[FechaRecepcion]]))</f>
        <v>agosto 2026</v>
      </c>
      <c r="U35">
        <f>IF(SCTR_Brokers[[#This Row],[Estado]]="FINALIZADO",1,0)</f>
        <v>1</v>
      </c>
      <c r="V35">
        <f>IF(SCTR_Brokers[[#This Row],[FechaRecepcion]]="","",IF(SCTR_Brokers[[#This Row],[Estado]]="FINALIZADO",0,1))</f>
        <v>0</v>
      </c>
      <c r="W35">
        <f ca="1">IF(AND(SCTR_Brokers[[#This Row],[Estado]]="FINALIZADO",SCTR_Brokers[[#This Row],[Plazo]]=LISTAS!$J$3),1,0)</f>
        <v>1</v>
      </c>
      <c r="X35">
        <f ca="1">IF(AND(SCTR_Brokers[[#This Row],[Estado]]="FINALIZADO",SCTR_Brokers[[#This Row],[Plazo]]=LISTAS!$J$4),1,0)</f>
        <v>0</v>
      </c>
      <c r="Y35">
        <f ca="1">IF(AND(SCTR_Brokers[[#This Row],[Estado]]&lt;&gt;"FINALIZADO",SCTR_Brokers[[#This Row],[Plazo]]=LISTAS!$J$4),1,0)</f>
        <v>0</v>
      </c>
      <c r="Z35">
        <f>IF(SCTR_Brokers[[#This Row],[Fecha_Solic_Informe]]="",0,1)</f>
        <v>0</v>
      </c>
      <c r="AA35">
        <f>IF(SCTR_Brokers[[#This Row],[Fecha_Informe]]="",0,1)</f>
        <v>0</v>
      </c>
      <c r="AB35">
        <f>IF(AND(SCTR_Brokers[[#This Row],[Fecha_Solic_Informe]]&lt;&gt;"",SCTR_Brokers[[#This Row],[Fecha_Informe]]=""),1,0)</f>
        <v>0</v>
      </c>
      <c r="AC3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6" spans="1:29" hidden="1">
      <c r="A36" t="s">
        <v>145</v>
      </c>
      <c r="C36" t="str">
        <f>IF(SCTR_Brokers[[#This Row],[FechaRecepcion]]="","",SCTR_Brokers[[#This Row],[ConversationId]]&amp;"-"&amp;TEXT(SCTR_Brokers[[#This Row],[FechaRecepcion]],"aaaammddhhmmss"))</f>
        <v>AAQkADdkNThjNzFkLWM0ZmMtNDJhYS04MDVlLTIwNzE4ZDI1Mzg4YgAQAHUL3lsl5ORPuwIMqDM_rpA=-20260818091518</v>
      </c>
      <c r="D36" t="s">
        <v>146</v>
      </c>
      <c r="E36" t="s">
        <v>21</v>
      </c>
      <c r="F36" s="3">
        <v>46252.385625000003</v>
      </c>
      <c r="G36" s="3">
        <v>46260.735000000001</v>
      </c>
      <c r="H36" t="s">
        <v>70</v>
      </c>
      <c r="I36" t="s">
        <v>7</v>
      </c>
      <c r="K36" t="s">
        <v>67</v>
      </c>
      <c r="N36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6" s="3"/>
      <c r="P36" s="3"/>
      <c r="Q36" s="3">
        <v>46260.735000000001</v>
      </c>
      <c r="R3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6" t="str">
        <f>IF(SCTR_Brokers[[#This Row],[FechaRecepcion]]="","",TEXT(SCTR_Brokers[[#This Row],[FechaRecepcion]],"mmmm")&amp;" "&amp;YEAR(SCTR_Brokers[[#This Row],[FechaRecepcion]]))</f>
        <v>agosto 2026</v>
      </c>
      <c r="U36">
        <f>IF(SCTR_Brokers[[#This Row],[Estado]]="FINALIZADO",1,0)</f>
        <v>1</v>
      </c>
      <c r="V36">
        <f>IF(SCTR_Brokers[[#This Row],[FechaRecepcion]]="","",IF(SCTR_Brokers[[#This Row],[Estado]]="FINALIZADO",0,1))</f>
        <v>0</v>
      </c>
      <c r="W36">
        <f ca="1">IF(AND(SCTR_Brokers[[#This Row],[Estado]]="FINALIZADO",SCTR_Brokers[[#This Row],[Plazo]]=LISTAS!$J$3),1,0)</f>
        <v>0</v>
      </c>
      <c r="X36">
        <f ca="1">IF(AND(SCTR_Brokers[[#This Row],[Estado]]="FINALIZADO",SCTR_Brokers[[#This Row],[Plazo]]=LISTAS!$J$4),1,0)</f>
        <v>1</v>
      </c>
      <c r="Y36">
        <f ca="1">IF(AND(SCTR_Brokers[[#This Row],[Estado]]&lt;&gt;"FINALIZADO",SCTR_Brokers[[#This Row],[Plazo]]=LISTAS!$J$4),1,0)</f>
        <v>0</v>
      </c>
      <c r="Z36">
        <f>IF(SCTR_Brokers[[#This Row],[Fecha_Solic_Informe]]="",0,1)</f>
        <v>0</v>
      </c>
      <c r="AA36">
        <f>IF(SCTR_Brokers[[#This Row],[Fecha_Informe]]="",0,1)</f>
        <v>0</v>
      </c>
      <c r="AB36">
        <f>IF(AND(SCTR_Brokers[[#This Row],[Fecha_Solic_Informe]]&lt;&gt;"",SCTR_Brokers[[#This Row],[Fecha_Informe]]=""),1,0)</f>
        <v>0</v>
      </c>
      <c r="AC3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7" spans="1:29" hidden="1">
      <c r="A37" t="s">
        <v>147</v>
      </c>
      <c r="C37" t="str">
        <f>IF(SCTR_Brokers[[#This Row],[FechaRecepcion]]="","",SCTR_Brokers[[#This Row],[ConversationId]]&amp;"-"&amp;TEXT(SCTR_Brokers[[#This Row],[FechaRecepcion]],"aaaammddhhmmss"))</f>
        <v>AAQkADdkNThjNzFkLWM0ZmMtNDJhYS04MDVlLTIwNzE4ZDI1Mzg4YgAQAFOGHfQqkU1jvsHHeuiXfGM=-20260818111534</v>
      </c>
      <c r="D37" t="s">
        <v>148</v>
      </c>
      <c r="E37" t="s">
        <v>21</v>
      </c>
      <c r="F37" s="3">
        <v>46252.469143518516</v>
      </c>
      <c r="G37" s="3">
        <v>46252.469143518516</v>
      </c>
      <c r="H37" t="s">
        <v>112</v>
      </c>
      <c r="I37" t="s">
        <v>7</v>
      </c>
      <c r="J37" t="s">
        <v>149</v>
      </c>
      <c r="K37" t="s">
        <v>67</v>
      </c>
      <c r="N37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7" s="3"/>
      <c r="P37" s="3"/>
      <c r="Q37" s="3"/>
      <c r="R3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7" t="str">
        <f>IF(SCTR_Brokers[[#This Row],[FechaRecepcion]]="","",TEXT(SCTR_Brokers[[#This Row],[FechaRecepcion]],"mmmm")&amp;" "&amp;YEAR(SCTR_Brokers[[#This Row],[FechaRecepcion]]))</f>
        <v>agosto 2026</v>
      </c>
      <c r="U37">
        <f>IF(SCTR_Brokers[[#This Row],[Estado]]="FINALIZADO",1,0)</f>
        <v>1</v>
      </c>
      <c r="V37">
        <f>IF(SCTR_Brokers[[#This Row],[FechaRecepcion]]="","",IF(SCTR_Brokers[[#This Row],[Estado]]="FINALIZADO",0,1))</f>
        <v>0</v>
      </c>
      <c r="W37">
        <f ca="1">IF(AND(SCTR_Brokers[[#This Row],[Estado]]="FINALIZADO",SCTR_Brokers[[#This Row],[Plazo]]=LISTAS!$J$3),1,0)</f>
        <v>0</v>
      </c>
      <c r="X37">
        <f ca="1">IF(AND(SCTR_Brokers[[#This Row],[Estado]]="FINALIZADO",SCTR_Brokers[[#This Row],[Plazo]]=LISTAS!$J$4),1,0)</f>
        <v>1</v>
      </c>
      <c r="Y37">
        <f ca="1">IF(AND(SCTR_Brokers[[#This Row],[Estado]]&lt;&gt;"FINALIZADO",SCTR_Brokers[[#This Row],[Plazo]]=LISTAS!$J$4),1,0)</f>
        <v>0</v>
      </c>
      <c r="Z37">
        <f>IF(SCTR_Brokers[[#This Row],[Fecha_Solic_Informe]]="",0,1)</f>
        <v>0</v>
      </c>
      <c r="AA37">
        <f>IF(SCTR_Brokers[[#This Row],[Fecha_Informe]]="",0,1)</f>
        <v>0</v>
      </c>
      <c r="AB37">
        <f>IF(AND(SCTR_Brokers[[#This Row],[Fecha_Solic_Informe]]&lt;&gt;"",SCTR_Brokers[[#This Row],[Fecha_Informe]]=""),1,0)</f>
        <v>0</v>
      </c>
      <c r="AC3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8" spans="1:29" hidden="1">
      <c r="A38" t="s">
        <v>150</v>
      </c>
      <c r="C38" t="str">
        <f>IF(SCTR_Brokers[[#This Row],[FechaRecepcion]]="","",SCTR_Brokers[[#This Row],[ConversationId]]&amp;"-"&amp;TEXT(SCTR_Brokers[[#This Row],[FechaRecepcion]],"aaaammddhhmmss"))</f>
        <v>AAQkADdkNThjNzFkLWM0ZmMtNDJhYS04MDVlLTIwNzE4ZDI1Mzg4YgAQAMuH-dMLUk4CiFiyemFmjgw=-20260818112508</v>
      </c>
      <c r="D38" t="s">
        <v>151</v>
      </c>
      <c r="E38" t="s">
        <v>21</v>
      </c>
      <c r="F38" s="3">
        <v>46252.475787037038</v>
      </c>
      <c r="G38" s="3">
        <v>46253.737824074073</v>
      </c>
      <c r="H38" t="s">
        <v>70</v>
      </c>
      <c r="I38" t="s">
        <v>7</v>
      </c>
      <c r="K38" t="s">
        <v>67</v>
      </c>
      <c r="N38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8" s="3"/>
      <c r="P38" s="3"/>
      <c r="Q38" s="3">
        <v>46253.737824074073</v>
      </c>
      <c r="R3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8" t="str">
        <f>IF(SCTR_Brokers[[#This Row],[FechaRecepcion]]="","",TEXT(SCTR_Brokers[[#This Row],[FechaRecepcion]],"mmmm")&amp;" "&amp;YEAR(SCTR_Brokers[[#This Row],[FechaRecepcion]]))</f>
        <v>agosto 2026</v>
      </c>
      <c r="U38">
        <f>IF(SCTR_Brokers[[#This Row],[Estado]]="FINALIZADO",1,0)</f>
        <v>1</v>
      </c>
      <c r="V38">
        <f>IF(SCTR_Brokers[[#This Row],[FechaRecepcion]]="","",IF(SCTR_Brokers[[#This Row],[Estado]]="FINALIZADO",0,1))</f>
        <v>0</v>
      </c>
      <c r="W38">
        <f ca="1">IF(AND(SCTR_Brokers[[#This Row],[Estado]]="FINALIZADO",SCTR_Brokers[[#This Row],[Plazo]]=LISTAS!$J$3),1,0)</f>
        <v>0</v>
      </c>
      <c r="X38">
        <f ca="1">IF(AND(SCTR_Brokers[[#This Row],[Estado]]="FINALIZADO",SCTR_Brokers[[#This Row],[Plazo]]=LISTAS!$J$4),1,0)</f>
        <v>1</v>
      </c>
      <c r="Y38">
        <f ca="1">IF(AND(SCTR_Brokers[[#This Row],[Estado]]&lt;&gt;"FINALIZADO",SCTR_Brokers[[#This Row],[Plazo]]=LISTAS!$J$4),1,0)</f>
        <v>0</v>
      </c>
      <c r="Z38">
        <f>IF(SCTR_Brokers[[#This Row],[Fecha_Solic_Informe]]="",0,1)</f>
        <v>0</v>
      </c>
      <c r="AA38">
        <f>IF(SCTR_Brokers[[#This Row],[Fecha_Informe]]="",0,1)</f>
        <v>0</v>
      </c>
      <c r="AB38">
        <f>IF(AND(SCTR_Brokers[[#This Row],[Fecha_Solic_Informe]]&lt;&gt;"",SCTR_Brokers[[#This Row],[Fecha_Informe]]=""),1,0)</f>
        <v>0</v>
      </c>
      <c r="AC3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9" spans="1:29" hidden="1">
      <c r="A39" t="s">
        <v>152</v>
      </c>
      <c r="C39" t="str">
        <f>IF(SCTR_Brokers[[#This Row],[FechaRecepcion]]="","",SCTR_Brokers[[#This Row],[ConversationId]]&amp;"-"&amp;TEXT(SCTR_Brokers[[#This Row],[FechaRecepcion]],"aaaammddhhmmss"))</f>
        <v>AAQkADdkNThjNzFkLWM0ZmMtNDJhYS04MDVlLTIwNzE4ZDI1Mzg4YgAQAIXUVz1Cok_FtJuJK1aUloI=-20260818115527</v>
      </c>
      <c r="D39" t="s">
        <v>153</v>
      </c>
      <c r="E39" t="s">
        <v>21</v>
      </c>
      <c r="F39" s="3">
        <v>46252.496840277781</v>
      </c>
      <c r="G39" s="3">
        <v>46252.496840277781</v>
      </c>
      <c r="H39" t="s">
        <v>112</v>
      </c>
      <c r="I39" t="s">
        <v>7</v>
      </c>
      <c r="J39" t="s">
        <v>149</v>
      </c>
      <c r="K39" t="s">
        <v>67</v>
      </c>
      <c r="N39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9" s="3"/>
      <c r="P39" s="3"/>
      <c r="Q39" s="3"/>
      <c r="R3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9" t="str">
        <f>IF(SCTR_Brokers[[#This Row],[FechaRecepcion]]="","",TEXT(SCTR_Brokers[[#This Row],[FechaRecepcion]],"mmmm")&amp;" "&amp;YEAR(SCTR_Brokers[[#This Row],[FechaRecepcion]]))</f>
        <v>agosto 2026</v>
      </c>
      <c r="U39">
        <f>IF(SCTR_Brokers[[#This Row],[Estado]]="FINALIZADO",1,0)</f>
        <v>1</v>
      </c>
      <c r="V39">
        <f>IF(SCTR_Brokers[[#This Row],[FechaRecepcion]]="","",IF(SCTR_Brokers[[#This Row],[Estado]]="FINALIZADO",0,1))</f>
        <v>0</v>
      </c>
      <c r="W39">
        <f ca="1">IF(AND(SCTR_Brokers[[#This Row],[Estado]]="FINALIZADO",SCTR_Brokers[[#This Row],[Plazo]]=LISTAS!$J$3),1,0)</f>
        <v>0</v>
      </c>
      <c r="X39">
        <f ca="1">IF(AND(SCTR_Brokers[[#This Row],[Estado]]="FINALIZADO",SCTR_Brokers[[#This Row],[Plazo]]=LISTAS!$J$4),1,0)</f>
        <v>1</v>
      </c>
      <c r="Y39">
        <f ca="1">IF(AND(SCTR_Brokers[[#This Row],[Estado]]&lt;&gt;"FINALIZADO",SCTR_Brokers[[#This Row],[Plazo]]=LISTAS!$J$4),1,0)</f>
        <v>0</v>
      </c>
      <c r="Z39">
        <f>IF(SCTR_Brokers[[#This Row],[Fecha_Solic_Informe]]="",0,1)</f>
        <v>0</v>
      </c>
      <c r="AA39">
        <f>IF(SCTR_Brokers[[#This Row],[Fecha_Informe]]="",0,1)</f>
        <v>0</v>
      </c>
      <c r="AB39">
        <f>IF(AND(SCTR_Brokers[[#This Row],[Fecha_Solic_Informe]]&lt;&gt;"",SCTR_Brokers[[#This Row],[Fecha_Informe]]=""),1,0)</f>
        <v>0</v>
      </c>
      <c r="AC3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0" spans="1:29" hidden="1">
      <c r="A40" t="s">
        <v>140</v>
      </c>
      <c r="C40" t="str">
        <f>IF(SCTR_Brokers[[#This Row],[FechaRecepcion]]="","",SCTR_Brokers[[#This Row],[ConversationId]]&amp;"-"&amp;TEXT(SCTR_Brokers[[#This Row],[FechaRecepcion]],"aaaammddhhmmss"))</f>
        <v>AAQkADdkNThjNzFkLWM0ZmMtNDJhYS04MDVlLTIwNzE4ZDI1Mzg4YgAQANgmCUHEJVVIljOU-AWYE_M=-20260818123958</v>
      </c>
      <c r="D40" t="s">
        <v>154</v>
      </c>
      <c r="E40" t="s">
        <v>23</v>
      </c>
      <c r="F40" s="3">
        <v>46252.527754629627</v>
      </c>
      <c r="G40" s="3">
        <v>46260.656944444447</v>
      </c>
      <c r="H40" t="s">
        <v>70</v>
      </c>
      <c r="I40" t="s">
        <v>7</v>
      </c>
      <c r="K40" t="s">
        <v>67</v>
      </c>
      <c r="N40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0" s="3"/>
      <c r="P40" s="3"/>
      <c r="Q40" s="3">
        <v>46260.656944444447</v>
      </c>
      <c r="R4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40" t="str">
        <f>IF(SCTR_Brokers[[#This Row],[FechaRecepcion]]="","",TEXT(SCTR_Brokers[[#This Row],[FechaRecepcion]],"mmmm")&amp;" "&amp;YEAR(SCTR_Brokers[[#This Row],[FechaRecepcion]]))</f>
        <v>agosto 2026</v>
      </c>
      <c r="U40">
        <f>IF(SCTR_Brokers[[#This Row],[Estado]]="FINALIZADO",1,0)</f>
        <v>1</v>
      </c>
      <c r="V40">
        <f>IF(SCTR_Brokers[[#This Row],[FechaRecepcion]]="","",IF(SCTR_Brokers[[#This Row],[Estado]]="FINALIZADO",0,1))</f>
        <v>0</v>
      </c>
      <c r="W40">
        <f ca="1">IF(AND(SCTR_Brokers[[#This Row],[Estado]]="FINALIZADO",SCTR_Brokers[[#This Row],[Plazo]]=LISTAS!$J$3),1,0)</f>
        <v>0</v>
      </c>
      <c r="X40">
        <f ca="1">IF(AND(SCTR_Brokers[[#This Row],[Estado]]="FINALIZADO",SCTR_Brokers[[#This Row],[Plazo]]=LISTAS!$J$4),1,0)</f>
        <v>1</v>
      </c>
      <c r="Y40">
        <f ca="1">IF(AND(SCTR_Brokers[[#This Row],[Estado]]&lt;&gt;"FINALIZADO",SCTR_Brokers[[#This Row],[Plazo]]=LISTAS!$J$4),1,0)</f>
        <v>0</v>
      </c>
      <c r="Z40">
        <f>IF(SCTR_Brokers[[#This Row],[Fecha_Solic_Informe]]="",0,1)</f>
        <v>0</v>
      </c>
      <c r="AA40">
        <f>IF(SCTR_Brokers[[#This Row],[Fecha_Informe]]="",0,1)</f>
        <v>0</v>
      </c>
      <c r="AB40">
        <f>IF(AND(SCTR_Brokers[[#This Row],[Fecha_Solic_Informe]]&lt;&gt;"",SCTR_Brokers[[#This Row],[Fecha_Informe]]=""),1,0)</f>
        <v>0</v>
      </c>
      <c r="AC4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1" spans="1:29" hidden="1">
      <c r="A41" t="s">
        <v>155</v>
      </c>
      <c r="C41" t="str">
        <f>IF(SCTR_Brokers[[#This Row],[FechaRecepcion]]="","",SCTR_Brokers[[#This Row],[ConversationId]]&amp;"-"&amp;TEXT(SCTR_Brokers[[#This Row],[FechaRecepcion]],"aaaammddhhmmss"))</f>
        <v>AAQkADdkNThjNzFkLWM0ZmMtNDJhYS04MDVlLTIwNzE4ZDI1Mzg4YgAQAMgSKhk6K79HgQMdRODPPuk=-20260818143925</v>
      </c>
      <c r="D41" t="s">
        <v>156</v>
      </c>
      <c r="E41" t="s">
        <v>21</v>
      </c>
      <c r="F41" s="3">
        <v>46252.610706018517</v>
      </c>
      <c r="G41" s="3">
        <v>46252.610706018517</v>
      </c>
      <c r="H41" t="s">
        <v>157</v>
      </c>
      <c r="I41" t="s">
        <v>7</v>
      </c>
      <c r="K41" t="s">
        <v>67</v>
      </c>
      <c r="N41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1" s="3"/>
      <c r="P41" s="3"/>
      <c r="Q41" s="3">
        <v>46252.64334490741</v>
      </c>
      <c r="R4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1" t="str">
        <f>IF(SCTR_Brokers[[#This Row],[FechaRecepcion]]="","",TEXT(SCTR_Brokers[[#This Row],[FechaRecepcion]],"mmmm")&amp;" "&amp;YEAR(SCTR_Brokers[[#This Row],[FechaRecepcion]]))</f>
        <v>agosto 2026</v>
      </c>
      <c r="U41">
        <f>IF(SCTR_Brokers[[#This Row],[Estado]]="FINALIZADO",1,0)</f>
        <v>1</v>
      </c>
      <c r="V41">
        <f>IF(SCTR_Brokers[[#This Row],[FechaRecepcion]]="","",IF(SCTR_Brokers[[#This Row],[Estado]]="FINALIZADO",0,1))</f>
        <v>0</v>
      </c>
      <c r="W41">
        <f ca="1">IF(AND(SCTR_Brokers[[#This Row],[Estado]]="FINALIZADO",SCTR_Brokers[[#This Row],[Plazo]]=LISTAS!$J$3),1,0)</f>
        <v>1</v>
      </c>
      <c r="X41">
        <f ca="1">IF(AND(SCTR_Brokers[[#This Row],[Estado]]="FINALIZADO",SCTR_Brokers[[#This Row],[Plazo]]=LISTAS!$J$4),1,0)</f>
        <v>0</v>
      </c>
      <c r="Y41">
        <f ca="1">IF(AND(SCTR_Brokers[[#This Row],[Estado]]&lt;&gt;"FINALIZADO",SCTR_Brokers[[#This Row],[Plazo]]=LISTAS!$J$4),1,0)</f>
        <v>0</v>
      </c>
      <c r="Z41">
        <f>IF(SCTR_Brokers[[#This Row],[Fecha_Solic_Informe]]="",0,1)</f>
        <v>0</v>
      </c>
      <c r="AA41">
        <f>IF(SCTR_Brokers[[#This Row],[Fecha_Informe]]="",0,1)</f>
        <v>0</v>
      </c>
      <c r="AB41">
        <f>IF(AND(SCTR_Brokers[[#This Row],[Fecha_Solic_Informe]]&lt;&gt;"",SCTR_Brokers[[#This Row],[Fecha_Informe]]=""),1,0)</f>
        <v>0</v>
      </c>
      <c r="AC4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2" spans="1:29" hidden="1">
      <c r="A42" t="s">
        <v>158</v>
      </c>
      <c r="C42" t="str">
        <f>IF(SCTR_Brokers[[#This Row],[FechaRecepcion]]="","",SCTR_Brokers[[#This Row],[ConversationId]]&amp;"-"&amp;TEXT(SCTR_Brokers[[#This Row],[FechaRecepcion]],"aaaammddhhmmss"))</f>
        <v>AAQkADdkNThjNzFkLWM0ZmMtNDJhYS04MDVlLTIwNzE4ZDI1Mzg4YgAQAPFbcqJeg0qGkSE5XuTK5O8=-20260818144209</v>
      </c>
      <c r="D42" t="s">
        <v>159</v>
      </c>
      <c r="E42" t="s">
        <v>21</v>
      </c>
      <c r="F42" s="3">
        <v>46252.612604166665</v>
      </c>
      <c r="G42" s="3">
        <v>46253.504131944443</v>
      </c>
      <c r="H42" t="s">
        <v>70</v>
      </c>
      <c r="I42" t="s">
        <v>7</v>
      </c>
      <c r="J42" t="s">
        <v>149</v>
      </c>
      <c r="K42" t="s">
        <v>67</v>
      </c>
      <c r="N42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2" s="3"/>
      <c r="P42" s="3"/>
      <c r="Q42" s="3">
        <v>46253.504131944443</v>
      </c>
      <c r="R4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42" t="str">
        <f>IF(SCTR_Brokers[[#This Row],[FechaRecepcion]]="","",TEXT(SCTR_Brokers[[#This Row],[FechaRecepcion]],"mmmm")&amp;" "&amp;YEAR(SCTR_Brokers[[#This Row],[FechaRecepcion]]))</f>
        <v>agosto 2026</v>
      </c>
      <c r="U42">
        <f>IF(SCTR_Brokers[[#This Row],[Estado]]="FINALIZADO",1,0)</f>
        <v>1</v>
      </c>
      <c r="V42">
        <f>IF(SCTR_Brokers[[#This Row],[FechaRecepcion]]="","",IF(SCTR_Brokers[[#This Row],[Estado]]="FINALIZADO",0,1))</f>
        <v>0</v>
      </c>
      <c r="W42">
        <f ca="1">IF(AND(SCTR_Brokers[[#This Row],[Estado]]="FINALIZADO",SCTR_Brokers[[#This Row],[Plazo]]=LISTAS!$J$3),1,0)</f>
        <v>0</v>
      </c>
      <c r="X42">
        <f ca="1">IF(AND(SCTR_Brokers[[#This Row],[Estado]]="FINALIZADO",SCTR_Brokers[[#This Row],[Plazo]]=LISTAS!$J$4),1,0)</f>
        <v>1</v>
      </c>
      <c r="Y42">
        <f ca="1">IF(AND(SCTR_Brokers[[#This Row],[Estado]]&lt;&gt;"FINALIZADO",SCTR_Brokers[[#This Row],[Plazo]]=LISTAS!$J$4),1,0)</f>
        <v>0</v>
      </c>
      <c r="Z42">
        <f>IF(SCTR_Brokers[[#This Row],[Fecha_Solic_Informe]]="",0,1)</f>
        <v>0</v>
      </c>
      <c r="AA42">
        <f>IF(SCTR_Brokers[[#This Row],[Fecha_Informe]]="",0,1)</f>
        <v>0</v>
      </c>
      <c r="AB42">
        <f>IF(AND(SCTR_Brokers[[#This Row],[Fecha_Solic_Informe]]&lt;&gt;"",SCTR_Brokers[[#This Row],[Fecha_Informe]]=""),1,0)</f>
        <v>0</v>
      </c>
      <c r="AC4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3" spans="1:29" hidden="1">
      <c r="A43" t="s">
        <v>160</v>
      </c>
      <c r="C43" t="str">
        <f>IF(SCTR_Brokers[[#This Row],[FechaRecepcion]]="","",SCTR_Brokers[[#This Row],[ConversationId]]&amp;"-"&amp;TEXT(SCTR_Brokers[[#This Row],[FechaRecepcion]],"aaaammddhhmmss"))</f>
        <v>AAQkADdkNThjNzFkLWM0ZmMtNDJhYS04MDVlLTIwNzE4ZDI1Mzg4YgAQAMsK5VMVFdBHmL90t5-5qO0=-20260818145637</v>
      </c>
      <c r="D43" t="s">
        <v>161</v>
      </c>
      <c r="E43" t="s">
        <v>21</v>
      </c>
      <c r="F43" s="3">
        <v>46252.622650462959</v>
      </c>
      <c r="G43" s="3">
        <v>46252.622650462959</v>
      </c>
      <c r="H43" t="s">
        <v>162</v>
      </c>
      <c r="I43" t="s">
        <v>7</v>
      </c>
      <c r="J43" t="s">
        <v>163</v>
      </c>
      <c r="K43" t="s">
        <v>67</v>
      </c>
      <c r="N43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3" s="3"/>
      <c r="P43" s="3"/>
      <c r="Q43" s="3">
        <v>46252.622650462959</v>
      </c>
      <c r="R4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43" t="s">
        <v>164</v>
      </c>
      <c r="T43" t="str">
        <f>IF(SCTR_Brokers[[#This Row],[FechaRecepcion]]="","",TEXT(SCTR_Brokers[[#This Row],[FechaRecepcion]],"mmmm")&amp;" "&amp;YEAR(SCTR_Brokers[[#This Row],[FechaRecepcion]]))</f>
        <v>agosto 2026</v>
      </c>
      <c r="U43">
        <f>IF(SCTR_Brokers[[#This Row],[Estado]]="FINALIZADO",1,0)</f>
        <v>1</v>
      </c>
      <c r="V43">
        <f>IF(SCTR_Brokers[[#This Row],[FechaRecepcion]]="","",IF(SCTR_Brokers[[#This Row],[Estado]]="FINALIZADO",0,1))</f>
        <v>0</v>
      </c>
      <c r="W43">
        <f ca="1">IF(AND(SCTR_Brokers[[#This Row],[Estado]]="FINALIZADO",SCTR_Brokers[[#This Row],[Plazo]]=LISTAS!$J$3),1,0)</f>
        <v>1</v>
      </c>
      <c r="X43">
        <f ca="1">IF(AND(SCTR_Brokers[[#This Row],[Estado]]="FINALIZADO",SCTR_Brokers[[#This Row],[Plazo]]=LISTAS!$J$4),1,0)</f>
        <v>0</v>
      </c>
      <c r="Y43">
        <f ca="1">IF(AND(SCTR_Brokers[[#This Row],[Estado]]&lt;&gt;"FINALIZADO",SCTR_Brokers[[#This Row],[Plazo]]=LISTAS!$J$4),1,0)</f>
        <v>0</v>
      </c>
      <c r="Z43">
        <f>IF(SCTR_Brokers[[#This Row],[Fecha_Solic_Informe]]="",0,1)</f>
        <v>0</v>
      </c>
      <c r="AA43">
        <f>IF(SCTR_Brokers[[#This Row],[Fecha_Informe]]="",0,1)</f>
        <v>0</v>
      </c>
      <c r="AB43">
        <f>IF(AND(SCTR_Brokers[[#This Row],[Fecha_Solic_Informe]]&lt;&gt;"",SCTR_Brokers[[#This Row],[Fecha_Informe]]=""),1,0)</f>
        <v>0</v>
      </c>
      <c r="AC4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4" spans="1:29" hidden="1">
      <c r="A44" t="s">
        <v>165</v>
      </c>
      <c r="C44" t="str">
        <f>IF(SCTR_Brokers[[#This Row],[FechaRecepcion]]="","",SCTR_Brokers[[#This Row],[ConversationId]]&amp;"-"&amp;TEXT(SCTR_Brokers[[#This Row],[FechaRecepcion]],"aaaammddhhmmss"))</f>
        <v>AAQkADdkNThjNzFkLWM0ZmMtNDJhYS04MDVlLTIwNzE4ZDI1Mzg4YgAQAGWEP1Zwf0U7jF6Qf1EmcyA=-20260818145649</v>
      </c>
      <c r="D44" t="s">
        <v>166</v>
      </c>
      <c r="E44" t="s">
        <v>21</v>
      </c>
      <c r="F44" s="3">
        <v>46252.622789351852</v>
      </c>
      <c r="G44" s="3">
        <v>46252.645358796297</v>
      </c>
      <c r="H44" t="s">
        <v>70</v>
      </c>
      <c r="I44" t="s">
        <v>7</v>
      </c>
      <c r="K44" t="s">
        <v>67</v>
      </c>
      <c r="N44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4" s="3"/>
      <c r="P44" s="3"/>
      <c r="Q44" s="3">
        <v>46252.645358796297</v>
      </c>
      <c r="R4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4" t="str">
        <f>IF(SCTR_Brokers[[#This Row],[FechaRecepcion]]="","",TEXT(SCTR_Brokers[[#This Row],[FechaRecepcion]],"mmmm")&amp;" "&amp;YEAR(SCTR_Brokers[[#This Row],[FechaRecepcion]]))</f>
        <v>agosto 2026</v>
      </c>
      <c r="U44">
        <f>IF(SCTR_Brokers[[#This Row],[Estado]]="FINALIZADO",1,0)</f>
        <v>1</v>
      </c>
      <c r="V44">
        <f>IF(SCTR_Brokers[[#This Row],[FechaRecepcion]]="","",IF(SCTR_Brokers[[#This Row],[Estado]]="FINALIZADO",0,1))</f>
        <v>0</v>
      </c>
      <c r="W44">
        <f ca="1">IF(AND(SCTR_Brokers[[#This Row],[Estado]]="FINALIZADO",SCTR_Brokers[[#This Row],[Plazo]]=LISTAS!$J$3),1,0)</f>
        <v>1</v>
      </c>
      <c r="X44">
        <f ca="1">IF(AND(SCTR_Brokers[[#This Row],[Estado]]="FINALIZADO",SCTR_Brokers[[#This Row],[Plazo]]=LISTAS!$J$4),1,0)</f>
        <v>0</v>
      </c>
      <c r="Y44">
        <f ca="1">IF(AND(SCTR_Brokers[[#This Row],[Estado]]&lt;&gt;"FINALIZADO",SCTR_Brokers[[#This Row],[Plazo]]=LISTAS!$J$4),1,0)</f>
        <v>0</v>
      </c>
      <c r="Z44">
        <f>IF(SCTR_Brokers[[#This Row],[Fecha_Solic_Informe]]="",0,1)</f>
        <v>0</v>
      </c>
      <c r="AA44">
        <f>IF(SCTR_Brokers[[#This Row],[Fecha_Informe]]="",0,1)</f>
        <v>0</v>
      </c>
      <c r="AB44">
        <f>IF(AND(SCTR_Brokers[[#This Row],[Fecha_Solic_Informe]]&lt;&gt;"",SCTR_Brokers[[#This Row],[Fecha_Informe]]=""),1,0)</f>
        <v>0</v>
      </c>
      <c r="AC4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5" spans="1:29" hidden="1">
      <c r="A45" t="s">
        <v>167</v>
      </c>
      <c r="C45" t="str">
        <f>IF(SCTR_Brokers[[#This Row],[FechaRecepcion]]="","",SCTR_Brokers[[#This Row],[ConversationId]]&amp;"-"&amp;TEXT(SCTR_Brokers[[#This Row],[FechaRecepcion]],"aaaammddhhmmss"))</f>
        <v>AAQkADdkNThjNzFkLWM0ZmMtNDJhYS04MDVlLTIwNzE4ZDI1Mzg4YgAQAKzFBRLFTp9Hv4nEDKB77k8=-20260818153938</v>
      </c>
      <c r="D45" t="s">
        <v>168</v>
      </c>
      <c r="E45" t="s">
        <v>21</v>
      </c>
      <c r="F45" s="3">
        <v>46252.65252314815</v>
      </c>
      <c r="G45" s="3">
        <v>46253.413981481484</v>
      </c>
      <c r="H45" t="s">
        <v>70</v>
      </c>
      <c r="I45" t="s">
        <v>7</v>
      </c>
      <c r="K45" t="s">
        <v>67</v>
      </c>
      <c r="N45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5" s="3"/>
      <c r="P45" s="3"/>
      <c r="Q45" s="3">
        <v>46253.413981481484</v>
      </c>
      <c r="R4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5" t="str">
        <f>IF(SCTR_Brokers[[#This Row],[FechaRecepcion]]="","",TEXT(SCTR_Brokers[[#This Row],[FechaRecepcion]],"mmmm")&amp;" "&amp;YEAR(SCTR_Brokers[[#This Row],[FechaRecepcion]]))</f>
        <v>agosto 2026</v>
      </c>
      <c r="U45">
        <f>IF(SCTR_Brokers[[#This Row],[Estado]]="FINALIZADO",1,0)</f>
        <v>1</v>
      </c>
      <c r="V45">
        <f>IF(SCTR_Brokers[[#This Row],[FechaRecepcion]]="","",IF(SCTR_Brokers[[#This Row],[Estado]]="FINALIZADO",0,1))</f>
        <v>0</v>
      </c>
      <c r="W45">
        <f ca="1">IF(AND(SCTR_Brokers[[#This Row],[Estado]]="FINALIZADO",SCTR_Brokers[[#This Row],[Plazo]]=LISTAS!$J$3),1,0)</f>
        <v>1</v>
      </c>
      <c r="X45">
        <f ca="1">IF(AND(SCTR_Brokers[[#This Row],[Estado]]="FINALIZADO",SCTR_Brokers[[#This Row],[Plazo]]=LISTAS!$J$4),1,0)</f>
        <v>0</v>
      </c>
      <c r="Y45">
        <f ca="1">IF(AND(SCTR_Brokers[[#This Row],[Estado]]&lt;&gt;"FINALIZADO",SCTR_Brokers[[#This Row],[Plazo]]=LISTAS!$J$4),1,0)</f>
        <v>0</v>
      </c>
      <c r="Z45">
        <f>IF(SCTR_Brokers[[#This Row],[Fecha_Solic_Informe]]="",0,1)</f>
        <v>0</v>
      </c>
      <c r="AA45">
        <f>IF(SCTR_Brokers[[#This Row],[Fecha_Informe]]="",0,1)</f>
        <v>0</v>
      </c>
      <c r="AB45">
        <f>IF(AND(SCTR_Brokers[[#This Row],[Fecha_Solic_Informe]]&lt;&gt;"",SCTR_Brokers[[#This Row],[Fecha_Informe]]=""),1,0)</f>
        <v>0</v>
      </c>
      <c r="AC4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6" spans="1:29" hidden="1">
      <c r="A46" t="s">
        <v>169</v>
      </c>
      <c r="C46" t="str">
        <f>IF(SCTR_Brokers[[#This Row],[FechaRecepcion]]="","",SCTR_Brokers[[#This Row],[ConversationId]]&amp;"-"&amp;TEXT(SCTR_Brokers[[#This Row],[FechaRecepcion]],"aaaammddhhmmss"))</f>
        <v>AAQkADdkNThjNzFkLWM0ZmMtNDJhYS04MDVlLTIwNzE4ZDI1Mzg4YgAQAFHyOYkqvY9Nqu2tOgis9Mo=-20260818164904</v>
      </c>
      <c r="D46" t="s">
        <v>170</v>
      </c>
      <c r="E46" t="s">
        <v>21</v>
      </c>
      <c r="F46" s="3">
        <v>46252.700740740744</v>
      </c>
      <c r="G46" s="3">
        <v>46252.700740740744</v>
      </c>
      <c r="H46" t="s">
        <v>171</v>
      </c>
      <c r="I46" t="s">
        <v>7</v>
      </c>
      <c r="K46" t="s">
        <v>67</v>
      </c>
      <c r="N46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6" s="3"/>
      <c r="P46" s="3"/>
      <c r="Q46" s="3">
        <v>46253.751435185186</v>
      </c>
      <c r="R4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46" t="str">
        <f>IF(SCTR_Brokers[[#This Row],[FechaRecepcion]]="","",TEXT(SCTR_Brokers[[#This Row],[FechaRecepcion]],"mmmm")&amp;" "&amp;YEAR(SCTR_Brokers[[#This Row],[FechaRecepcion]]))</f>
        <v>agosto 2026</v>
      </c>
      <c r="U46">
        <f>IF(SCTR_Brokers[[#This Row],[Estado]]="FINALIZADO",1,0)</f>
        <v>1</v>
      </c>
      <c r="V46">
        <f>IF(SCTR_Brokers[[#This Row],[FechaRecepcion]]="","",IF(SCTR_Brokers[[#This Row],[Estado]]="FINALIZADO",0,1))</f>
        <v>0</v>
      </c>
      <c r="W46">
        <f ca="1">IF(AND(SCTR_Brokers[[#This Row],[Estado]]="FINALIZADO",SCTR_Brokers[[#This Row],[Plazo]]=LISTAS!$J$3),1,0)</f>
        <v>0</v>
      </c>
      <c r="X46">
        <f ca="1">IF(AND(SCTR_Brokers[[#This Row],[Estado]]="FINALIZADO",SCTR_Brokers[[#This Row],[Plazo]]=LISTAS!$J$4),1,0)</f>
        <v>1</v>
      </c>
      <c r="Y46">
        <f ca="1">IF(AND(SCTR_Brokers[[#This Row],[Estado]]&lt;&gt;"FINALIZADO",SCTR_Brokers[[#This Row],[Plazo]]=LISTAS!$J$4),1,0)</f>
        <v>0</v>
      </c>
      <c r="Z46">
        <f>IF(SCTR_Brokers[[#This Row],[Fecha_Solic_Informe]]="",0,1)</f>
        <v>0</v>
      </c>
      <c r="AA46">
        <f>IF(SCTR_Brokers[[#This Row],[Fecha_Informe]]="",0,1)</f>
        <v>0</v>
      </c>
      <c r="AB46">
        <f>IF(AND(SCTR_Brokers[[#This Row],[Fecha_Solic_Informe]]&lt;&gt;"",SCTR_Brokers[[#This Row],[Fecha_Informe]]=""),1,0)</f>
        <v>0</v>
      </c>
      <c r="AC4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7" spans="1:29" hidden="1">
      <c r="A47" t="s">
        <v>172</v>
      </c>
      <c r="C47" t="str">
        <f>IF(SCTR_Brokers[[#This Row],[FechaRecepcion]]="","",SCTR_Brokers[[#This Row],[ConversationId]]&amp;"-"&amp;TEXT(SCTR_Brokers[[#This Row],[FechaRecepcion]],"aaaammddhhmmss"))</f>
        <v>AAQkADdkNThjNzFkLWM0ZmMtNDJhYS04MDVlLTIwNzE4ZDI1Mzg4YgAQAMR9p1oZsUwdunasYyVc6U4=-20260818174722</v>
      </c>
      <c r="D47" t="s">
        <v>173</v>
      </c>
      <c r="E47" t="s">
        <v>21</v>
      </c>
      <c r="F47" s="3">
        <v>46252.741226851853</v>
      </c>
      <c r="G47" s="3">
        <v>46252.741226851853</v>
      </c>
      <c r="H47" t="s">
        <v>66</v>
      </c>
      <c r="I47" t="s">
        <v>7</v>
      </c>
      <c r="K47" t="s">
        <v>67</v>
      </c>
      <c r="N47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7" s="3"/>
      <c r="P47" s="3"/>
      <c r="Q47" s="3">
        <v>46252.753032407411</v>
      </c>
      <c r="R4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7" t="str">
        <f>IF(SCTR_Brokers[[#This Row],[FechaRecepcion]]="","",TEXT(SCTR_Brokers[[#This Row],[FechaRecepcion]],"mmmm")&amp;" "&amp;YEAR(SCTR_Brokers[[#This Row],[FechaRecepcion]]))</f>
        <v>agosto 2026</v>
      </c>
      <c r="U47">
        <f>IF(SCTR_Brokers[[#This Row],[Estado]]="FINALIZADO",1,0)</f>
        <v>1</v>
      </c>
      <c r="V47">
        <f>IF(SCTR_Brokers[[#This Row],[FechaRecepcion]]="","",IF(SCTR_Brokers[[#This Row],[Estado]]="FINALIZADO",0,1))</f>
        <v>0</v>
      </c>
      <c r="W47">
        <f ca="1">IF(AND(SCTR_Brokers[[#This Row],[Estado]]="FINALIZADO",SCTR_Brokers[[#This Row],[Plazo]]=LISTAS!$J$3),1,0)</f>
        <v>1</v>
      </c>
      <c r="X47">
        <f ca="1">IF(AND(SCTR_Brokers[[#This Row],[Estado]]="FINALIZADO",SCTR_Brokers[[#This Row],[Plazo]]=LISTAS!$J$4),1,0)</f>
        <v>0</v>
      </c>
      <c r="Y47">
        <f ca="1">IF(AND(SCTR_Brokers[[#This Row],[Estado]]&lt;&gt;"FINALIZADO",SCTR_Brokers[[#This Row],[Plazo]]=LISTAS!$J$4),1,0)</f>
        <v>0</v>
      </c>
      <c r="Z47">
        <f>IF(SCTR_Brokers[[#This Row],[Fecha_Solic_Informe]]="",0,1)</f>
        <v>0</v>
      </c>
      <c r="AA47">
        <f>IF(SCTR_Brokers[[#This Row],[Fecha_Informe]]="",0,1)</f>
        <v>0</v>
      </c>
      <c r="AB47">
        <f>IF(AND(SCTR_Brokers[[#This Row],[Fecha_Solic_Informe]]&lt;&gt;"",SCTR_Brokers[[#This Row],[Fecha_Informe]]=""),1,0)</f>
        <v>0</v>
      </c>
      <c r="AC4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8" spans="1:29" hidden="1">
      <c r="A48" t="s">
        <v>174</v>
      </c>
      <c r="C48" t="str">
        <f>IF(SCTR_Brokers[[#This Row],[FechaRecepcion]]="","",SCTR_Brokers[[#This Row],[ConversationId]]&amp;"-"&amp;TEXT(SCTR_Brokers[[#This Row],[FechaRecepcion]],"aaaammddhhmmss"))</f>
        <v>AAQkADdkNThjNzFkLWM0ZmMtNDJhYS04MDVlLTIwNzE4ZDI1Mzg4YgAQALLK7MWxQEmCvxHKC-OI7y4=-20260818195352</v>
      </c>
      <c r="D48" t="s">
        <v>175</v>
      </c>
      <c r="E48" t="s">
        <v>14</v>
      </c>
      <c r="F48" s="3">
        <v>46252.829074074078</v>
      </c>
      <c r="G48" s="3">
        <v>46253.451956018522</v>
      </c>
      <c r="H48" t="s">
        <v>176</v>
      </c>
      <c r="I48" t="s">
        <v>7</v>
      </c>
      <c r="J48" t="s">
        <v>177</v>
      </c>
      <c r="K48" t="s">
        <v>138</v>
      </c>
      <c r="L48" s="10" t="s">
        <v>178</v>
      </c>
      <c r="M48" t="s">
        <v>16</v>
      </c>
      <c r="N48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8" s="3">
        <v>46253.421435185184</v>
      </c>
      <c r="P48" s="3"/>
      <c r="Q48" s="3">
        <v>46253.451956018522</v>
      </c>
      <c r="R4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8" t="str">
        <f>IF(SCTR_Brokers[[#This Row],[FechaRecepcion]]="","",TEXT(SCTR_Brokers[[#This Row],[FechaRecepcion]],"mmmm")&amp;" "&amp;YEAR(SCTR_Brokers[[#This Row],[FechaRecepcion]]))</f>
        <v>agosto 2026</v>
      </c>
      <c r="U48">
        <f>IF(SCTR_Brokers[[#This Row],[Estado]]="FINALIZADO",1,0)</f>
        <v>1</v>
      </c>
      <c r="V48">
        <f>IF(SCTR_Brokers[[#This Row],[FechaRecepcion]]="","",IF(SCTR_Brokers[[#This Row],[Estado]]="FINALIZADO",0,1))</f>
        <v>0</v>
      </c>
      <c r="W48">
        <f ca="1">IF(AND(SCTR_Brokers[[#This Row],[Estado]]="FINALIZADO",SCTR_Brokers[[#This Row],[Plazo]]=LISTAS!$J$3),1,0)</f>
        <v>1</v>
      </c>
      <c r="X48">
        <f ca="1">IF(AND(SCTR_Brokers[[#This Row],[Estado]]="FINALIZADO",SCTR_Brokers[[#This Row],[Plazo]]=LISTAS!$J$4),1,0)</f>
        <v>0</v>
      </c>
      <c r="Y48">
        <f ca="1">IF(AND(SCTR_Brokers[[#This Row],[Estado]]&lt;&gt;"FINALIZADO",SCTR_Brokers[[#This Row],[Plazo]]=LISTAS!$J$4),1,0)</f>
        <v>0</v>
      </c>
      <c r="Z48">
        <f>IF(SCTR_Brokers[[#This Row],[Fecha_Solic_Informe]]="",0,1)</f>
        <v>1</v>
      </c>
      <c r="AA48">
        <f>IF(SCTR_Brokers[[#This Row],[Fecha_Informe]]="",0,1)</f>
        <v>0</v>
      </c>
      <c r="AB48">
        <f>IF(AND(SCTR_Brokers[[#This Row],[Fecha_Solic_Informe]]&lt;&gt;"",SCTR_Brokers[[#This Row],[Fecha_Informe]]=""),1,0)</f>
        <v>1</v>
      </c>
      <c r="AC4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9" spans="1:29" hidden="1">
      <c r="A49" t="s">
        <v>179</v>
      </c>
      <c r="C49" t="str">
        <f>IF(SCTR_Brokers[[#This Row],[FechaRecepcion]]="","",SCTR_Brokers[[#This Row],[ConversationId]]&amp;"-"&amp;TEXT(SCTR_Brokers[[#This Row],[FechaRecepcion]],"aaaammddhhmmss"))</f>
        <v>AAQkADdkNThjNzFkLWM0ZmMtNDJhYS04MDVlLTIwNzE4ZDI1Mzg4YgAQAAeLqbz90KpLvLqMB-j0Cuk=-20260819084809</v>
      </c>
      <c r="D49" t="s">
        <v>180</v>
      </c>
      <c r="E49" t="s">
        <v>8</v>
      </c>
      <c r="F49" s="3">
        <v>46253.366770833331</v>
      </c>
      <c r="G49" s="3">
        <v>46253.430509259262</v>
      </c>
      <c r="H49" t="s">
        <v>70</v>
      </c>
      <c r="I49" t="s">
        <v>7</v>
      </c>
      <c r="J49" t="s">
        <v>163</v>
      </c>
      <c r="K49" t="s">
        <v>138</v>
      </c>
      <c r="L49" s="10" t="s">
        <v>181</v>
      </c>
      <c r="N49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9" s="3">
        <v>46253.430509259262</v>
      </c>
      <c r="P49" s="3"/>
      <c r="Q49" s="3">
        <v>46253.430509259255</v>
      </c>
      <c r="R4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49" t="s">
        <v>164</v>
      </c>
      <c r="T49" t="str">
        <f>IF(SCTR_Brokers[[#This Row],[FechaRecepcion]]="","",TEXT(SCTR_Brokers[[#This Row],[FechaRecepcion]],"mmmm")&amp;" "&amp;YEAR(SCTR_Brokers[[#This Row],[FechaRecepcion]]))</f>
        <v>agosto 2026</v>
      </c>
      <c r="U49">
        <f>IF(SCTR_Brokers[[#This Row],[Estado]]="FINALIZADO",1,0)</f>
        <v>1</v>
      </c>
      <c r="V49">
        <f>IF(SCTR_Brokers[[#This Row],[FechaRecepcion]]="","",IF(SCTR_Brokers[[#This Row],[Estado]]="FINALIZADO",0,1))</f>
        <v>0</v>
      </c>
      <c r="W49">
        <f ca="1">IF(AND(SCTR_Brokers[[#This Row],[Estado]]="FINALIZADO",SCTR_Brokers[[#This Row],[Plazo]]=LISTAS!$J$3),1,0)</f>
        <v>1</v>
      </c>
      <c r="X49">
        <f ca="1">IF(AND(SCTR_Brokers[[#This Row],[Estado]]="FINALIZADO",SCTR_Brokers[[#This Row],[Plazo]]=LISTAS!$J$4),1,0)</f>
        <v>0</v>
      </c>
      <c r="Y49">
        <f ca="1">IF(AND(SCTR_Brokers[[#This Row],[Estado]]&lt;&gt;"FINALIZADO",SCTR_Brokers[[#This Row],[Plazo]]=LISTAS!$J$4),1,0)</f>
        <v>0</v>
      </c>
      <c r="Z49">
        <f>IF(SCTR_Brokers[[#This Row],[Fecha_Solic_Informe]]="",0,1)</f>
        <v>1</v>
      </c>
      <c r="AA49">
        <f>IF(SCTR_Brokers[[#This Row],[Fecha_Informe]]="",0,1)</f>
        <v>0</v>
      </c>
      <c r="AB49">
        <f>IF(AND(SCTR_Brokers[[#This Row],[Fecha_Solic_Informe]]&lt;&gt;"",SCTR_Brokers[[#This Row],[Fecha_Informe]]=""),1,0)</f>
        <v>1</v>
      </c>
      <c r="AC4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0" spans="1:29" hidden="1">
      <c r="A50" t="s">
        <v>167</v>
      </c>
      <c r="C50" t="str">
        <f>IF(SCTR_Brokers[[#This Row],[FechaRecepcion]]="","",SCTR_Brokers[[#This Row],[ConversationId]]&amp;"-"&amp;TEXT(SCTR_Brokers[[#This Row],[FechaRecepcion]],"aaaammddhhmmss"))</f>
        <v>AAQkADdkNThjNzFkLWM0ZmMtNDJhYS04MDVlLTIwNzE4ZDI1Mzg4YgAQAKzFBRLFTp9Hv4nEDKB77k8=-20260819114004</v>
      </c>
      <c r="D50" t="s">
        <v>182</v>
      </c>
      <c r="E50" t="s">
        <v>21</v>
      </c>
      <c r="F50" s="3">
        <v>46253.486157407409</v>
      </c>
      <c r="G50" s="3">
        <v>46253.505798611113</v>
      </c>
      <c r="H50" t="s">
        <v>183</v>
      </c>
      <c r="I50" t="s">
        <v>7</v>
      </c>
      <c r="J50" t="s">
        <v>184</v>
      </c>
      <c r="K50" t="s">
        <v>67</v>
      </c>
      <c r="L50" s="10"/>
      <c r="N50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0" s="3"/>
      <c r="P50" s="3"/>
      <c r="Q50" s="3">
        <v>46253.505798611113</v>
      </c>
      <c r="R5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0" t="str">
        <f>IF(SCTR_Brokers[[#This Row],[FechaRecepcion]]="","",TEXT(SCTR_Brokers[[#This Row],[FechaRecepcion]],"mmmm")&amp;" "&amp;YEAR(SCTR_Brokers[[#This Row],[FechaRecepcion]]))</f>
        <v>agosto 2026</v>
      </c>
      <c r="U50">
        <f>IF(SCTR_Brokers[[#This Row],[Estado]]="FINALIZADO",1,0)</f>
        <v>1</v>
      </c>
      <c r="V50">
        <f>IF(SCTR_Brokers[[#This Row],[FechaRecepcion]]="","",IF(SCTR_Brokers[[#This Row],[Estado]]="FINALIZADO",0,1))</f>
        <v>0</v>
      </c>
      <c r="W50">
        <f ca="1">IF(AND(SCTR_Brokers[[#This Row],[Estado]]="FINALIZADO",SCTR_Brokers[[#This Row],[Plazo]]=LISTAS!$J$3),1,0)</f>
        <v>1</v>
      </c>
      <c r="X50">
        <f ca="1">IF(AND(SCTR_Brokers[[#This Row],[Estado]]="FINALIZADO",SCTR_Brokers[[#This Row],[Plazo]]=LISTAS!$J$4),1,0)</f>
        <v>0</v>
      </c>
      <c r="Y50">
        <f ca="1">IF(AND(SCTR_Brokers[[#This Row],[Estado]]&lt;&gt;"FINALIZADO",SCTR_Brokers[[#This Row],[Plazo]]=LISTAS!$J$4),1,0)</f>
        <v>0</v>
      </c>
      <c r="Z50">
        <f>IF(SCTR_Brokers[[#This Row],[Fecha_Solic_Informe]]="",0,1)</f>
        <v>0</v>
      </c>
      <c r="AA50">
        <f>IF(SCTR_Brokers[[#This Row],[Fecha_Informe]]="",0,1)</f>
        <v>0</v>
      </c>
      <c r="AB50">
        <f>IF(AND(SCTR_Brokers[[#This Row],[Fecha_Solic_Informe]]&lt;&gt;"",SCTR_Brokers[[#This Row],[Fecha_Informe]]=""),1,0)</f>
        <v>0</v>
      </c>
      <c r="AC5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1" spans="1:29" hidden="1">
      <c r="A51" t="s">
        <v>185</v>
      </c>
      <c r="C51" t="str">
        <f>IF(SCTR_Brokers[[#This Row],[FechaRecepcion]]="","",SCTR_Brokers[[#This Row],[ConversationId]]&amp;"-"&amp;TEXT(SCTR_Brokers[[#This Row],[FechaRecepcion]],"aaaammddhhmmss"))</f>
        <v>AAQkADdkNThjNzFkLWM0ZmMtNDJhYS04MDVlLTIwNzE4ZDI1Mzg4YgAQAFSn_rQh8tVOrXdOXJVAqqs=-20260819114645</v>
      </c>
      <c r="D51" t="s">
        <v>186</v>
      </c>
      <c r="E51" t="s">
        <v>21</v>
      </c>
      <c r="F51" s="3">
        <v>46253.490798611114</v>
      </c>
      <c r="G51" s="3">
        <v>46254.516493055555</v>
      </c>
      <c r="H51" t="s">
        <v>70</v>
      </c>
      <c r="I51" t="s">
        <v>7</v>
      </c>
      <c r="K51" t="s">
        <v>67</v>
      </c>
      <c r="L51" s="10"/>
      <c r="N51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1" s="3"/>
      <c r="P51" s="3"/>
      <c r="Q51" s="3">
        <v>46254.516493055555</v>
      </c>
      <c r="R5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51" t="str">
        <f>IF(SCTR_Brokers[[#This Row],[FechaRecepcion]]="","",TEXT(SCTR_Brokers[[#This Row],[FechaRecepcion]],"mmmm")&amp;" "&amp;YEAR(SCTR_Brokers[[#This Row],[FechaRecepcion]]))</f>
        <v>agosto 2026</v>
      </c>
      <c r="U51">
        <f>IF(SCTR_Brokers[[#This Row],[Estado]]="FINALIZADO",1,0)</f>
        <v>1</v>
      </c>
      <c r="V51">
        <f>IF(SCTR_Brokers[[#This Row],[FechaRecepcion]]="","",IF(SCTR_Brokers[[#This Row],[Estado]]="FINALIZADO",0,1))</f>
        <v>0</v>
      </c>
      <c r="W51">
        <f ca="1">IF(AND(SCTR_Brokers[[#This Row],[Estado]]="FINALIZADO",SCTR_Brokers[[#This Row],[Plazo]]=LISTAS!$J$3),1,0)</f>
        <v>0</v>
      </c>
      <c r="X51">
        <f ca="1">IF(AND(SCTR_Brokers[[#This Row],[Estado]]="FINALIZADO",SCTR_Brokers[[#This Row],[Plazo]]=LISTAS!$J$4),1,0)</f>
        <v>1</v>
      </c>
      <c r="Y51">
        <f ca="1">IF(AND(SCTR_Brokers[[#This Row],[Estado]]&lt;&gt;"FINALIZADO",SCTR_Brokers[[#This Row],[Plazo]]=LISTAS!$J$4),1,0)</f>
        <v>0</v>
      </c>
      <c r="Z51">
        <f>IF(SCTR_Brokers[[#This Row],[Fecha_Solic_Informe]]="",0,1)</f>
        <v>0</v>
      </c>
      <c r="AA51">
        <f>IF(SCTR_Brokers[[#This Row],[Fecha_Informe]]="",0,1)</f>
        <v>0</v>
      </c>
      <c r="AB51">
        <f>IF(AND(SCTR_Brokers[[#This Row],[Fecha_Solic_Informe]]&lt;&gt;"",SCTR_Brokers[[#This Row],[Fecha_Informe]]=""),1,0)</f>
        <v>0</v>
      </c>
      <c r="AC5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2" spans="1:29" hidden="1">
      <c r="A52" t="s">
        <v>187</v>
      </c>
      <c r="C52" t="str">
        <f>IF(SCTR_Brokers[[#This Row],[FechaRecepcion]]="","",SCTR_Brokers[[#This Row],[ConversationId]]&amp;"-"&amp;TEXT(SCTR_Brokers[[#This Row],[FechaRecepcion]],"aaaammddhhmmss"))</f>
        <v>AAQkADdkNThjNzFkLWM0ZmMtNDJhYS04MDVlLTIwNzE4ZDI1Mzg4YgAQAGw6SENGEkr8laV8SRm2o3o=-20260819120046</v>
      </c>
      <c r="D52" t="s">
        <v>188</v>
      </c>
      <c r="E52" t="s">
        <v>21</v>
      </c>
      <c r="F52" s="3">
        <v>46253.500532407408</v>
      </c>
      <c r="G52" s="3">
        <v>46253.762777777774</v>
      </c>
      <c r="H52" t="s">
        <v>70</v>
      </c>
      <c r="I52" t="s">
        <v>7</v>
      </c>
      <c r="K52" t="s">
        <v>67</v>
      </c>
      <c r="L52" s="10"/>
      <c r="N52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2" s="3"/>
      <c r="P52" s="3"/>
      <c r="Q52" s="3">
        <v>46253.762777777774</v>
      </c>
      <c r="R5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2" t="str">
        <f>IF(SCTR_Brokers[[#This Row],[FechaRecepcion]]="","",TEXT(SCTR_Brokers[[#This Row],[FechaRecepcion]],"mmmm")&amp;" "&amp;YEAR(SCTR_Brokers[[#This Row],[FechaRecepcion]]))</f>
        <v>agosto 2026</v>
      </c>
      <c r="U52">
        <f>IF(SCTR_Brokers[[#This Row],[Estado]]="FINALIZADO",1,0)</f>
        <v>1</v>
      </c>
      <c r="V52">
        <f>IF(SCTR_Brokers[[#This Row],[FechaRecepcion]]="","",IF(SCTR_Brokers[[#This Row],[Estado]]="FINALIZADO",0,1))</f>
        <v>0</v>
      </c>
      <c r="W52">
        <f ca="1">IF(AND(SCTR_Brokers[[#This Row],[Estado]]="FINALIZADO",SCTR_Brokers[[#This Row],[Plazo]]=LISTAS!$J$3),1,0)</f>
        <v>1</v>
      </c>
      <c r="X52">
        <f ca="1">IF(AND(SCTR_Brokers[[#This Row],[Estado]]="FINALIZADO",SCTR_Brokers[[#This Row],[Plazo]]=LISTAS!$J$4),1,0)</f>
        <v>0</v>
      </c>
      <c r="Y52">
        <f ca="1">IF(AND(SCTR_Brokers[[#This Row],[Estado]]&lt;&gt;"FINALIZADO",SCTR_Brokers[[#This Row],[Plazo]]=LISTAS!$J$4),1,0)</f>
        <v>0</v>
      </c>
      <c r="Z52">
        <f>IF(SCTR_Brokers[[#This Row],[Fecha_Solic_Informe]]="",0,1)</f>
        <v>0</v>
      </c>
      <c r="AA52">
        <f>IF(SCTR_Brokers[[#This Row],[Fecha_Informe]]="",0,1)</f>
        <v>0</v>
      </c>
      <c r="AB52">
        <f>IF(AND(SCTR_Brokers[[#This Row],[Fecha_Solic_Informe]]&lt;&gt;"",SCTR_Brokers[[#This Row],[Fecha_Informe]]=""),1,0)</f>
        <v>0</v>
      </c>
      <c r="AC5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3" spans="1:29" hidden="1">
      <c r="A53" t="s">
        <v>189</v>
      </c>
      <c r="C53" t="str">
        <f>IF(SCTR_Brokers[[#This Row],[FechaRecepcion]]="","",SCTR_Brokers[[#This Row],[ConversationId]]&amp;"-"&amp;TEXT(SCTR_Brokers[[#This Row],[FechaRecepcion]],"aaaammddhhmmss"))</f>
        <v>AAQkADdkNThjNzFkLWM0ZmMtNDJhYS04MDVlLTIwNzE4ZDI1Mzg4YgAQALQn15Gd0D9Joilsq8tvxPA=-20260819120140</v>
      </c>
      <c r="D53" t="s">
        <v>190</v>
      </c>
      <c r="E53" t="s">
        <v>8</v>
      </c>
      <c r="F53" s="3">
        <v>46253.501157407409</v>
      </c>
      <c r="G53" s="3">
        <v>46253.647268518522</v>
      </c>
      <c r="H53" t="s">
        <v>70</v>
      </c>
      <c r="I53" t="s">
        <v>7</v>
      </c>
      <c r="K53" t="s">
        <v>67</v>
      </c>
      <c r="L53" s="10"/>
      <c r="N53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3" s="3"/>
      <c r="P53" s="3"/>
      <c r="Q53" s="3">
        <v>46253.647268518522</v>
      </c>
      <c r="R5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3" t="str">
        <f>IF(SCTR_Brokers[[#This Row],[FechaRecepcion]]="","",TEXT(SCTR_Brokers[[#This Row],[FechaRecepcion]],"mmmm")&amp;" "&amp;YEAR(SCTR_Brokers[[#This Row],[FechaRecepcion]]))</f>
        <v>agosto 2026</v>
      </c>
      <c r="U53">
        <f>IF(SCTR_Brokers[[#This Row],[Estado]]="FINALIZADO",1,0)</f>
        <v>1</v>
      </c>
      <c r="V53">
        <f>IF(SCTR_Brokers[[#This Row],[FechaRecepcion]]="","",IF(SCTR_Brokers[[#This Row],[Estado]]="FINALIZADO",0,1))</f>
        <v>0</v>
      </c>
      <c r="W53">
        <f ca="1">IF(AND(SCTR_Brokers[[#This Row],[Estado]]="FINALIZADO",SCTR_Brokers[[#This Row],[Plazo]]=LISTAS!$J$3),1,0)</f>
        <v>1</v>
      </c>
      <c r="X53">
        <f ca="1">IF(AND(SCTR_Brokers[[#This Row],[Estado]]="FINALIZADO",SCTR_Brokers[[#This Row],[Plazo]]=LISTAS!$J$4),1,0)</f>
        <v>0</v>
      </c>
      <c r="Y53">
        <f ca="1">IF(AND(SCTR_Brokers[[#This Row],[Estado]]&lt;&gt;"FINALIZADO",SCTR_Brokers[[#This Row],[Plazo]]=LISTAS!$J$4),1,0)</f>
        <v>0</v>
      </c>
      <c r="Z53">
        <f>IF(SCTR_Brokers[[#This Row],[Fecha_Solic_Informe]]="",0,1)</f>
        <v>0</v>
      </c>
      <c r="AA53">
        <f>IF(SCTR_Brokers[[#This Row],[Fecha_Informe]]="",0,1)</f>
        <v>0</v>
      </c>
      <c r="AB53">
        <f>IF(AND(SCTR_Brokers[[#This Row],[Fecha_Solic_Informe]]&lt;&gt;"",SCTR_Brokers[[#This Row],[Fecha_Informe]]=""),1,0)</f>
        <v>0</v>
      </c>
      <c r="AC5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4" spans="1:29" hidden="1">
      <c r="A54" t="s">
        <v>174</v>
      </c>
      <c r="C54" t="str">
        <f>IF(SCTR_Brokers[[#This Row],[FechaRecepcion]]="","",SCTR_Brokers[[#This Row],[ConversationId]]&amp;"-"&amp;TEXT(SCTR_Brokers[[#This Row],[FechaRecepcion]],"aaaammddhhmmss"))</f>
        <v>AAQkADdkNThjNzFkLWM0ZmMtNDJhYS04MDVlLTIwNzE4ZDI1Mzg4YgAQALLK7MWxQEmCvxHKC-OI7y4=-20260819122334</v>
      </c>
      <c r="D54" t="s">
        <v>175</v>
      </c>
      <c r="E54" t="s">
        <v>14</v>
      </c>
      <c r="F54" s="3">
        <v>46253.516365740739</v>
      </c>
      <c r="G54" s="3">
        <v>46253.529236111113</v>
      </c>
      <c r="H54" t="s">
        <v>70</v>
      </c>
      <c r="I54" t="s">
        <v>7</v>
      </c>
      <c r="K54" t="s">
        <v>67</v>
      </c>
      <c r="L54" s="10"/>
      <c r="N54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4" s="3"/>
      <c r="P54" s="3"/>
      <c r="Q54" s="3">
        <v>46253.529236111113</v>
      </c>
      <c r="R5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4" t="str">
        <f>IF(SCTR_Brokers[[#This Row],[FechaRecepcion]]="","",TEXT(SCTR_Brokers[[#This Row],[FechaRecepcion]],"mmmm")&amp;" "&amp;YEAR(SCTR_Brokers[[#This Row],[FechaRecepcion]]))</f>
        <v>agosto 2026</v>
      </c>
      <c r="U54">
        <f>IF(SCTR_Brokers[[#This Row],[Estado]]="FINALIZADO",1,0)</f>
        <v>1</v>
      </c>
      <c r="V54">
        <f>IF(SCTR_Brokers[[#This Row],[FechaRecepcion]]="","",IF(SCTR_Brokers[[#This Row],[Estado]]="FINALIZADO",0,1))</f>
        <v>0</v>
      </c>
      <c r="W54">
        <f ca="1">IF(AND(SCTR_Brokers[[#This Row],[Estado]]="FINALIZADO",SCTR_Brokers[[#This Row],[Plazo]]=LISTAS!$J$3),1,0)</f>
        <v>1</v>
      </c>
      <c r="X54">
        <f ca="1">IF(AND(SCTR_Brokers[[#This Row],[Estado]]="FINALIZADO",SCTR_Brokers[[#This Row],[Plazo]]=LISTAS!$J$4),1,0)</f>
        <v>0</v>
      </c>
      <c r="Y54">
        <f ca="1">IF(AND(SCTR_Brokers[[#This Row],[Estado]]&lt;&gt;"FINALIZADO",SCTR_Brokers[[#This Row],[Plazo]]=LISTAS!$J$4),1,0)</f>
        <v>0</v>
      </c>
      <c r="Z54">
        <f>IF(SCTR_Brokers[[#This Row],[Fecha_Solic_Informe]]="",0,1)</f>
        <v>0</v>
      </c>
      <c r="AA54">
        <f>IF(SCTR_Brokers[[#This Row],[Fecha_Informe]]="",0,1)</f>
        <v>0</v>
      </c>
      <c r="AB54">
        <f>IF(AND(SCTR_Brokers[[#This Row],[Fecha_Solic_Informe]]&lt;&gt;"",SCTR_Brokers[[#This Row],[Fecha_Informe]]=""),1,0)</f>
        <v>0</v>
      </c>
      <c r="AC5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5" spans="1:29" hidden="1">
      <c r="A55" t="s">
        <v>191</v>
      </c>
      <c r="C55" t="str">
        <f>IF(SCTR_Brokers[[#This Row],[FechaRecepcion]]="","",SCTR_Brokers[[#This Row],[ConversationId]]&amp;"-"&amp;TEXT(SCTR_Brokers[[#This Row],[FechaRecepcion]],"aaaammddhhmmss"))</f>
        <v>AAQkADdkNThjNzFkLWM0ZmMtNDJhYS04MDVlLTIwNzE4ZDI1Mzg4YgAQAOLMIoA5aiZPkJW1-D-Ysug=-20260819123302</v>
      </c>
      <c r="D55" t="s">
        <v>192</v>
      </c>
      <c r="E55" t="s">
        <v>21</v>
      </c>
      <c r="F55" s="3">
        <v>46253.522939814815</v>
      </c>
      <c r="G55" s="3">
        <v>46253.758703703701</v>
      </c>
      <c r="H55" t="s">
        <v>70</v>
      </c>
      <c r="I55" t="s">
        <v>7</v>
      </c>
      <c r="K55" t="s">
        <v>67</v>
      </c>
      <c r="L55" s="10"/>
      <c r="N55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5" s="3"/>
      <c r="P55" s="3"/>
      <c r="Q55" s="3">
        <v>46253.758703703701</v>
      </c>
      <c r="R5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5" t="str">
        <f>IF(SCTR_Brokers[[#This Row],[FechaRecepcion]]="","",TEXT(SCTR_Brokers[[#This Row],[FechaRecepcion]],"mmmm")&amp;" "&amp;YEAR(SCTR_Brokers[[#This Row],[FechaRecepcion]]))</f>
        <v>agosto 2026</v>
      </c>
      <c r="U55">
        <f>IF(SCTR_Brokers[[#This Row],[Estado]]="FINALIZADO",1,0)</f>
        <v>1</v>
      </c>
      <c r="V55">
        <f>IF(SCTR_Brokers[[#This Row],[FechaRecepcion]]="","",IF(SCTR_Brokers[[#This Row],[Estado]]="FINALIZADO",0,1))</f>
        <v>0</v>
      </c>
      <c r="W55">
        <f ca="1">IF(AND(SCTR_Brokers[[#This Row],[Estado]]="FINALIZADO",SCTR_Brokers[[#This Row],[Plazo]]=LISTAS!$J$3),1,0)</f>
        <v>1</v>
      </c>
      <c r="X55">
        <f ca="1">IF(AND(SCTR_Brokers[[#This Row],[Estado]]="FINALIZADO",SCTR_Brokers[[#This Row],[Plazo]]=LISTAS!$J$4),1,0)</f>
        <v>0</v>
      </c>
      <c r="Y55">
        <f ca="1">IF(AND(SCTR_Brokers[[#This Row],[Estado]]&lt;&gt;"FINALIZADO",SCTR_Brokers[[#This Row],[Plazo]]=LISTAS!$J$4),1,0)</f>
        <v>0</v>
      </c>
      <c r="Z55">
        <f>IF(SCTR_Brokers[[#This Row],[Fecha_Solic_Informe]]="",0,1)</f>
        <v>0</v>
      </c>
      <c r="AA55">
        <f>IF(SCTR_Brokers[[#This Row],[Fecha_Informe]]="",0,1)</f>
        <v>0</v>
      </c>
      <c r="AB55">
        <f>IF(AND(SCTR_Brokers[[#This Row],[Fecha_Solic_Informe]]&lt;&gt;"",SCTR_Brokers[[#This Row],[Fecha_Informe]]=""),1,0)</f>
        <v>0</v>
      </c>
      <c r="AC5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6" spans="1:29" hidden="1">
      <c r="A56" t="s">
        <v>193</v>
      </c>
      <c r="C56" t="str">
        <f>IF(SCTR_Brokers[[#This Row],[FechaRecepcion]]="","",SCTR_Brokers[[#This Row],[ConversationId]]&amp;"-"&amp;TEXT(SCTR_Brokers[[#This Row],[FechaRecepcion]],"aaaammddhhmmss"))</f>
        <v>AAQkADdkNThjNzFkLWM0ZmMtNDJhYS04MDVlLTIwNzE4ZDI1Mzg4YgAQAAKe74D7Bv5OjzqB6Z8DV1w=-20260819123543</v>
      </c>
      <c r="D56" t="s">
        <v>194</v>
      </c>
      <c r="E56" t="s">
        <v>21</v>
      </c>
      <c r="F56" s="3">
        <v>46253.52480324074</v>
      </c>
      <c r="G56" s="3">
        <v>46253.761377314811</v>
      </c>
      <c r="H56" t="s">
        <v>70</v>
      </c>
      <c r="I56" t="s">
        <v>7</v>
      </c>
      <c r="K56" t="s">
        <v>67</v>
      </c>
      <c r="L56" s="10"/>
      <c r="N56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6" s="3"/>
      <c r="P56" s="3"/>
      <c r="Q56" s="3">
        <v>46253.761377314811</v>
      </c>
      <c r="R5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6" t="str">
        <f>IF(SCTR_Brokers[[#This Row],[FechaRecepcion]]="","",TEXT(SCTR_Brokers[[#This Row],[FechaRecepcion]],"mmmm")&amp;" "&amp;YEAR(SCTR_Brokers[[#This Row],[FechaRecepcion]]))</f>
        <v>agosto 2026</v>
      </c>
      <c r="U56">
        <f>IF(SCTR_Brokers[[#This Row],[Estado]]="FINALIZADO",1,0)</f>
        <v>1</v>
      </c>
      <c r="V56">
        <f>IF(SCTR_Brokers[[#This Row],[FechaRecepcion]]="","",IF(SCTR_Brokers[[#This Row],[Estado]]="FINALIZADO",0,1))</f>
        <v>0</v>
      </c>
      <c r="W56">
        <f ca="1">IF(AND(SCTR_Brokers[[#This Row],[Estado]]="FINALIZADO",SCTR_Brokers[[#This Row],[Plazo]]=LISTAS!$J$3),1,0)</f>
        <v>1</v>
      </c>
      <c r="X56">
        <f ca="1">IF(AND(SCTR_Brokers[[#This Row],[Estado]]="FINALIZADO",SCTR_Brokers[[#This Row],[Plazo]]=LISTAS!$J$4),1,0)</f>
        <v>0</v>
      </c>
      <c r="Y56">
        <f ca="1">IF(AND(SCTR_Brokers[[#This Row],[Estado]]&lt;&gt;"FINALIZADO",SCTR_Brokers[[#This Row],[Plazo]]=LISTAS!$J$4),1,0)</f>
        <v>0</v>
      </c>
      <c r="Z56">
        <f>IF(SCTR_Brokers[[#This Row],[Fecha_Solic_Informe]]="",0,1)</f>
        <v>0</v>
      </c>
      <c r="AA56">
        <f>IF(SCTR_Brokers[[#This Row],[Fecha_Informe]]="",0,1)</f>
        <v>0</v>
      </c>
      <c r="AB56">
        <f>IF(AND(SCTR_Brokers[[#This Row],[Fecha_Solic_Informe]]&lt;&gt;"",SCTR_Brokers[[#This Row],[Fecha_Informe]]=""),1,0)</f>
        <v>0</v>
      </c>
      <c r="AC5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7" spans="1:29" hidden="1">
      <c r="A57" t="s">
        <v>195</v>
      </c>
      <c r="C57" t="str">
        <f>IF(SCTR_Brokers[[#This Row],[FechaRecepcion]]="","",SCTR_Brokers[[#This Row],[ConversationId]]&amp;"-"&amp;TEXT(SCTR_Brokers[[#This Row],[FechaRecepcion]],"aaaammddhhmmss"))</f>
        <v>AAQkADdkNThjNzFkLWM0ZmMtNDJhYS04MDVlLTIwNzE4ZDI1Mzg4YgAQAP--1jgQfEsVpFHxXbo2FNM=-20260819135723</v>
      </c>
      <c r="D57" t="s">
        <v>196</v>
      </c>
      <c r="E57" t="s">
        <v>8</v>
      </c>
      <c r="F57" s="3">
        <v>46253.581516203703</v>
      </c>
      <c r="G57" s="3">
        <v>46253.702245370368</v>
      </c>
      <c r="H57" t="s">
        <v>70</v>
      </c>
      <c r="I57" t="s">
        <v>7</v>
      </c>
      <c r="J57" t="s">
        <v>163</v>
      </c>
      <c r="K57" t="s">
        <v>138</v>
      </c>
      <c r="L57" s="10" t="s">
        <v>197</v>
      </c>
      <c r="N57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7" s="3">
        <v>46253.701689814814</v>
      </c>
      <c r="P57" s="3"/>
      <c r="Q57" s="3">
        <v>46253.702245370368</v>
      </c>
      <c r="R5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57" t="s">
        <v>164</v>
      </c>
      <c r="T57" t="str">
        <f>IF(SCTR_Brokers[[#This Row],[FechaRecepcion]]="","",TEXT(SCTR_Brokers[[#This Row],[FechaRecepcion]],"mmmm")&amp;" "&amp;YEAR(SCTR_Brokers[[#This Row],[FechaRecepcion]]))</f>
        <v>agosto 2026</v>
      </c>
      <c r="U57">
        <f>IF(SCTR_Brokers[[#This Row],[Estado]]="FINALIZADO",1,0)</f>
        <v>1</v>
      </c>
      <c r="V57">
        <f>IF(SCTR_Brokers[[#This Row],[FechaRecepcion]]="","",IF(SCTR_Brokers[[#This Row],[Estado]]="FINALIZADO",0,1))</f>
        <v>0</v>
      </c>
      <c r="W57">
        <f ca="1">IF(AND(SCTR_Brokers[[#This Row],[Estado]]="FINALIZADO",SCTR_Brokers[[#This Row],[Plazo]]=LISTAS!$J$3),1,0)</f>
        <v>1</v>
      </c>
      <c r="X57">
        <f ca="1">IF(AND(SCTR_Brokers[[#This Row],[Estado]]="FINALIZADO",SCTR_Brokers[[#This Row],[Plazo]]=LISTAS!$J$4),1,0)</f>
        <v>0</v>
      </c>
      <c r="Y57">
        <f ca="1">IF(AND(SCTR_Brokers[[#This Row],[Estado]]&lt;&gt;"FINALIZADO",SCTR_Brokers[[#This Row],[Plazo]]=LISTAS!$J$4),1,0)</f>
        <v>0</v>
      </c>
      <c r="Z57">
        <f>IF(SCTR_Brokers[[#This Row],[Fecha_Solic_Informe]]="",0,1)</f>
        <v>1</v>
      </c>
      <c r="AA57">
        <f>IF(SCTR_Brokers[[#This Row],[Fecha_Informe]]="",0,1)</f>
        <v>0</v>
      </c>
      <c r="AB57">
        <f>IF(AND(SCTR_Brokers[[#This Row],[Fecha_Solic_Informe]]&lt;&gt;"",SCTR_Brokers[[#This Row],[Fecha_Informe]]=""),1,0)</f>
        <v>1</v>
      </c>
      <c r="AC5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8" spans="1:29" hidden="1">
      <c r="A58" t="s">
        <v>198</v>
      </c>
      <c r="C58" t="str">
        <f>IF(SCTR_Brokers[[#This Row],[FechaRecepcion]]="","",SCTR_Brokers[[#This Row],[ConversationId]]&amp;"-"&amp;TEXT(SCTR_Brokers[[#This Row],[FechaRecepcion]],"aaaammddhhmmss"))</f>
        <v>AAQkADdkNThjNzFkLWM0ZmMtNDJhYS04MDVlLTIwNzE4ZDI1Mzg4YgAQACe8OB-sMEpLoLFuqabUl2Q=-20260819152045</v>
      </c>
      <c r="D58" t="s">
        <v>199</v>
      </c>
      <c r="E58" t="s">
        <v>14</v>
      </c>
      <c r="F58" s="3">
        <v>46253.639409722222</v>
      </c>
      <c r="G58" s="3">
        <v>46253.689525462964</v>
      </c>
      <c r="H58" t="s">
        <v>200</v>
      </c>
      <c r="I58" t="s">
        <v>7</v>
      </c>
      <c r="J58" t="s">
        <v>201</v>
      </c>
      <c r="K58" t="s">
        <v>67</v>
      </c>
      <c r="L58" s="10"/>
      <c r="N58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8" s="3"/>
      <c r="P58" s="3"/>
      <c r="Q58" s="3">
        <v>46253.689525462964</v>
      </c>
      <c r="R5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8" t="str">
        <f>IF(SCTR_Brokers[[#This Row],[FechaRecepcion]]="","",TEXT(SCTR_Brokers[[#This Row],[FechaRecepcion]],"mmmm")&amp;" "&amp;YEAR(SCTR_Brokers[[#This Row],[FechaRecepcion]]))</f>
        <v>agosto 2026</v>
      </c>
      <c r="U58">
        <f>IF(SCTR_Brokers[[#This Row],[Estado]]="FINALIZADO",1,0)</f>
        <v>1</v>
      </c>
      <c r="V58">
        <f>IF(SCTR_Brokers[[#This Row],[FechaRecepcion]]="","",IF(SCTR_Brokers[[#This Row],[Estado]]="FINALIZADO",0,1))</f>
        <v>0</v>
      </c>
      <c r="W58">
        <f ca="1">IF(AND(SCTR_Brokers[[#This Row],[Estado]]="FINALIZADO",SCTR_Brokers[[#This Row],[Plazo]]=LISTAS!$J$3),1,0)</f>
        <v>1</v>
      </c>
      <c r="X58">
        <f ca="1">IF(AND(SCTR_Brokers[[#This Row],[Estado]]="FINALIZADO",SCTR_Brokers[[#This Row],[Plazo]]=LISTAS!$J$4),1,0)</f>
        <v>0</v>
      </c>
      <c r="Y58">
        <f ca="1">IF(AND(SCTR_Brokers[[#This Row],[Estado]]&lt;&gt;"FINALIZADO",SCTR_Brokers[[#This Row],[Plazo]]=LISTAS!$J$4),1,0)</f>
        <v>0</v>
      </c>
      <c r="Z58">
        <f>IF(SCTR_Brokers[[#This Row],[Fecha_Solic_Informe]]="",0,1)</f>
        <v>0</v>
      </c>
      <c r="AA58">
        <f>IF(SCTR_Brokers[[#This Row],[Fecha_Informe]]="",0,1)</f>
        <v>0</v>
      </c>
      <c r="AB58">
        <f>IF(AND(SCTR_Brokers[[#This Row],[Fecha_Solic_Informe]]&lt;&gt;"",SCTR_Brokers[[#This Row],[Fecha_Informe]]=""),1,0)</f>
        <v>0</v>
      </c>
      <c r="AC5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9" spans="1:29" hidden="1">
      <c r="A59" t="s">
        <v>202</v>
      </c>
      <c r="C59" t="str">
        <f>IF(SCTR_Brokers[[#This Row],[FechaRecepcion]]="","",SCTR_Brokers[[#This Row],[ConversationId]]&amp;"-"&amp;TEXT(SCTR_Brokers[[#This Row],[FechaRecepcion]],"aaaammddhhmmss"))</f>
        <v>AAQkADdkNThjNzFkLWM0ZmMtNDJhYS04MDVlLTIwNzE4ZDI1Mzg4YgAQALbe-WzY61BKkw-6tTr2ews=-20260819153921</v>
      </c>
      <c r="D59" t="s">
        <v>203</v>
      </c>
      <c r="E59" t="s">
        <v>21</v>
      </c>
      <c r="F59" s="3">
        <v>46253.652326388888</v>
      </c>
      <c r="G59" s="3">
        <v>46253.775046296294</v>
      </c>
      <c r="H59" t="s">
        <v>204</v>
      </c>
      <c r="I59" t="s">
        <v>7</v>
      </c>
      <c r="J59" t="s">
        <v>205</v>
      </c>
      <c r="K59" t="s">
        <v>67</v>
      </c>
      <c r="L59" s="10"/>
      <c r="N59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9" s="3"/>
      <c r="P59" s="3"/>
      <c r="Q59" s="3">
        <v>46253.775046296294</v>
      </c>
      <c r="R5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9" t="str">
        <f>IF(SCTR_Brokers[[#This Row],[FechaRecepcion]]="","",TEXT(SCTR_Brokers[[#This Row],[FechaRecepcion]],"mmmm")&amp;" "&amp;YEAR(SCTR_Brokers[[#This Row],[FechaRecepcion]]))</f>
        <v>agosto 2026</v>
      </c>
      <c r="U59">
        <f>IF(SCTR_Brokers[[#This Row],[Estado]]="FINALIZADO",1,0)</f>
        <v>1</v>
      </c>
      <c r="V59">
        <f>IF(SCTR_Brokers[[#This Row],[FechaRecepcion]]="","",IF(SCTR_Brokers[[#This Row],[Estado]]="FINALIZADO",0,1))</f>
        <v>0</v>
      </c>
      <c r="W59">
        <f ca="1">IF(AND(SCTR_Brokers[[#This Row],[Estado]]="FINALIZADO",SCTR_Brokers[[#This Row],[Plazo]]=LISTAS!$J$3),1,0)</f>
        <v>1</v>
      </c>
      <c r="X59">
        <f ca="1">IF(AND(SCTR_Brokers[[#This Row],[Estado]]="FINALIZADO",SCTR_Brokers[[#This Row],[Plazo]]=LISTAS!$J$4),1,0)</f>
        <v>0</v>
      </c>
      <c r="Y59">
        <f ca="1">IF(AND(SCTR_Brokers[[#This Row],[Estado]]&lt;&gt;"FINALIZADO",SCTR_Brokers[[#This Row],[Plazo]]=LISTAS!$J$4),1,0)</f>
        <v>0</v>
      </c>
      <c r="Z59">
        <f>IF(SCTR_Brokers[[#This Row],[Fecha_Solic_Informe]]="",0,1)</f>
        <v>0</v>
      </c>
      <c r="AA59">
        <f>IF(SCTR_Brokers[[#This Row],[Fecha_Informe]]="",0,1)</f>
        <v>0</v>
      </c>
      <c r="AB59">
        <f>IF(AND(SCTR_Brokers[[#This Row],[Fecha_Solic_Informe]]&lt;&gt;"",SCTR_Brokers[[#This Row],[Fecha_Informe]]=""),1,0)</f>
        <v>0</v>
      </c>
      <c r="AC5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60" spans="1:29" hidden="1">
      <c r="A60" t="s">
        <v>206</v>
      </c>
      <c r="C60" t="str">
        <f>IF(SCTR_Brokers[[#This Row],[FechaRecepcion]]="","",SCTR_Brokers[[#This Row],[ConversationId]]&amp;"-"&amp;TEXT(SCTR_Brokers[[#This Row],[FechaRecepcion]],"aaaammddhhmmss"))</f>
        <v>AAQkADdkNThjNzFkLWM0ZmMtNDJhYS04MDVlLTIwNzE4ZDI1Mzg4YgAQAJ3LwC2Ba59Omym-_yDbHLI=-20260819154943</v>
      </c>
      <c r="D60" t="s">
        <v>207</v>
      </c>
      <c r="E60" t="s">
        <v>8</v>
      </c>
      <c r="F60" s="3">
        <v>46253.659525462965</v>
      </c>
      <c r="G60" s="3">
        <v>46253.659525462965</v>
      </c>
      <c r="H60" t="s">
        <v>208</v>
      </c>
      <c r="I60" t="s">
        <v>7</v>
      </c>
      <c r="J60" t="s">
        <v>209</v>
      </c>
      <c r="K60" t="s">
        <v>67</v>
      </c>
      <c r="L60" s="10"/>
      <c r="N60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60" s="3"/>
      <c r="P60" s="3"/>
      <c r="Q60" s="3"/>
      <c r="R6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60" t="str">
        <f>IF(SCTR_Brokers[[#This Row],[FechaRecepcion]]="","",TEXT(SCTR_Brokers[[#This Row],[FechaRecepcion]],"mmmm")&amp;" "&amp;YEAR(SCTR_Brokers[[#This Row],[FechaRecepcion]]))</f>
        <v>agosto 2026</v>
      </c>
      <c r="U60">
        <f>IF(SCTR_Brokers[[#This Row],[Estado]]="FINALIZADO",1,0)</f>
        <v>1</v>
      </c>
      <c r="V60">
        <f>IF(SCTR_Brokers[[#This Row],[FechaRecepcion]]="","",IF(SCTR_Brokers[[#This Row],[Estado]]="FINALIZADO",0,1))</f>
        <v>0</v>
      </c>
      <c r="W60">
        <f ca="1">IF(AND(SCTR_Brokers[[#This Row],[Estado]]="FINALIZADO",SCTR_Brokers[[#This Row],[Plazo]]=LISTAS!$J$3),1,0)</f>
        <v>0</v>
      </c>
      <c r="X60">
        <f ca="1">IF(AND(SCTR_Brokers[[#This Row],[Estado]]="FINALIZADO",SCTR_Brokers[[#This Row],[Plazo]]=LISTAS!$J$4),1,0)</f>
        <v>1</v>
      </c>
      <c r="Y60">
        <f ca="1">IF(AND(SCTR_Brokers[[#This Row],[Estado]]&lt;&gt;"FINALIZADO",SCTR_Brokers[[#This Row],[Plazo]]=LISTAS!$J$4),1,0)</f>
        <v>0</v>
      </c>
      <c r="Z60">
        <f>IF(SCTR_Brokers[[#This Row],[Fecha_Solic_Informe]]="",0,1)</f>
        <v>0</v>
      </c>
      <c r="AA60">
        <f>IF(SCTR_Brokers[[#This Row],[Fecha_Informe]]="",0,1)</f>
        <v>0</v>
      </c>
      <c r="AB60">
        <f>IF(AND(SCTR_Brokers[[#This Row],[Fecha_Solic_Informe]]&lt;&gt;"",SCTR_Brokers[[#This Row],[Fecha_Informe]]=""),1,0)</f>
        <v>0</v>
      </c>
      <c r="AC6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61" spans="1:29" hidden="1">
      <c r="A61" t="s">
        <v>210</v>
      </c>
      <c r="C61" t="str">
        <f>IF(SCTR_Brokers[[#This Row],[FechaRecepcion]]="","",SCTR_Brokers[[#This Row],[ConversationId]]&amp;"-"&amp;TEXT(SCTR_Brokers[[#This Row],[FechaRecepcion]],"aaaammddhhmmss"))</f>
        <v>AAQkADdkNThjNzFkLWM0ZmMtNDJhYS04MDVlLTIwNzE4ZDI1Mzg4YgAQAMRH-4yVMOZFuvuyN4aHTSI=-20260819155459</v>
      </c>
      <c r="D61" t="s">
        <v>211</v>
      </c>
      <c r="E61" t="s">
        <v>8</v>
      </c>
      <c r="F61" s="3">
        <v>46253.663182870368</v>
      </c>
      <c r="G61" s="3">
        <v>46253.752847222226</v>
      </c>
      <c r="H61" t="s">
        <v>70</v>
      </c>
      <c r="I61" t="s">
        <v>7</v>
      </c>
      <c r="K61" t="s">
        <v>67</v>
      </c>
      <c r="L61" s="10"/>
      <c r="N61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61" s="3"/>
      <c r="P61" s="3"/>
      <c r="Q61" s="3">
        <v>46253.752847222226</v>
      </c>
      <c r="R6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61" t="str">
        <f>IF(SCTR_Brokers[[#This Row],[FechaRecepcion]]="","",TEXT(SCTR_Brokers[[#This Row],[FechaRecepcion]],"mmmm")&amp;" "&amp;YEAR(SCTR_Brokers[[#This Row],[FechaRecepcion]]))</f>
        <v>agosto 2026</v>
      </c>
      <c r="U61">
        <f>IF(SCTR_Brokers[[#This Row],[Estado]]="FINALIZADO",1,0)</f>
        <v>1</v>
      </c>
      <c r="V61">
        <f>IF(SCTR_Brokers[[#This Row],[FechaRecepcion]]="","",IF(SCTR_Brokers[[#This Row],[Estado]]="FINALIZADO",0,1))</f>
        <v>0</v>
      </c>
      <c r="W61">
        <f ca="1">IF(AND(SCTR_Brokers[[#This Row],[Estado]]="FINALIZADO",SCTR_Brokers[[#This Row],[Plazo]]=LISTAS!$J$3),1,0)</f>
        <v>1</v>
      </c>
      <c r="X61">
        <f ca="1">IF(AND(SCTR_Brokers[[#This Row],[Estado]]="FINALIZADO",SCTR_Brokers[[#This Row],[Plazo]]=LISTAS!$J$4),1,0)</f>
        <v>0</v>
      </c>
      <c r="Y61">
        <f ca="1">IF(AND(SCTR_Brokers[[#This Row],[Estado]]&lt;&gt;"FINALIZADO",SCTR_Brokers[[#This Row],[Plazo]]=LISTAS!$J$4),1,0)</f>
        <v>0</v>
      </c>
      <c r="Z61">
        <f>IF(SCTR_Brokers[[#This Row],[Fecha_Solic_Informe]]="",0,1)</f>
        <v>0</v>
      </c>
      <c r="AA61">
        <f>IF(SCTR_Brokers[[#This Row],[Fecha_Informe]]="",0,1)</f>
        <v>0</v>
      </c>
      <c r="AB61">
        <f>IF(AND(SCTR_Brokers[[#This Row],[Fecha_Solic_Informe]]&lt;&gt;"",SCTR_Brokers[[#This Row],[Fecha_Informe]]=""),1,0)</f>
        <v>0</v>
      </c>
      <c r="AC6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62" spans="1:29" hidden="1">
      <c r="A62" t="s">
        <v>212</v>
      </c>
      <c r="C62" t="str">
        <f>IF(SCTR_Brokers[[#This Row],[FechaRecepcion]]="","",SCTR_Brokers[[#This Row],[ConversationId]]&amp;"-"&amp;TEXT(SCTR_Brokers[[#This Row],[FechaRecepcion]],"aaaammddhhmmss"))</f>
        <v>AAQkADdkNThjNzFkLWM0ZmMtNDJhYS04MDVlLTIwNzE4ZDI1Mzg4YgAQADtPyenWwfxKgmRW73VjSIs=-20260819170433</v>
      </c>
      <c r="D62" t="s">
        <v>213</v>
      </c>
      <c r="E62" t="s">
        <v>23</v>
      </c>
      <c r="F62" s="3">
        <v>46253.711493055554</v>
      </c>
      <c r="G62" s="3">
        <v>46254.37164351852</v>
      </c>
      <c r="H62" t="s">
        <v>70</v>
      </c>
      <c r="I62" t="s">
        <v>7</v>
      </c>
      <c r="J62" t="s">
        <v>214</v>
      </c>
      <c r="K62" t="s">
        <v>67</v>
      </c>
      <c r="L62" t="s">
        <v>215</v>
      </c>
      <c r="M62" t="s">
        <v>9</v>
      </c>
      <c r="N62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62" s="3">
        <v>46253.741273148145</v>
      </c>
      <c r="P62" s="3">
        <v>46253.869247685187</v>
      </c>
      <c r="Q62" s="3">
        <v>46254.37164351852</v>
      </c>
      <c r="R6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62" t="str">
        <f>IF(SCTR_Brokers[[#This Row],[FechaRecepcion]]="","",TEXT(SCTR_Brokers[[#This Row],[FechaRecepcion]],"mmmm")&amp;" "&amp;YEAR(SCTR_Brokers[[#This Row],[FechaRecepcion]]))</f>
        <v>agosto 2026</v>
      </c>
      <c r="U62">
        <f>IF(SCTR_Brokers[[#This Row],[Estado]]="FINALIZADO",1,0)</f>
        <v>1</v>
      </c>
      <c r="V62">
        <f>IF(SCTR_Brokers[[#This Row],[FechaRecepcion]]="","",IF(SCTR_Brokers[[#This Row],[Estado]]="FINALIZADO",0,1))</f>
        <v>0</v>
      </c>
      <c r="W62">
        <f ca="1">IF(AND(SCTR_Brokers[[#This Row],[Estado]]="FINALIZADO",SCTR_Brokers[[#This Row],[Plazo]]=LISTAS!$J$3),1,0)</f>
        <v>1</v>
      </c>
      <c r="X62">
        <f ca="1">IF(AND(SCTR_Brokers[[#This Row],[Estado]]="FINALIZADO",SCTR_Brokers[[#This Row],[Plazo]]=LISTAS!$J$4),1,0)</f>
        <v>0</v>
      </c>
      <c r="Y62">
        <f ca="1">IF(AND(SCTR_Brokers[[#This Row],[Estado]]&lt;&gt;"FINALIZADO",SCTR_Brokers[[#This Row],[Plazo]]=LISTAS!$J$4),1,0)</f>
        <v>0</v>
      </c>
      <c r="Z62">
        <f>IF(SCTR_Brokers[[#This Row],[Fecha_Solic_Informe]]="",0,1)</f>
        <v>1</v>
      </c>
      <c r="AA62">
        <f>IF(SCTR_Brokers[[#This Row],[Fecha_Informe]]="",0,1)</f>
        <v>1</v>
      </c>
      <c r="AB62">
        <f>IF(AND(SCTR_Brokers[[#This Row],[Fecha_Solic_Informe]]&lt;&gt;"",SCTR_Brokers[[#This Row],[Fecha_Informe]]=""),1,0)</f>
        <v>0</v>
      </c>
      <c r="AC62">
        <f>IF(AND(SCTR_Brokers[[#This Row],[Fecha_Solic_Informe]]&lt;&gt;"",SCTR_Brokers[[#This Row],[Fecha_Informe]]&lt;&gt;""),ROUND((SCTR_Brokers[[#This Row],[Fecha_Informe]]-SCTR_Brokers[[#This Row],[Fecha_Solic_Informe]])*24,1),"")</f>
        <v>3.1</v>
      </c>
    </row>
    <row r="63" spans="1:29" hidden="1">
      <c r="A63" t="s">
        <v>210</v>
      </c>
      <c r="C63" t="str">
        <f>IF(SCTR_Brokers[[#This Row],[FechaRecepcion]]="","",SCTR_Brokers[[#This Row],[ConversationId]]&amp;"-"&amp;TEXT(SCTR_Brokers[[#This Row],[FechaRecepcion]],"aaaammddhhmmss"))</f>
        <v>AAQkADdkNThjNzFkLWM0ZmMtNDJhYS04MDVlLTIwNzE4ZDI1Mzg4YgAQAMRH-4yVMOZFuvuyN4aHTSI=-20260819180923</v>
      </c>
      <c r="D63" t="s">
        <v>216</v>
      </c>
      <c r="E63" t="s">
        <v>8</v>
      </c>
      <c r="F63" s="3">
        <v>46253.756516203706</v>
      </c>
      <c r="G63" s="3">
        <v>46254.596539351849</v>
      </c>
      <c r="H63" t="s">
        <v>217</v>
      </c>
      <c r="I63" t="s">
        <v>7</v>
      </c>
      <c r="J63" t="s">
        <v>218</v>
      </c>
      <c r="K63" t="s">
        <v>67</v>
      </c>
      <c r="L63" s="10"/>
      <c r="N63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63" s="3"/>
      <c r="P63" s="3"/>
      <c r="Q63" s="3">
        <v>46254.596539351849</v>
      </c>
      <c r="R6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63" t="str">
        <f>IF(SCTR_Brokers[[#This Row],[FechaRecepcion]]="","",TEXT(SCTR_Brokers[[#This Row],[FechaRecepcion]],"mmmm")&amp;" "&amp;YEAR(SCTR_Brokers[[#This Row],[FechaRecepcion]]))</f>
        <v>agosto 2026</v>
      </c>
      <c r="U63">
        <f>IF(SCTR_Brokers[[#This Row],[Estado]]="FINALIZADO",1,0)</f>
        <v>1</v>
      </c>
      <c r="V63">
        <f>IF(SCTR_Brokers[[#This Row],[FechaRecepcion]]="","",IF(SCTR_Brokers[[#This Row],[Estado]]="FINALIZADO",0,1))</f>
        <v>0</v>
      </c>
      <c r="W63">
        <f ca="1">IF(AND(SCTR_Brokers[[#This Row],[Estado]]="FINALIZADO",SCTR_Brokers[[#This Row],[Plazo]]=LISTAS!$J$3),1,0)</f>
        <v>0</v>
      </c>
      <c r="X63">
        <f ca="1">IF(AND(SCTR_Brokers[[#This Row],[Estado]]="FINALIZADO",SCTR_Brokers[[#This Row],[Plazo]]=LISTAS!$J$4),1,0)</f>
        <v>1</v>
      </c>
      <c r="Y63">
        <f ca="1">IF(AND(SCTR_Brokers[[#This Row],[Estado]]&lt;&gt;"FINALIZADO",SCTR_Brokers[[#This Row],[Plazo]]=LISTAS!$J$4),1,0)</f>
        <v>0</v>
      </c>
      <c r="Z63">
        <f>IF(SCTR_Brokers[[#This Row],[Fecha_Solic_Informe]]="",0,1)</f>
        <v>0</v>
      </c>
      <c r="AA63">
        <f>IF(SCTR_Brokers[[#This Row],[Fecha_Informe]]="",0,1)</f>
        <v>0</v>
      </c>
      <c r="AB63">
        <f>IF(AND(SCTR_Brokers[[#This Row],[Fecha_Solic_Informe]]&lt;&gt;"",SCTR_Brokers[[#This Row],[Fecha_Informe]]=""),1,0)</f>
        <v>0</v>
      </c>
      <c r="AC6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64" spans="1:29" hidden="1">
      <c r="A64" t="s">
        <v>78</v>
      </c>
      <c r="C64" t="str">
        <f>IF(SCTR_Brokers[[#This Row],[FechaRecepcion]]="","",SCTR_Brokers[[#This Row],[ConversationId]]&amp;"-"&amp;TEXT(SCTR_Brokers[[#This Row],[FechaRecepcion]],"aaaammddhhmmss"))</f>
        <v>AAQkADdkNThjNzFkLWM0ZmMtNDJhYS04MDVlLTIwNzE4ZDI1Mzg4YgAQAKj4wOyC3j1JjF2bNr2RW68=-20260819183013</v>
      </c>
      <c r="D64" t="s">
        <v>219</v>
      </c>
      <c r="E64" t="s">
        <v>21</v>
      </c>
      <c r="F64" s="3">
        <v>46253.770983796298</v>
      </c>
      <c r="G64" s="3">
        <v>46254.369583333333</v>
      </c>
      <c r="H64" t="s">
        <v>70</v>
      </c>
      <c r="I64" t="s">
        <v>7</v>
      </c>
      <c r="K64" t="s">
        <v>67</v>
      </c>
      <c r="L64" s="10"/>
      <c r="N64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64" s="3"/>
      <c r="P64" s="3"/>
      <c r="Q64" s="3">
        <v>46254.369583333333</v>
      </c>
      <c r="R6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64" t="str">
        <f>IF(SCTR_Brokers[[#This Row],[FechaRecepcion]]="","",TEXT(SCTR_Brokers[[#This Row],[FechaRecepcion]],"mmmm")&amp;" "&amp;YEAR(SCTR_Brokers[[#This Row],[FechaRecepcion]]))</f>
        <v>agosto 2026</v>
      </c>
      <c r="U64">
        <f>IF(SCTR_Brokers[[#This Row],[Estado]]="FINALIZADO",1,0)</f>
        <v>1</v>
      </c>
      <c r="V64">
        <f>IF(SCTR_Brokers[[#This Row],[FechaRecepcion]]="","",IF(SCTR_Brokers[[#This Row],[Estado]]="FINALIZADO",0,1))</f>
        <v>0</v>
      </c>
      <c r="W64">
        <f ca="1">IF(AND(SCTR_Brokers[[#This Row],[Estado]]="FINALIZADO",SCTR_Brokers[[#This Row],[Plazo]]=LISTAS!$J$3),1,0)</f>
        <v>1</v>
      </c>
      <c r="X64">
        <f ca="1">IF(AND(SCTR_Brokers[[#This Row],[Estado]]="FINALIZADO",SCTR_Brokers[[#This Row],[Plazo]]=LISTAS!$J$4),1,0)</f>
        <v>0</v>
      </c>
      <c r="Y64">
        <f ca="1">IF(AND(SCTR_Brokers[[#This Row],[Estado]]&lt;&gt;"FINALIZADO",SCTR_Brokers[[#This Row],[Plazo]]=LISTAS!$J$4),1,0)</f>
        <v>0</v>
      </c>
      <c r="Z64">
        <f>IF(SCTR_Brokers[[#This Row],[Fecha_Solic_Informe]]="",0,1)</f>
        <v>0</v>
      </c>
      <c r="AA64">
        <f>IF(SCTR_Brokers[[#This Row],[Fecha_Informe]]="",0,1)</f>
        <v>0</v>
      </c>
      <c r="AB64">
        <f>IF(AND(SCTR_Brokers[[#This Row],[Fecha_Solic_Informe]]&lt;&gt;"",SCTR_Brokers[[#This Row],[Fecha_Informe]]=""),1,0)</f>
        <v>0</v>
      </c>
      <c r="AC6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65" spans="1:29" hidden="1">
      <c r="A65" t="s">
        <v>193</v>
      </c>
      <c r="C65" t="str">
        <f>IF(SCTR_Brokers[[#This Row],[FechaRecepcion]]="","",SCTR_Brokers[[#This Row],[ConversationId]]&amp;"-"&amp;TEXT(SCTR_Brokers[[#This Row],[FechaRecepcion]],"aaaammddhhmmss"))</f>
        <v>AAQkADdkNThjNzFkLWM0ZmMtNDJhYS04MDVlLTIwNzE4ZDI1Mzg4YgAQAAKe74D7Bv5OjzqB6Z8DV1w=-20260819183458</v>
      </c>
      <c r="D65" t="s">
        <v>194</v>
      </c>
      <c r="E65" t="s">
        <v>21</v>
      </c>
      <c r="F65" s="3">
        <v>46253.774282407408</v>
      </c>
      <c r="G65" s="3">
        <v>46253.778368055559</v>
      </c>
      <c r="H65" t="s">
        <v>220</v>
      </c>
      <c r="I65" t="s">
        <v>7</v>
      </c>
      <c r="J65" t="s">
        <v>221</v>
      </c>
      <c r="K65" t="s">
        <v>67</v>
      </c>
      <c r="L65" s="10"/>
      <c r="N65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65" s="3"/>
      <c r="P65" s="3"/>
      <c r="Q65" s="3">
        <v>46253.778368055559</v>
      </c>
      <c r="R6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65" t="str">
        <f>IF(SCTR_Brokers[[#This Row],[FechaRecepcion]]="","",TEXT(SCTR_Brokers[[#This Row],[FechaRecepcion]],"mmmm")&amp;" "&amp;YEAR(SCTR_Brokers[[#This Row],[FechaRecepcion]]))</f>
        <v>agosto 2026</v>
      </c>
      <c r="U65">
        <f>IF(SCTR_Brokers[[#This Row],[Estado]]="FINALIZADO",1,0)</f>
        <v>1</v>
      </c>
      <c r="V65">
        <f>IF(SCTR_Brokers[[#This Row],[FechaRecepcion]]="","",IF(SCTR_Brokers[[#This Row],[Estado]]="FINALIZADO",0,1))</f>
        <v>0</v>
      </c>
      <c r="W65">
        <f ca="1">IF(AND(SCTR_Brokers[[#This Row],[Estado]]="FINALIZADO",SCTR_Brokers[[#This Row],[Plazo]]=LISTAS!$J$3),1,0)</f>
        <v>1</v>
      </c>
      <c r="X65">
        <f ca="1">IF(AND(SCTR_Brokers[[#This Row],[Estado]]="FINALIZADO",SCTR_Brokers[[#This Row],[Plazo]]=LISTAS!$J$4),1,0)</f>
        <v>0</v>
      </c>
      <c r="Y65">
        <f ca="1">IF(AND(SCTR_Brokers[[#This Row],[Estado]]&lt;&gt;"FINALIZADO",SCTR_Brokers[[#This Row],[Plazo]]=LISTAS!$J$4),1,0)</f>
        <v>0</v>
      </c>
      <c r="Z65">
        <f>IF(SCTR_Brokers[[#This Row],[Fecha_Solic_Informe]]="",0,1)</f>
        <v>0</v>
      </c>
      <c r="AA65">
        <f>IF(SCTR_Brokers[[#This Row],[Fecha_Informe]]="",0,1)</f>
        <v>0</v>
      </c>
      <c r="AB65">
        <f>IF(AND(SCTR_Brokers[[#This Row],[Fecha_Solic_Informe]]&lt;&gt;"",SCTR_Brokers[[#This Row],[Fecha_Informe]]=""),1,0)</f>
        <v>0</v>
      </c>
      <c r="AC6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66" spans="1:29" hidden="1">
      <c r="A66" t="s">
        <v>222</v>
      </c>
      <c r="C66" t="str">
        <f>IF(SCTR_Brokers[[#This Row],[FechaRecepcion]]="","",SCTR_Brokers[[#This Row],[ConversationId]]&amp;"-"&amp;TEXT(SCTR_Brokers[[#This Row],[FechaRecepcion]],"aaaammddhhmmss"))</f>
        <v>AAQkADdkNThjNzFkLWM0ZmMtNDJhYS04MDVlLTIwNzE4ZDI1Mzg4YgAQAHe89h88UOFIv4N6eyuXOjM=-20260819195003</v>
      </c>
      <c r="D66" t="s">
        <v>223</v>
      </c>
      <c r="E66" t="s">
        <v>21</v>
      </c>
      <c r="F66" s="3">
        <v>46253.826423611114</v>
      </c>
      <c r="G66" s="3">
        <v>46254.603344907409</v>
      </c>
      <c r="H66" t="s">
        <v>224</v>
      </c>
      <c r="I66" t="s">
        <v>7</v>
      </c>
      <c r="K66" t="s">
        <v>67</v>
      </c>
      <c r="L66" s="10"/>
      <c r="N66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66" s="3"/>
      <c r="P66" s="3"/>
      <c r="Q66" s="3">
        <v>46254.603344907409</v>
      </c>
      <c r="R6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66" t="str">
        <f>IF(SCTR_Brokers[[#This Row],[FechaRecepcion]]="","",TEXT(SCTR_Brokers[[#This Row],[FechaRecepcion]],"mmmm")&amp;" "&amp;YEAR(SCTR_Brokers[[#This Row],[FechaRecepcion]]))</f>
        <v>agosto 2026</v>
      </c>
      <c r="U66">
        <f>IF(SCTR_Brokers[[#This Row],[Estado]]="FINALIZADO",1,0)</f>
        <v>1</v>
      </c>
      <c r="V66">
        <f>IF(SCTR_Brokers[[#This Row],[FechaRecepcion]]="","",IF(SCTR_Brokers[[#This Row],[Estado]]="FINALIZADO",0,1))</f>
        <v>0</v>
      </c>
      <c r="W66">
        <f ca="1">IF(AND(SCTR_Brokers[[#This Row],[Estado]]="FINALIZADO",SCTR_Brokers[[#This Row],[Plazo]]=LISTAS!$J$3),1,0)</f>
        <v>0</v>
      </c>
      <c r="X66">
        <f ca="1">IF(AND(SCTR_Brokers[[#This Row],[Estado]]="FINALIZADO",SCTR_Brokers[[#This Row],[Plazo]]=LISTAS!$J$4),1,0)</f>
        <v>1</v>
      </c>
      <c r="Y66">
        <f ca="1">IF(AND(SCTR_Brokers[[#This Row],[Estado]]&lt;&gt;"FINALIZADO",SCTR_Brokers[[#This Row],[Plazo]]=LISTAS!$J$4),1,0)</f>
        <v>0</v>
      </c>
      <c r="Z66">
        <f>IF(SCTR_Brokers[[#This Row],[Fecha_Solic_Informe]]="",0,1)</f>
        <v>0</v>
      </c>
      <c r="AA66">
        <f>IF(SCTR_Brokers[[#This Row],[Fecha_Informe]]="",0,1)</f>
        <v>0</v>
      </c>
      <c r="AB66">
        <f>IF(AND(SCTR_Brokers[[#This Row],[Fecha_Solic_Informe]]&lt;&gt;"",SCTR_Brokers[[#This Row],[Fecha_Informe]]=""),1,0)</f>
        <v>0</v>
      </c>
      <c r="AC6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67" spans="1:29" hidden="1">
      <c r="A67" t="s">
        <v>225</v>
      </c>
      <c r="C67" t="str">
        <f>IF(SCTR_Brokers[[#This Row],[FechaRecepcion]]="","",SCTR_Brokers[[#This Row],[ConversationId]]&amp;"-"&amp;TEXT(SCTR_Brokers[[#This Row],[FechaRecepcion]],"aaaammddhhmmss"))</f>
        <v>AAQkADdkNThjNzFkLWM0ZmMtNDJhYS04MDVlLTIwNzE4ZDI1Mzg4YgAQAGnD1WgAIUVYo5SbwNfC1E8=-20260820103555</v>
      </c>
      <c r="D67" t="s">
        <v>226</v>
      </c>
      <c r="E67" t="s">
        <v>21</v>
      </c>
      <c r="F67" s="3">
        <v>46254.441608796296</v>
      </c>
      <c r="G67" s="3">
        <v>46254.523148148146</v>
      </c>
      <c r="H67" t="s">
        <v>70</v>
      </c>
      <c r="I67" t="s">
        <v>7</v>
      </c>
      <c r="K67" t="s">
        <v>67</v>
      </c>
      <c r="L67" s="10"/>
      <c r="N67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67" s="3"/>
      <c r="P67" s="3"/>
      <c r="Q67" s="3">
        <v>46254.523148148146</v>
      </c>
      <c r="R6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67" t="str">
        <f>IF(SCTR_Brokers[[#This Row],[FechaRecepcion]]="","",TEXT(SCTR_Brokers[[#This Row],[FechaRecepcion]],"mmmm")&amp;" "&amp;YEAR(SCTR_Brokers[[#This Row],[FechaRecepcion]]))</f>
        <v>agosto 2026</v>
      </c>
      <c r="U67">
        <f>IF(SCTR_Brokers[[#This Row],[Estado]]="FINALIZADO",1,0)</f>
        <v>1</v>
      </c>
      <c r="V67">
        <f>IF(SCTR_Brokers[[#This Row],[FechaRecepcion]]="","",IF(SCTR_Brokers[[#This Row],[Estado]]="FINALIZADO",0,1))</f>
        <v>0</v>
      </c>
      <c r="W67">
        <f ca="1">IF(AND(SCTR_Brokers[[#This Row],[Estado]]="FINALIZADO",SCTR_Brokers[[#This Row],[Plazo]]=LISTAS!$J$3),1,0)</f>
        <v>1</v>
      </c>
      <c r="X67">
        <f ca="1">IF(AND(SCTR_Brokers[[#This Row],[Estado]]="FINALIZADO",SCTR_Brokers[[#This Row],[Plazo]]=LISTAS!$J$4),1,0)</f>
        <v>0</v>
      </c>
      <c r="Y67">
        <f ca="1">IF(AND(SCTR_Brokers[[#This Row],[Estado]]&lt;&gt;"FINALIZADO",SCTR_Brokers[[#This Row],[Plazo]]=LISTAS!$J$4),1,0)</f>
        <v>0</v>
      </c>
      <c r="Z67">
        <f>IF(SCTR_Brokers[[#This Row],[Fecha_Solic_Informe]]="",0,1)</f>
        <v>0</v>
      </c>
      <c r="AA67">
        <f>IF(SCTR_Brokers[[#This Row],[Fecha_Informe]]="",0,1)</f>
        <v>0</v>
      </c>
      <c r="AB67">
        <f>IF(AND(SCTR_Brokers[[#This Row],[Fecha_Solic_Informe]]&lt;&gt;"",SCTR_Brokers[[#This Row],[Fecha_Informe]]=""),1,0)</f>
        <v>0</v>
      </c>
      <c r="AC6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68" spans="1:29" hidden="1">
      <c r="A68" t="s">
        <v>227</v>
      </c>
      <c r="C68" t="str">
        <f>IF(SCTR_Brokers[[#This Row],[FechaRecepcion]]="","",SCTR_Brokers[[#This Row],[ConversationId]]&amp;"-"&amp;TEXT(SCTR_Brokers[[#This Row],[FechaRecepcion]],"aaaammddhhmmss"))</f>
        <v>AAQkADdkNThjNzFkLWM0ZmMtNDJhYS04MDVlLTIwNzE4ZDI1Mzg4YgAQAFwesdxK8G1OgkVPHOaaYcI=-20260820105123</v>
      </c>
      <c r="D68" t="s">
        <v>228</v>
      </c>
      <c r="E68" t="s">
        <v>21</v>
      </c>
      <c r="F68" s="3">
        <v>46254.452349537038</v>
      </c>
      <c r="G68" s="3">
        <v>46254.520752314813</v>
      </c>
      <c r="H68" t="s">
        <v>70</v>
      </c>
      <c r="I68" t="s">
        <v>7</v>
      </c>
      <c r="K68" t="s">
        <v>67</v>
      </c>
      <c r="L68" s="10"/>
      <c r="N68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68" s="3"/>
      <c r="P68" s="3"/>
      <c r="Q68" s="3">
        <v>46254.520752314813</v>
      </c>
      <c r="R6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68" t="str">
        <f>IF(SCTR_Brokers[[#This Row],[FechaRecepcion]]="","",TEXT(SCTR_Brokers[[#This Row],[FechaRecepcion]],"mmmm")&amp;" "&amp;YEAR(SCTR_Brokers[[#This Row],[FechaRecepcion]]))</f>
        <v>agosto 2026</v>
      </c>
      <c r="U68">
        <f>IF(SCTR_Brokers[[#This Row],[Estado]]="FINALIZADO",1,0)</f>
        <v>1</v>
      </c>
      <c r="V68">
        <f>IF(SCTR_Brokers[[#This Row],[FechaRecepcion]]="","",IF(SCTR_Brokers[[#This Row],[Estado]]="FINALIZADO",0,1))</f>
        <v>0</v>
      </c>
      <c r="W68">
        <f ca="1">IF(AND(SCTR_Brokers[[#This Row],[Estado]]="FINALIZADO",SCTR_Brokers[[#This Row],[Plazo]]=LISTAS!$J$3),1,0)</f>
        <v>1</v>
      </c>
      <c r="X68">
        <f ca="1">IF(AND(SCTR_Brokers[[#This Row],[Estado]]="FINALIZADO",SCTR_Brokers[[#This Row],[Plazo]]=LISTAS!$J$4),1,0)</f>
        <v>0</v>
      </c>
      <c r="Y68">
        <f ca="1">IF(AND(SCTR_Brokers[[#This Row],[Estado]]&lt;&gt;"FINALIZADO",SCTR_Brokers[[#This Row],[Plazo]]=LISTAS!$J$4),1,0)</f>
        <v>0</v>
      </c>
      <c r="Z68">
        <f>IF(SCTR_Brokers[[#This Row],[Fecha_Solic_Informe]]="",0,1)</f>
        <v>0</v>
      </c>
      <c r="AA68">
        <f>IF(SCTR_Brokers[[#This Row],[Fecha_Informe]]="",0,1)</f>
        <v>0</v>
      </c>
      <c r="AB68">
        <f>IF(AND(SCTR_Brokers[[#This Row],[Fecha_Solic_Informe]]&lt;&gt;"",SCTR_Brokers[[#This Row],[Fecha_Informe]]=""),1,0)</f>
        <v>0</v>
      </c>
      <c r="AC6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69" spans="1:29" hidden="1">
      <c r="A69" t="s">
        <v>167</v>
      </c>
      <c r="C69" t="str">
        <f>IF(SCTR_Brokers[[#This Row],[FechaRecepcion]]="","",SCTR_Brokers[[#This Row],[ConversationId]]&amp;"-"&amp;TEXT(SCTR_Brokers[[#This Row],[FechaRecepcion]],"aaaammddhhmmss"))</f>
        <v>AAQkADdkNThjNzFkLWM0ZmMtNDJhYS04MDVlLTIwNzE4ZDI1Mzg4YgAQAKzFBRLFTp9Hv4nEDKB77k8=-20260820105739</v>
      </c>
      <c r="D69" t="s">
        <v>182</v>
      </c>
      <c r="E69" t="s">
        <v>21</v>
      </c>
      <c r="F69" s="3">
        <v>46254.456701388888</v>
      </c>
      <c r="G69" s="3">
        <v>46258.634212962963</v>
      </c>
      <c r="H69" t="s">
        <v>70</v>
      </c>
      <c r="I69" t="s">
        <v>7</v>
      </c>
      <c r="K69" t="s">
        <v>67</v>
      </c>
      <c r="L69" s="10"/>
      <c r="N69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69" s="3"/>
      <c r="P69" s="3"/>
      <c r="Q69" s="3">
        <v>46258.634212962963</v>
      </c>
      <c r="R6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69" t="str">
        <f>IF(SCTR_Brokers[[#This Row],[FechaRecepcion]]="","",TEXT(SCTR_Brokers[[#This Row],[FechaRecepcion]],"mmmm")&amp;" "&amp;YEAR(SCTR_Brokers[[#This Row],[FechaRecepcion]]))</f>
        <v>agosto 2026</v>
      </c>
      <c r="U69">
        <f>IF(SCTR_Brokers[[#This Row],[Estado]]="FINALIZADO",1,0)</f>
        <v>1</v>
      </c>
      <c r="V69">
        <f>IF(SCTR_Brokers[[#This Row],[FechaRecepcion]]="","",IF(SCTR_Brokers[[#This Row],[Estado]]="FINALIZADO",0,1))</f>
        <v>0</v>
      </c>
      <c r="W69">
        <f ca="1">IF(AND(SCTR_Brokers[[#This Row],[Estado]]="FINALIZADO",SCTR_Brokers[[#This Row],[Plazo]]=LISTAS!$J$3),1,0)</f>
        <v>0</v>
      </c>
      <c r="X69">
        <f ca="1">IF(AND(SCTR_Brokers[[#This Row],[Estado]]="FINALIZADO",SCTR_Brokers[[#This Row],[Plazo]]=LISTAS!$J$4),1,0)</f>
        <v>1</v>
      </c>
      <c r="Y69">
        <f ca="1">IF(AND(SCTR_Brokers[[#This Row],[Estado]]&lt;&gt;"FINALIZADO",SCTR_Brokers[[#This Row],[Plazo]]=LISTAS!$J$4),1,0)</f>
        <v>0</v>
      </c>
      <c r="Z69">
        <f>IF(SCTR_Brokers[[#This Row],[Fecha_Solic_Informe]]="",0,1)</f>
        <v>0</v>
      </c>
      <c r="AA69">
        <f>IF(SCTR_Brokers[[#This Row],[Fecha_Informe]]="",0,1)</f>
        <v>0</v>
      </c>
      <c r="AB69">
        <f>IF(AND(SCTR_Brokers[[#This Row],[Fecha_Solic_Informe]]&lt;&gt;"",SCTR_Brokers[[#This Row],[Fecha_Informe]]=""),1,0)</f>
        <v>0</v>
      </c>
      <c r="AC6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70" spans="1:29" hidden="1">
      <c r="A70" t="s">
        <v>165</v>
      </c>
      <c r="C70" t="str">
        <f>IF(SCTR_Brokers[[#This Row],[FechaRecepcion]]="","",SCTR_Brokers[[#This Row],[ConversationId]]&amp;"-"&amp;TEXT(SCTR_Brokers[[#This Row],[FechaRecepcion]],"aaaammddhhmmss"))</f>
        <v>AAQkADdkNThjNzFkLWM0ZmMtNDJhYS04MDVlLTIwNzE4ZDI1Mzg4YgAQAGWEP1Zwf0U7jF6Qf1EmcyA=-20260820110958</v>
      </c>
      <c r="D70" t="s">
        <v>229</v>
      </c>
      <c r="E70" t="s">
        <v>21</v>
      </c>
      <c r="F70" s="3">
        <v>46254.465254629627</v>
      </c>
      <c r="G70" s="3">
        <v>46254.518611111111</v>
      </c>
      <c r="H70" t="s">
        <v>70</v>
      </c>
      <c r="I70" t="s">
        <v>7</v>
      </c>
      <c r="K70" t="s">
        <v>67</v>
      </c>
      <c r="L70" s="10"/>
      <c r="N70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70" s="3"/>
      <c r="P70" s="3"/>
      <c r="Q70" s="3">
        <v>46254.518611111111</v>
      </c>
      <c r="R7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70" t="str">
        <f>IF(SCTR_Brokers[[#This Row],[FechaRecepcion]]="","",TEXT(SCTR_Brokers[[#This Row],[FechaRecepcion]],"mmmm")&amp;" "&amp;YEAR(SCTR_Brokers[[#This Row],[FechaRecepcion]]))</f>
        <v>agosto 2026</v>
      </c>
      <c r="U70">
        <f>IF(SCTR_Brokers[[#This Row],[Estado]]="FINALIZADO",1,0)</f>
        <v>1</v>
      </c>
      <c r="V70">
        <f>IF(SCTR_Brokers[[#This Row],[FechaRecepcion]]="","",IF(SCTR_Brokers[[#This Row],[Estado]]="FINALIZADO",0,1))</f>
        <v>0</v>
      </c>
      <c r="W70">
        <f ca="1">IF(AND(SCTR_Brokers[[#This Row],[Estado]]="FINALIZADO",SCTR_Brokers[[#This Row],[Plazo]]=LISTAS!$J$3),1,0)</f>
        <v>1</v>
      </c>
      <c r="X70">
        <f ca="1">IF(AND(SCTR_Brokers[[#This Row],[Estado]]="FINALIZADO",SCTR_Brokers[[#This Row],[Plazo]]=LISTAS!$J$4),1,0)</f>
        <v>0</v>
      </c>
      <c r="Y70">
        <f ca="1">IF(AND(SCTR_Brokers[[#This Row],[Estado]]&lt;&gt;"FINALIZADO",SCTR_Brokers[[#This Row],[Plazo]]=LISTAS!$J$4),1,0)</f>
        <v>0</v>
      </c>
      <c r="Z70">
        <f>IF(SCTR_Brokers[[#This Row],[Fecha_Solic_Informe]]="",0,1)</f>
        <v>0</v>
      </c>
      <c r="AA70">
        <f>IF(SCTR_Brokers[[#This Row],[Fecha_Informe]]="",0,1)</f>
        <v>0</v>
      </c>
      <c r="AB70">
        <f>IF(AND(SCTR_Brokers[[#This Row],[Fecha_Solic_Informe]]&lt;&gt;"",SCTR_Brokers[[#This Row],[Fecha_Informe]]=""),1,0)</f>
        <v>0</v>
      </c>
      <c r="AC7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71" spans="1:29" hidden="1">
      <c r="A71" t="s">
        <v>230</v>
      </c>
      <c r="C71" t="str">
        <f>IF(SCTR_Brokers[[#This Row],[FechaRecepcion]]="","",SCTR_Brokers[[#This Row],[ConversationId]]&amp;"-"&amp;TEXT(SCTR_Brokers[[#This Row],[FechaRecepcion]],"aaaammddhhmmss"))</f>
        <v>AAQkADdkNThjNzFkLWM0ZmMtNDJhYS04MDVlLTIwNzE4ZDI1Mzg4YgAQAPpki9Tw95pAhqoFJbW4muw=-20260820114200</v>
      </c>
      <c r="D71" t="s">
        <v>231</v>
      </c>
      <c r="E71" t="s">
        <v>8</v>
      </c>
      <c r="F71" s="3">
        <v>46254.487500000003</v>
      </c>
      <c r="G71" s="3">
        <v>46261.439062500001</v>
      </c>
      <c r="H71" t="s">
        <v>217</v>
      </c>
      <c r="I71" t="s">
        <v>7</v>
      </c>
      <c r="J71" t="s">
        <v>218</v>
      </c>
      <c r="K71" t="s">
        <v>67</v>
      </c>
      <c r="L71" s="10"/>
      <c r="N71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71" s="3"/>
      <c r="P71" s="3"/>
      <c r="Q71" s="3">
        <v>46261.439062500001</v>
      </c>
      <c r="R7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71" t="str">
        <f>IF(SCTR_Brokers[[#This Row],[FechaRecepcion]]="","",TEXT(SCTR_Brokers[[#This Row],[FechaRecepcion]],"mmmm")&amp;" "&amp;YEAR(SCTR_Brokers[[#This Row],[FechaRecepcion]]))</f>
        <v>agosto 2026</v>
      </c>
      <c r="U71">
        <f>IF(SCTR_Brokers[[#This Row],[Estado]]="FINALIZADO",1,0)</f>
        <v>1</v>
      </c>
      <c r="V71">
        <f>IF(SCTR_Brokers[[#This Row],[FechaRecepcion]]="","",IF(SCTR_Brokers[[#This Row],[Estado]]="FINALIZADO",0,1))</f>
        <v>0</v>
      </c>
      <c r="W71">
        <f ca="1">IF(AND(SCTR_Brokers[[#This Row],[Estado]]="FINALIZADO",SCTR_Brokers[[#This Row],[Plazo]]=LISTAS!$J$3),1,0)</f>
        <v>0</v>
      </c>
      <c r="X71">
        <f ca="1">IF(AND(SCTR_Brokers[[#This Row],[Estado]]="FINALIZADO",SCTR_Brokers[[#This Row],[Plazo]]=LISTAS!$J$4),1,0)</f>
        <v>1</v>
      </c>
      <c r="Y71">
        <f ca="1">IF(AND(SCTR_Brokers[[#This Row],[Estado]]&lt;&gt;"FINALIZADO",SCTR_Brokers[[#This Row],[Plazo]]=LISTAS!$J$4),1,0)</f>
        <v>0</v>
      </c>
      <c r="Z71">
        <f>IF(SCTR_Brokers[[#This Row],[Fecha_Solic_Informe]]="",0,1)</f>
        <v>0</v>
      </c>
      <c r="AA71">
        <f>IF(SCTR_Brokers[[#This Row],[Fecha_Informe]]="",0,1)</f>
        <v>0</v>
      </c>
      <c r="AB71">
        <f>IF(AND(SCTR_Brokers[[#This Row],[Fecha_Solic_Informe]]&lt;&gt;"",SCTR_Brokers[[#This Row],[Fecha_Informe]]=""),1,0)</f>
        <v>0</v>
      </c>
      <c r="AC7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72" spans="1:29" hidden="1">
      <c r="A72" t="s">
        <v>232</v>
      </c>
      <c r="C72" t="str">
        <f>IF(SCTR_Brokers[[#This Row],[FechaRecepcion]]="","",SCTR_Brokers[[#This Row],[ConversationId]]&amp;"-"&amp;TEXT(SCTR_Brokers[[#This Row],[FechaRecepcion]],"aaaammddhhmmss"))</f>
        <v>AAQkADdkNThjNzFkLWM0ZmMtNDJhYS04MDVlLTIwNzE4ZDI1Mzg4YgAQABvTKUPDhUYZkJQrDbbj3sA=-20260820150146</v>
      </c>
      <c r="D72" t="s">
        <v>233</v>
      </c>
      <c r="E72" t="s">
        <v>21</v>
      </c>
      <c r="F72" s="3">
        <v>46254.626226851855</v>
      </c>
      <c r="G72" s="3">
        <v>46254.643229166664</v>
      </c>
      <c r="H72" t="s">
        <v>70</v>
      </c>
      <c r="I72" t="s">
        <v>7</v>
      </c>
      <c r="K72" t="s">
        <v>67</v>
      </c>
      <c r="L72" s="10"/>
      <c r="N72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72" s="3"/>
      <c r="P72" s="3"/>
      <c r="Q72" s="3">
        <v>46254.643229166664</v>
      </c>
      <c r="R7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72" t="str">
        <f>IF(SCTR_Brokers[[#This Row],[FechaRecepcion]]="","",TEXT(SCTR_Brokers[[#This Row],[FechaRecepcion]],"mmmm")&amp;" "&amp;YEAR(SCTR_Brokers[[#This Row],[FechaRecepcion]]))</f>
        <v>agosto 2026</v>
      </c>
      <c r="U72">
        <f>IF(SCTR_Brokers[[#This Row],[Estado]]="FINALIZADO",1,0)</f>
        <v>1</v>
      </c>
      <c r="V72">
        <f>IF(SCTR_Brokers[[#This Row],[FechaRecepcion]]="","",IF(SCTR_Brokers[[#This Row],[Estado]]="FINALIZADO",0,1))</f>
        <v>0</v>
      </c>
      <c r="W72">
        <f ca="1">IF(AND(SCTR_Brokers[[#This Row],[Estado]]="FINALIZADO",SCTR_Brokers[[#This Row],[Plazo]]=LISTAS!$J$3),1,0)</f>
        <v>1</v>
      </c>
      <c r="X72">
        <f ca="1">IF(AND(SCTR_Brokers[[#This Row],[Estado]]="FINALIZADO",SCTR_Brokers[[#This Row],[Plazo]]=LISTAS!$J$4),1,0)</f>
        <v>0</v>
      </c>
      <c r="Y72">
        <f ca="1">IF(AND(SCTR_Brokers[[#This Row],[Estado]]&lt;&gt;"FINALIZADO",SCTR_Brokers[[#This Row],[Plazo]]=LISTAS!$J$4),1,0)</f>
        <v>0</v>
      </c>
      <c r="Z72">
        <f>IF(SCTR_Brokers[[#This Row],[Fecha_Solic_Informe]]="",0,1)</f>
        <v>0</v>
      </c>
      <c r="AA72">
        <f>IF(SCTR_Brokers[[#This Row],[Fecha_Informe]]="",0,1)</f>
        <v>0</v>
      </c>
      <c r="AB72">
        <f>IF(AND(SCTR_Brokers[[#This Row],[Fecha_Solic_Informe]]&lt;&gt;"",SCTR_Brokers[[#This Row],[Fecha_Informe]]=""),1,0)</f>
        <v>0</v>
      </c>
      <c r="AC7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73" spans="1:29" hidden="1">
      <c r="A73" t="s">
        <v>210</v>
      </c>
      <c r="C73" t="str">
        <f>IF(SCTR_Brokers[[#This Row],[FechaRecepcion]]="","",SCTR_Brokers[[#This Row],[ConversationId]]&amp;"-"&amp;TEXT(SCTR_Brokers[[#This Row],[FechaRecepcion]],"aaaammddhhmmss"))</f>
        <v>AAQkADdkNThjNzFkLWM0ZmMtNDJhYS04MDVlLTIwNzE4ZDI1Mzg4YgAQAMRH-4yVMOZFuvuyN4aHTSI=-20260820150943</v>
      </c>
      <c r="D73" t="s">
        <v>216</v>
      </c>
      <c r="E73" t="s">
        <v>8</v>
      </c>
      <c r="F73" s="3">
        <v>46254.631747685184</v>
      </c>
      <c r="G73" s="3">
        <v>46254.631747685184</v>
      </c>
      <c r="H73" t="s">
        <v>208</v>
      </c>
      <c r="I73" t="s">
        <v>7</v>
      </c>
      <c r="K73" t="s">
        <v>67</v>
      </c>
      <c r="L73" s="10"/>
      <c r="N73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73" s="3"/>
      <c r="P73" s="3"/>
      <c r="Q73" s="3">
        <v>46254.631747685184</v>
      </c>
      <c r="R7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73" t="str">
        <f>IF(SCTR_Brokers[[#This Row],[FechaRecepcion]]="","",TEXT(SCTR_Brokers[[#This Row],[FechaRecepcion]],"mmmm")&amp;" "&amp;YEAR(SCTR_Brokers[[#This Row],[FechaRecepcion]]))</f>
        <v>agosto 2026</v>
      </c>
      <c r="U73">
        <f>IF(SCTR_Brokers[[#This Row],[Estado]]="FINALIZADO",1,0)</f>
        <v>1</v>
      </c>
      <c r="V73">
        <f>IF(SCTR_Brokers[[#This Row],[FechaRecepcion]]="","",IF(SCTR_Brokers[[#This Row],[Estado]]="FINALIZADO",0,1))</f>
        <v>0</v>
      </c>
      <c r="W73">
        <f ca="1">IF(AND(SCTR_Brokers[[#This Row],[Estado]]="FINALIZADO",SCTR_Brokers[[#This Row],[Plazo]]=LISTAS!$J$3),1,0)</f>
        <v>1</v>
      </c>
      <c r="X73">
        <f ca="1">IF(AND(SCTR_Brokers[[#This Row],[Estado]]="FINALIZADO",SCTR_Brokers[[#This Row],[Plazo]]=LISTAS!$J$4),1,0)</f>
        <v>0</v>
      </c>
      <c r="Y73">
        <f ca="1">IF(AND(SCTR_Brokers[[#This Row],[Estado]]&lt;&gt;"FINALIZADO",SCTR_Brokers[[#This Row],[Plazo]]=LISTAS!$J$4),1,0)</f>
        <v>0</v>
      </c>
      <c r="Z73">
        <f>IF(SCTR_Brokers[[#This Row],[Fecha_Solic_Informe]]="",0,1)</f>
        <v>0</v>
      </c>
      <c r="AA73">
        <f>IF(SCTR_Brokers[[#This Row],[Fecha_Informe]]="",0,1)</f>
        <v>0</v>
      </c>
      <c r="AB73">
        <f>IF(AND(SCTR_Brokers[[#This Row],[Fecha_Solic_Informe]]&lt;&gt;"",SCTR_Brokers[[#This Row],[Fecha_Informe]]=""),1,0)</f>
        <v>0</v>
      </c>
      <c r="AC7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74" spans="1:29" hidden="1">
      <c r="A74" t="s">
        <v>234</v>
      </c>
      <c r="C74" t="str">
        <f>IF(SCTR_Brokers[[#This Row],[FechaRecepcion]]="","",SCTR_Brokers[[#This Row],[ConversationId]]&amp;"-"&amp;TEXT(SCTR_Brokers[[#This Row],[FechaRecepcion]],"aaaammddhhmmss"))</f>
        <v>AAQkADdkNThjNzFkLWM0ZmMtNDJhYS04MDVlLTIwNzE4ZDI1Mzg4YgAQACMC9UnVoQZJkIsfPahxkIk=-20260820152014</v>
      </c>
      <c r="D74" t="s">
        <v>235</v>
      </c>
      <c r="E74" t="s">
        <v>21</v>
      </c>
      <c r="F74" s="3">
        <v>46254.639050925929</v>
      </c>
      <c r="G74" s="3">
        <v>46254.648159722223</v>
      </c>
      <c r="H74" t="s">
        <v>70</v>
      </c>
      <c r="I74" t="s">
        <v>7</v>
      </c>
      <c r="K74" t="s">
        <v>67</v>
      </c>
      <c r="L74" s="10"/>
      <c r="N74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74" s="3"/>
      <c r="P74" s="3"/>
      <c r="Q74" s="3">
        <v>46254.648159722223</v>
      </c>
      <c r="R7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74" t="str">
        <f>IF(SCTR_Brokers[[#This Row],[FechaRecepcion]]="","",TEXT(SCTR_Brokers[[#This Row],[FechaRecepcion]],"mmmm")&amp;" "&amp;YEAR(SCTR_Brokers[[#This Row],[FechaRecepcion]]))</f>
        <v>agosto 2026</v>
      </c>
      <c r="U74">
        <f>IF(SCTR_Brokers[[#This Row],[Estado]]="FINALIZADO",1,0)</f>
        <v>1</v>
      </c>
      <c r="V74">
        <f>IF(SCTR_Brokers[[#This Row],[FechaRecepcion]]="","",IF(SCTR_Brokers[[#This Row],[Estado]]="FINALIZADO",0,1))</f>
        <v>0</v>
      </c>
      <c r="W74">
        <f ca="1">IF(AND(SCTR_Brokers[[#This Row],[Estado]]="FINALIZADO",SCTR_Brokers[[#This Row],[Plazo]]=LISTAS!$J$3),1,0)</f>
        <v>1</v>
      </c>
      <c r="X74">
        <f ca="1">IF(AND(SCTR_Brokers[[#This Row],[Estado]]="FINALIZADO",SCTR_Brokers[[#This Row],[Plazo]]=LISTAS!$J$4),1,0)</f>
        <v>0</v>
      </c>
      <c r="Y74">
        <f ca="1">IF(AND(SCTR_Brokers[[#This Row],[Estado]]&lt;&gt;"FINALIZADO",SCTR_Brokers[[#This Row],[Plazo]]=LISTAS!$J$4),1,0)</f>
        <v>0</v>
      </c>
      <c r="Z74">
        <f>IF(SCTR_Brokers[[#This Row],[Fecha_Solic_Informe]]="",0,1)</f>
        <v>0</v>
      </c>
      <c r="AA74">
        <f>IF(SCTR_Brokers[[#This Row],[Fecha_Informe]]="",0,1)</f>
        <v>0</v>
      </c>
      <c r="AB74">
        <f>IF(AND(SCTR_Brokers[[#This Row],[Fecha_Solic_Informe]]&lt;&gt;"",SCTR_Brokers[[#This Row],[Fecha_Informe]]=""),1,0)</f>
        <v>0</v>
      </c>
      <c r="AC7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75" spans="1:29" hidden="1">
      <c r="A75" t="s">
        <v>236</v>
      </c>
      <c r="C75" t="str">
        <f>IF(SCTR_Brokers[[#This Row],[FechaRecepcion]]="","",SCTR_Brokers[[#This Row],[ConversationId]]&amp;"-"&amp;TEXT(SCTR_Brokers[[#This Row],[FechaRecepcion]],"aaaammddhhmmss"))</f>
        <v>AAQkADdkNThjNzFkLWM0ZmMtNDJhYS04MDVlLTIwNzE4ZDI1Mzg4YgAQAPBEE85WfkURmOFVxSRQeJ4=-20260820152358</v>
      </c>
      <c r="D75" t="s">
        <v>237</v>
      </c>
      <c r="E75" t="s">
        <v>8</v>
      </c>
      <c r="F75" s="3">
        <v>46254.641643518517</v>
      </c>
      <c r="G75" s="3">
        <v>46254.645949074074</v>
      </c>
      <c r="H75" t="s">
        <v>70</v>
      </c>
      <c r="I75" t="s">
        <v>7</v>
      </c>
      <c r="K75" t="s">
        <v>67</v>
      </c>
      <c r="L75" s="10"/>
      <c r="N75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75" s="3"/>
      <c r="P75" s="3"/>
      <c r="Q75" s="3">
        <v>46254.645949074074</v>
      </c>
      <c r="R7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75" t="str">
        <f>IF(SCTR_Brokers[[#This Row],[FechaRecepcion]]="","",TEXT(SCTR_Brokers[[#This Row],[FechaRecepcion]],"mmmm")&amp;" "&amp;YEAR(SCTR_Brokers[[#This Row],[FechaRecepcion]]))</f>
        <v>agosto 2026</v>
      </c>
      <c r="U75">
        <f>IF(SCTR_Brokers[[#This Row],[Estado]]="FINALIZADO",1,0)</f>
        <v>1</v>
      </c>
      <c r="V75">
        <f>IF(SCTR_Brokers[[#This Row],[FechaRecepcion]]="","",IF(SCTR_Brokers[[#This Row],[Estado]]="FINALIZADO",0,1))</f>
        <v>0</v>
      </c>
      <c r="W75">
        <f ca="1">IF(AND(SCTR_Brokers[[#This Row],[Estado]]="FINALIZADO",SCTR_Brokers[[#This Row],[Plazo]]=LISTAS!$J$3),1,0)</f>
        <v>1</v>
      </c>
      <c r="X75">
        <f ca="1">IF(AND(SCTR_Brokers[[#This Row],[Estado]]="FINALIZADO",SCTR_Brokers[[#This Row],[Plazo]]=LISTAS!$J$4),1,0)</f>
        <v>0</v>
      </c>
      <c r="Y75">
        <f ca="1">IF(AND(SCTR_Brokers[[#This Row],[Estado]]&lt;&gt;"FINALIZADO",SCTR_Brokers[[#This Row],[Plazo]]=LISTAS!$J$4),1,0)</f>
        <v>0</v>
      </c>
      <c r="Z75">
        <f>IF(SCTR_Brokers[[#This Row],[Fecha_Solic_Informe]]="",0,1)</f>
        <v>0</v>
      </c>
      <c r="AA75">
        <f>IF(SCTR_Brokers[[#This Row],[Fecha_Informe]]="",0,1)</f>
        <v>0</v>
      </c>
      <c r="AB75">
        <f>IF(AND(SCTR_Brokers[[#This Row],[Fecha_Solic_Informe]]&lt;&gt;"",SCTR_Brokers[[#This Row],[Fecha_Informe]]=""),1,0)</f>
        <v>0</v>
      </c>
      <c r="AC7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76" spans="1:29" hidden="1">
      <c r="A76" t="s">
        <v>84</v>
      </c>
      <c r="C76" t="str">
        <f>IF(SCTR_Brokers[[#This Row],[FechaRecepcion]]="","",SCTR_Brokers[[#This Row],[ConversationId]]&amp;"-"&amp;TEXT(SCTR_Brokers[[#This Row],[FechaRecepcion]],"aaaammddhhmmss"))</f>
        <v>AAQkADdkNThjNzFkLWM0ZmMtNDJhYS04MDVlLTIwNzE4ZDI1Mzg4YgAQAIcHvAvKE042nOSk-cjbPIc=-20260820152402</v>
      </c>
      <c r="D76" t="s">
        <v>85</v>
      </c>
      <c r="E76" t="s">
        <v>8</v>
      </c>
      <c r="F76" s="3">
        <v>46254.641689814816</v>
      </c>
      <c r="G76" s="3">
        <v>46254.641689814816</v>
      </c>
      <c r="H76" t="s">
        <v>238</v>
      </c>
      <c r="I76" t="s">
        <v>7</v>
      </c>
      <c r="J76" t="s">
        <v>239</v>
      </c>
      <c r="K76" t="s">
        <v>67</v>
      </c>
      <c r="L76" s="10"/>
      <c r="N76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76" s="3"/>
      <c r="P76" s="3"/>
      <c r="Q76" s="3">
        <v>46254.641689814816</v>
      </c>
      <c r="R7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76" t="s">
        <v>164</v>
      </c>
      <c r="T76" t="str">
        <f>IF(SCTR_Brokers[[#This Row],[FechaRecepcion]]="","",TEXT(SCTR_Brokers[[#This Row],[FechaRecepcion]],"mmmm")&amp;" "&amp;YEAR(SCTR_Brokers[[#This Row],[FechaRecepcion]]))</f>
        <v>agosto 2026</v>
      </c>
      <c r="U76">
        <f>IF(SCTR_Brokers[[#This Row],[Estado]]="FINALIZADO",1,0)</f>
        <v>1</v>
      </c>
      <c r="V76">
        <f>IF(SCTR_Brokers[[#This Row],[FechaRecepcion]]="","",IF(SCTR_Brokers[[#This Row],[Estado]]="FINALIZADO",0,1))</f>
        <v>0</v>
      </c>
      <c r="W76">
        <f ca="1">IF(AND(SCTR_Brokers[[#This Row],[Estado]]="FINALIZADO",SCTR_Brokers[[#This Row],[Plazo]]=LISTAS!$J$3),1,0)</f>
        <v>1</v>
      </c>
      <c r="X76">
        <f ca="1">IF(AND(SCTR_Brokers[[#This Row],[Estado]]="FINALIZADO",SCTR_Brokers[[#This Row],[Plazo]]=LISTAS!$J$4),1,0)</f>
        <v>0</v>
      </c>
      <c r="Y76">
        <f ca="1">IF(AND(SCTR_Brokers[[#This Row],[Estado]]&lt;&gt;"FINALIZADO",SCTR_Brokers[[#This Row],[Plazo]]=LISTAS!$J$4),1,0)</f>
        <v>0</v>
      </c>
      <c r="Z76">
        <f>IF(SCTR_Brokers[[#This Row],[Fecha_Solic_Informe]]="",0,1)</f>
        <v>0</v>
      </c>
      <c r="AA76">
        <f>IF(SCTR_Brokers[[#This Row],[Fecha_Informe]]="",0,1)</f>
        <v>0</v>
      </c>
      <c r="AB76">
        <f>IF(AND(SCTR_Brokers[[#This Row],[Fecha_Solic_Informe]]&lt;&gt;"",SCTR_Brokers[[#This Row],[Fecha_Informe]]=""),1,0)</f>
        <v>0</v>
      </c>
      <c r="AC7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77" spans="1:29" hidden="1">
      <c r="A77" t="s">
        <v>232</v>
      </c>
      <c r="C77" t="str">
        <f>IF(SCTR_Brokers[[#This Row],[FechaRecepcion]]="","",SCTR_Brokers[[#This Row],[ConversationId]]&amp;"-"&amp;TEXT(SCTR_Brokers[[#This Row],[FechaRecepcion]],"aaaammddhhmmss"))</f>
        <v>AAQkADdkNThjNzFkLWM0ZmMtNDJhYS04MDVlLTIwNzE4ZDI1Mzg4YgAQABvTKUPDhUYZkJQrDbbj3sA=-20260820152915</v>
      </c>
      <c r="D77" t="s">
        <v>240</v>
      </c>
      <c r="E77" t="s">
        <v>21</v>
      </c>
      <c r="F77" s="3">
        <v>46254.645312499997</v>
      </c>
      <c r="G77" s="3">
        <v>46254.651979166665</v>
      </c>
      <c r="H77" t="s">
        <v>70</v>
      </c>
      <c r="I77" t="s">
        <v>7</v>
      </c>
      <c r="K77" t="s">
        <v>138</v>
      </c>
      <c r="L77" s="10" t="s">
        <v>241</v>
      </c>
      <c r="N77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77" s="3">
        <v>46254.650914351849</v>
      </c>
      <c r="P77" s="3"/>
      <c r="Q77" s="3">
        <v>46254.651979166665</v>
      </c>
      <c r="R7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77" t="str">
        <f>IF(SCTR_Brokers[[#This Row],[FechaRecepcion]]="","",TEXT(SCTR_Brokers[[#This Row],[FechaRecepcion]],"mmmm")&amp;" "&amp;YEAR(SCTR_Brokers[[#This Row],[FechaRecepcion]]))</f>
        <v>agosto 2026</v>
      </c>
      <c r="U77">
        <f>IF(SCTR_Brokers[[#This Row],[Estado]]="FINALIZADO",1,0)</f>
        <v>1</v>
      </c>
      <c r="V77">
        <f>IF(SCTR_Brokers[[#This Row],[FechaRecepcion]]="","",IF(SCTR_Brokers[[#This Row],[Estado]]="FINALIZADO",0,1))</f>
        <v>0</v>
      </c>
      <c r="W77">
        <f ca="1">IF(AND(SCTR_Brokers[[#This Row],[Estado]]="FINALIZADO",SCTR_Brokers[[#This Row],[Plazo]]=LISTAS!$J$3),1,0)</f>
        <v>1</v>
      </c>
      <c r="X77">
        <f ca="1">IF(AND(SCTR_Brokers[[#This Row],[Estado]]="FINALIZADO",SCTR_Brokers[[#This Row],[Plazo]]=LISTAS!$J$4),1,0)</f>
        <v>0</v>
      </c>
      <c r="Y77">
        <f ca="1">IF(AND(SCTR_Brokers[[#This Row],[Estado]]&lt;&gt;"FINALIZADO",SCTR_Brokers[[#This Row],[Plazo]]=LISTAS!$J$4),1,0)</f>
        <v>0</v>
      </c>
      <c r="Z77">
        <f>IF(SCTR_Brokers[[#This Row],[Fecha_Solic_Informe]]="",0,1)</f>
        <v>1</v>
      </c>
      <c r="AA77">
        <f>IF(SCTR_Brokers[[#This Row],[Fecha_Informe]]="",0,1)</f>
        <v>0</v>
      </c>
      <c r="AB77">
        <f>IF(AND(SCTR_Brokers[[#This Row],[Fecha_Solic_Informe]]&lt;&gt;"",SCTR_Brokers[[#This Row],[Fecha_Informe]]=""),1,0)</f>
        <v>1</v>
      </c>
      <c r="AC7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78" spans="1:29" hidden="1">
      <c r="A78" t="s">
        <v>242</v>
      </c>
      <c r="C78" t="str">
        <f>IF(SCTR_Brokers[[#This Row],[FechaRecepcion]]="","",SCTR_Brokers[[#This Row],[ConversationId]]&amp;"-"&amp;TEXT(SCTR_Brokers[[#This Row],[FechaRecepcion]],"aaaammddhhmmss"))</f>
        <v>AAQkADdkNThjNzFkLWM0ZmMtNDJhYS04MDVlLTIwNzE4ZDI1Mzg4YgAQAMuk84hkakIStL6enkVVAiY=-20260820153036</v>
      </c>
      <c r="D78" t="s">
        <v>243</v>
      </c>
      <c r="E78" t="s">
        <v>21</v>
      </c>
      <c r="F78" s="3">
        <v>46254.646249999998</v>
      </c>
      <c r="G78" s="3">
        <v>46254.646249999998</v>
      </c>
      <c r="H78" t="s">
        <v>112</v>
      </c>
      <c r="I78" t="s">
        <v>7</v>
      </c>
      <c r="J78" t="s">
        <v>239</v>
      </c>
      <c r="K78" t="s">
        <v>67</v>
      </c>
      <c r="L78" s="10"/>
      <c r="N78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78" s="3"/>
      <c r="P78" s="3"/>
      <c r="Q78" s="3">
        <v>46254.646250000005</v>
      </c>
      <c r="R7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78" t="s">
        <v>164</v>
      </c>
      <c r="T78" t="str">
        <f>IF(SCTR_Brokers[[#This Row],[FechaRecepcion]]="","",TEXT(SCTR_Brokers[[#This Row],[FechaRecepcion]],"mmmm")&amp;" "&amp;YEAR(SCTR_Brokers[[#This Row],[FechaRecepcion]]))</f>
        <v>agosto 2026</v>
      </c>
      <c r="U78">
        <f>IF(SCTR_Brokers[[#This Row],[Estado]]="FINALIZADO",1,0)</f>
        <v>1</v>
      </c>
      <c r="V78">
        <f>IF(SCTR_Brokers[[#This Row],[FechaRecepcion]]="","",IF(SCTR_Brokers[[#This Row],[Estado]]="FINALIZADO",0,1))</f>
        <v>0</v>
      </c>
      <c r="W78">
        <f ca="1">IF(AND(SCTR_Brokers[[#This Row],[Estado]]="FINALIZADO",SCTR_Brokers[[#This Row],[Plazo]]=LISTAS!$J$3),1,0)</f>
        <v>1</v>
      </c>
      <c r="X78">
        <f ca="1">IF(AND(SCTR_Brokers[[#This Row],[Estado]]="FINALIZADO",SCTR_Brokers[[#This Row],[Plazo]]=LISTAS!$J$4),1,0)</f>
        <v>0</v>
      </c>
      <c r="Y78">
        <f ca="1">IF(AND(SCTR_Brokers[[#This Row],[Estado]]&lt;&gt;"FINALIZADO",SCTR_Brokers[[#This Row],[Plazo]]=LISTAS!$J$4),1,0)</f>
        <v>0</v>
      </c>
      <c r="Z78">
        <f>IF(SCTR_Brokers[[#This Row],[Fecha_Solic_Informe]]="",0,1)</f>
        <v>0</v>
      </c>
      <c r="AA78">
        <f>IF(SCTR_Brokers[[#This Row],[Fecha_Informe]]="",0,1)</f>
        <v>0</v>
      </c>
      <c r="AB78">
        <f>IF(AND(SCTR_Brokers[[#This Row],[Fecha_Solic_Informe]]&lt;&gt;"",SCTR_Brokers[[#This Row],[Fecha_Informe]]=""),1,0)</f>
        <v>0</v>
      </c>
      <c r="AC7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79" spans="1:29" hidden="1">
      <c r="A79" t="s">
        <v>236</v>
      </c>
      <c r="C79" t="str">
        <f>IF(SCTR_Brokers[[#This Row],[FechaRecepcion]]="","",SCTR_Brokers[[#This Row],[ConversationId]]&amp;"-"&amp;TEXT(SCTR_Brokers[[#This Row],[FechaRecepcion]],"aaaammddhhmmss"))</f>
        <v>AAQkADdkNThjNzFkLWM0ZmMtNDJhYS04MDVlLTIwNzE4ZDI1Mzg4YgAQAPBEE85WfkURmOFVxSRQeJ4=-20260820154141</v>
      </c>
      <c r="D79" t="s">
        <v>244</v>
      </c>
      <c r="E79" t="s">
        <v>8</v>
      </c>
      <c r="F79" s="3">
        <v>46254.653946759259</v>
      </c>
      <c r="G79" s="3">
        <v>46254.656909722224</v>
      </c>
      <c r="H79" t="s">
        <v>70</v>
      </c>
      <c r="I79" t="s">
        <v>7</v>
      </c>
      <c r="K79" t="s">
        <v>67</v>
      </c>
      <c r="L79" s="10"/>
      <c r="N79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79" s="3"/>
      <c r="P79" s="3"/>
      <c r="Q79" s="3">
        <v>46254.656909722224</v>
      </c>
      <c r="R7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79" t="str">
        <f>IF(SCTR_Brokers[[#This Row],[FechaRecepcion]]="","",TEXT(SCTR_Brokers[[#This Row],[FechaRecepcion]],"mmmm")&amp;" "&amp;YEAR(SCTR_Brokers[[#This Row],[FechaRecepcion]]))</f>
        <v>agosto 2026</v>
      </c>
      <c r="U79">
        <f>IF(SCTR_Brokers[[#This Row],[Estado]]="FINALIZADO",1,0)</f>
        <v>1</v>
      </c>
      <c r="V79">
        <f>IF(SCTR_Brokers[[#This Row],[FechaRecepcion]]="","",IF(SCTR_Brokers[[#This Row],[Estado]]="FINALIZADO",0,1))</f>
        <v>0</v>
      </c>
      <c r="W79">
        <f ca="1">IF(AND(SCTR_Brokers[[#This Row],[Estado]]="FINALIZADO",SCTR_Brokers[[#This Row],[Plazo]]=LISTAS!$J$3),1,0)</f>
        <v>1</v>
      </c>
      <c r="X79">
        <f ca="1">IF(AND(SCTR_Brokers[[#This Row],[Estado]]="FINALIZADO",SCTR_Brokers[[#This Row],[Plazo]]=LISTAS!$J$4),1,0)</f>
        <v>0</v>
      </c>
      <c r="Y79">
        <f ca="1">IF(AND(SCTR_Brokers[[#This Row],[Estado]]&lt;&gt;"FINALIZADO",SCTR_Brokers[[#This Row],[Plazo]]=LISTAS!$J$4),1,0)</f>
        <v>0</v>
      </c>
      <c r="Z79">
        <f>IF(SCTR_Brokers[[#This Row],[Fecha_Solic_Informe]]="",0,1)</f>
        <v>0</v>
      </c>
      <c r="AA79">
        <f>IF(SCTR_Brokers[[#This Row],[Fecha_Informe]]="",0,1)</f>
        <v>0</v>
      </c>
      <c r="AB79">
        <f>IF(AND(SCTR_Brokers[[#This Row],[Fecha_Solic_Informe]]&lt;&gt;"",SCTR_Brokers[[#This Row],[Fecha_Informe]]=""),1,0)</f>
        <v>0</v>
      </c>
      <c r="AC7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80" spans="1:29" hidden="1">
      <c r="A80" t="s">
        <v>106</v>
      </c>
      <c r="C80" t="str">
        <f>IF(SCTR_Brokers[[#This Row],[FechaRecepcion]]="","",SCTR_Brokers[[#This Row],[ConversationId]]&amp;"-"&amp;TEXT(SCTR_Brokers[[#This Row],[FechaRecepcion]],"aaaammddhhmmss"))</f>
        <v>AAQkADdkNThjNzFkLWM0ZmMtNDJhYS04MDVlLTIwNzE4ZDI1Mzg4YgAQAD0KJzq8UO5HuSV08G9KmYE=-20260820174311</v>
      </c>
      <c r="D80" t="s">
        <v>245</v>
      </c>
      <c r="E80" t="s">
        <v>21</v>
      </c>
      <c r="F80" s="3">
        <v>46254.738321759258</v>
      </c>
      <c r="G80" s="3">
        <v>46255.559062499997</v>
      </c>
      <c r="H80" t="s">
        <v>70</v>
      </c>
      <c r="I80" t="s">
        <v>7</v>
      </c>
      <c r="J80" t="s">
        <v>246</v>
      </c>
      <c r="K80" t="s">
        <v>67</v>
      </c>
      <c r="L80" s="10" t="s">
        <v>247</v>
      </c>
      <c r="M80" t="s">
        <v>9</v>
      </c>
      <c r="N80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80" s="3">
        <v>46254.761435185188</v>
      </c>
      <c r="P80" s="3">
        <v>46255.348391203705</v>
      </c>
      <c r="Q80" s="3">
        <v>46255.559062499997</v>
      </c>
      <c r="R8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80" t="str">
        <f>IF(SCTR_Brokers[[#This Row],[FechaRecepcion]]="","",TEXT(SCTR_Brokers[[#This Row],[FechaRecepcion]],"mmmm")&amp;" "&amp;YEAR(SCTR_Brokers[[#This Row],[FechaRecepcion]]))</f>
        <v>agosto 2026</v>
      </c>
      <c r="U80">
        <f>IF(SCTR_Brokers[[#This Row],[Estado]]="FINALIZADO",1,0)</f>
        <v>1</v>
      </c>
      <c r="V80">
        <f>IF(SCTR_Brokers[[#This Row],[FechaRecepcion]]="","",IF(SCTR_Brokers[[#This Row],[Estado]]="FINALIZADO",0,1))</f>
        <v>0</v>
      </c>
      <c r="W80">
        <f ca="1">IF(AND(SCTR_Brokers[[#This Row],[Estado]]="FINALIZADO",SCTR_Brokers[[#This Row],[Plazo]]=LISTAS!$J$3),1,0)</f>
        <v>1</v>
      </c>
      <c r="X80">
        <f ca="1">IF(AND(SCTR_Brokers[[#This Row],[Estado]]="FINALIZADO",SCTR_Brokers[[#This Row],[Plazo]]=LISTAS!$J$4),1,0)</f>
        <v>0</v>
      </c>
      <c r="Y80">
        <f ca="1">IF(AND(SCTR_Brokers[[#This Row],[Estado]]&lt;&gt;"FINALIZADO",SCTR_Brokers[[#This Row],[Plazo]]=LISTAS!$J$4),1,0)</f>
        <v>0</v>
      </c>
      <c r="Z80">
        <f>IF(SCTR_Brokers[[#This Row],[Fecha_Solic_Informe]]="",0,1)</f>
        <v>1</v>
      </c>
      <c r="AA80">
        <f>IF(SCTR_Brokers[[#This Row],[Fecha_Informe]]="",0,1)</f>
        <v>1</v>
      </c>
      <c r="AB80">
        <f>IF(AND(SCTR_Brokers[[#This Row],[Fecha_Solic_Informe]]&lt;&gt;"",SCTR_Brokers[[#This Row],[Fecha_Informe]]=""),1,0)</f>
        <v>0</v>
      </c>
      <c r="AC80">
        <f>IF(AND(SCTR_Brokers[[#This Row],[Fecha_Solic_Informe]]&lt;&gt;"",SCTR_Brokers[[#This Row],[Fecha_Informe]]&lt;&gt;""),ROUND((SCTR_Brokers[[#This Row],[Fecha_Informe]]-SCTR_Brokers[[#This Row],[Fecha_Solic_Informe]])*24,1),"")</f>
        <v>14.1</v>
      </c>
    </row>
    <row r="81" spans="1:29" hidden="1">
      <c r="A81" t="s">
        <v>232</v>
      </c>
      <c r="C81" t="str">
        <f>IF(SCTR_Brokers[[#This Row],[FechaRecepcion]]="","",SCTR_Brokers[[#This Row],[ConversationId]]&amp;"-"&amp;TEXT(SCTR_Brokers[[#This Row],[FechaRecepcion]],"aaaammddhhmmss"))</f>
        <v>AAQkADdkNThjNzFkLWM0ZmMtNDJhYS04MDVlLTIwNzE4ZDI1Mzg4YgAQABvTKUPDhUYZkJQrDbbj3sA=-20260820175620</v>
      </c>
      <c r="D81" t="s">
        <v>240</v>
      </c>
      <c r="E81" t="s">
        <v>21</v>
      </c>
      <c r="F81" s="3">
        <v>46254.747453703705</v>
      </c>
      <c r="G81" s="3">
        <v>46254.789282407408</v>
      </c>
      <c r="H81" t="s">
        <v>70</v>
      </c>
      <c r="I81" t="s">
        <v>7</v>
      </c>
      <c r="K81" t="s">
        <v>67</v>
      </c>
      <c r="L81" s="10"/>
      <c r="N81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81" s="3"/>
      <c r="P81" s="3"/>
      <c r="Q81" s="3">
        <v>46254.789282407408</v>
      </c>
      <c r="R8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81" t="str">
        <f>IF(SCTR_Brokers[[#This Row],[FechaRecepcion]]="","",TEXT(SCTR_Brokers[[#This Row],[FechaRecepcion]],"mmmm")&amp;" "&amp;YEAR(SCTR_Brokers[[#This Row],[FechaRecepcion]]))</f>
        <v>agosto 2026</v>
      </c>
      <c r="U81">
        <f>IF(SCTR_Brokers[[#This Row],[Estado]]="FINALIZADO",1,0)</f>
        <v>1</v>
      </c>
      <c r="V81">
        <f>IF(SCTR_Brokers[[#This Row],[FechaRecepcion]]="","",IF(SCTR_Brokers[[#This Row],[Estado]]="FINALIZADO",0,1))</f>
        <v>0</v>
      </c>
      <c r="W81">
        <f ca="1">IF(AND(SCTR_Brokers[[#This Row],[Estado]]="FINALIZADO",SCTR_Brokers[[#This Row],[Plazo]]=LISTAS!$J$3),1,0)</f>
        <v>1</v>
      </c>
      <c r="X81">
        <f ca="1">IF(AND(SCTR_Brokers[[#This Row],[Estado]]="FINALIZADO",SCTR_Brokers[[#This Row],[Plazo]]=LISTAS!$J$4),1,0)</f>
        <v>0</v>
      </c>
      <c r="Y81">
        <f ca="1">IF(AND(SCTR_Brokers[[#This Row],[Estado]]&lt;&gt;"FINALIZADO",SCTR_Brokers[[#This Row],[Plazo]]=LISTAS!$J$4),1,0)</f>
        <v>0</v>
      </c>
      <c r="Z81">
        <f>IF(SCTR_Brokers[[#This Row],[Fecha_Solic_Informe]]="",0,1)</f>
        <v>0</v>
      </c>
      <c r="AA81">
        <f>IF(SCTR_Brokers[[#This Row],[Fecha_Informe]]="",0,1)</f>
        <v>0</v>
      </c>
      <c r="AB81">
        <f>IF(AND(SCTR_Brokers[[#This Row],[Fecha_Solic_Informe]]&lt;&gt;"",SCTR_Brokers[[#This Row],[Fecha_Informe]]=""),1,0)</f>
        <v>0</v>
      </c>
      <c r="AC8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82" spans="1:29" hidden="1">
      <c r="A82" t="s">
        <v>232</v>
      </c>
      <c r="C82" t="str">
        <f>IF(SCTR_Brokers[[#This Row],[FechaRecepcion]]="","",SCTR_Brokers[[#This Row],[ConversationId]]&amp;"-"&amp;TEXT(SCTR_Brokers[[#This Row],[FechaRecepcion]],"aaaammddhhmmss"))</f>
        <v>AAQkADdkNThjNzFkLWM0ZmMtNDJhYS04MDVlLTIwNzE4ZDI1Mzg4YgAQABvTKUPDhUYZkJQrDbbj3sA=-20260820191317</v>
      </c>
      <c r="D82" t="s">
        <v>248</v>
      </c>
      <c r="E82" t="s">
        <v>21</v>
      </c>
      <c r="F82" s="3">
        <v>46254.800891203704</v>
      </c>
      <c r="G82" s="3">
        <v>46254.826909722222</v>
      </c>
      <c r="H82" t="s">
        <v>70</v>
      </c>
      <c r="I82" t="s">
        <v>7</v>
      </c>
      <c r="K82" t="s">
        <v>67</v>
      </c>
      <c r="L82" s="10"/>
      <c r="N82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82" s="3"/>
      <c r="P82" s="3"/>
      <c r="Q82" s="3">
        <v>46254.826909722222</v>
      </c>
      <c r="R8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82" t="str">
        <f>IF(SCTR_Brokers[[#This Row],[FechaRecepcion]]="","",TEXT(SCTR_Brokers[[#This Row],[FechaRecepcion]],"mmmm")&amp;" "&amp;YEAR(SCTR_Brokers[[#This Row],[FechaRecepcion]]))</f>
        <v>agosto 2026</v>
      </c>
      <c r="U82">
        <f>IF(SCTR_Brokers[[#This Row],[Estado]]="FINALIZADO",1,0)</f>
        <v>1</v>
      </c>
      <c r="V82">
        <f>IF(SCTR_Brokers[[#This Row],[FechaRecepcion]]="","",IF(SCTR_Brokers[[#This Row],[Estado]]="FINALIZADO",0,1))</f>
        <v>0</v>
      </c>
      <c r="W82">
        <f ca="1">IF(AND(SCTR_Brokers[[#This Row],[Estado]]="FINALIZADO",SCTR_Brokers[[#This Row],[Plazo]]=LISTAS!$J$3),1,0)</f>
        <v>1</v>
      </c>
      <c r="X82">
        <f ca="1">IF(AND(SCTR_Brokers[[#This Row],[Estado]]="FINALIZADO",SCTR_Brokers[[#This Row],[Plazo]]=LISTAS!$J$4),1,0)</f>
        <v>0</v>
      </c>
      <c r="Y82">
        <f ca="1">IF(AND(SCTR_Brokers[[#This Row],[Estado]]&lt;&gt;"FINALIZADO",SCTR_Brokers[[#This Row],[Plazo]]=LISTAS!$J$4),1,0)</f>
        <v>0</v>
      </c>
      <c r="Z82">
        <f>IF(SCTR_Brokers[[#This Row],[Fecha_Solic_Informe]]="",0,1)</f>
        <v>0</v>
      </c>
      <c r="AA82">
        <f>IF(SCTR_Brokers[[#This Row],[Fecha_Informe]]="",0,1)</f>
        <v>0</v>
      </c>
      <c r="AB82">
        <f>IF(AND(SCTR_Brokers[[#This Row],[Fecha_Solic_Informe]]&lt;&gt;"",SCTR_Brokers[[#This Row],[Fecha_Informe]]=""),1,0)</f>
        <v>0</v>
      </c>
      <c r="AC8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83" spans="1:29" hidden="1">
      <c r="A83" t="s">
        <v>249</v>
      </c>
      <c r="C83" t="str">
        <f>IF(SCTR_Brokers[[#This Row],[FechaRecepcion]]="","",SCTR_Brokers[[#This Row],[ConversationId]]&amp;"-"&amp;TEXT(SCTR_Brokers[[#This Row],[FechaRecepcion]],"aaaammddhhmmss"))</f>
        <v>AAQkADdkNThjNzFkLWM0ZmMtNDJhYS04MDVlLTIwNzE4ZDI1Mzg4YgAQAAJ0LObcDuJClFzVuvoaJBU=-20260820213939</v>
      </c>
      <c r="D83" t="s">
        <v>250</v>
      </c>
      <c r="E83" t="s">
        <v>14</v>
      </c>
      <c r="F83" s="3">
        <v>46254.90253472222</v>
      </c>
      <c r="G83" s="3">
        <v>46261.523773148147</v>
      </c>
      <c r="H83" t="s">
        <v>70</v>
      </c>
      <c r="I83" t="s">
        <v>7</v>
      </c>
      <c r="K83" t="s">
        <v>67</v>
      </c>
      <c r="L83" s="10"/>
      <c r="N83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83" s="3"/>
      <c r="P83" s="3"/>
      <c r="Q83" s="3">
        <v>46261.523773148147</v>
      </c>
      <c r="R8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83" t="str">
        <f>IF(SCTR_Brokers[[#This Row],[FechaRecepcion]]="","",TEXT(SCTR_Brokers[[#This Row],[FechaRecepcion]],"mmmm")&amp;" "&amp;YEAR(SCTR_Brokers[[#This Row],[FechaRecepcion]]))</f>
        <v>agosto 2026</v>
      </c>
      <c r="U83">
        <f>IF(SCTR_Brokers[[#This Row],[Estado]]="FINALIZADO",1,0)</f>
        <v>1</v>
      </c>
      <c r="V83">
        <f>IF(SCTR_Brokers[[#This Row],[FechaRecepcion]]="","",IF(SCTR_Brokers[[#This Row],[Estado]]="FINALIZADO",0,1))</f>
        <v>0</v>
      </c>
      <c r="W83">
        <f ca="1">IF(AND(SCTR_Brokers[[#This Row],[Estado]]="FINALIZADO",SCTR_Brokers[[#This Row],[Plazo]]=LISTAS!$J$3),1,0)</f>
        <v>0</v>
      </c>
      <c r="X83">
        <f ca="1">IF(AND(SCTR_Brokers[[#This Row],[Estado]]="FINALIZADO",SCTR_Brokers[[#This Row],[Plazo]]=LISTAS!$J$4),1,0)</f>
        <v>1</v>
      </c>
      <c r="Y83">
        <f ca="1">IF(AND(SCTR_Brokers[[#This Row],[Estado]]&lt;&gt;"FINALIZADO",SCTR_Brokers[[#This Row],[Plazo]]=LISTAS!$J$4),1,0)</f>
        <v>0</v>
      </c>
      <c r="Z83">
        <f>IF(SCTR_Brokers[[#This Row],[Fecha_Solic_Informe]]="",0,1)</f>
        <v>0</v>
      </c>
      <c r="AA83">
        <f>IF(SCTR_Brokers[[#This Row],[Fecha_Informe]]="",0,1)</f>
        <v>0</v>
      </c>
      <c r="AB83">
        <f>IF(AND(SCTR_Brokers[[#This Row],[Fecha_Solic_Informe]]&lt;&gt;"",SCTR_Brokers[[#This Row],[Fecha_Informe]]=""),1,0)</f>
        <v>0</v>
      </c>
      <c r="AC8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84" spans="1:29" hidden="1">
      <c r="A84" t="s">
        <v>165</v>
      </c>
      <c r="C84" t="str">
        <f>IF(SCTR_Brokers[[#This Row],[FechaRecepcion]]="","",SCTR_Brokers[[#This Row],[ConversationId]]&amp;"-"&amp;TEXT(SCTR_Brokers[[#This Row],[FechaRecepcion]],"aaaammddhhmmss"))</f>
        <v>AAQkADdkNThjNzFkLWM0ZmMtNDJhYS04MDVlLTIwNzE4ZDI1Mzg4YgAQAGWEP1Zwf0U7jF6Qf1EmcyA=-20260821091240</v>
      </c>
      <c r="D84" t="s">
        <v>251</v>
      </c>
      <c r="E84" t="s">
        <v>21</v>
      </c>
      <c r="F84" s="3">
        <v>46255.383796296293</v>
      </c>
      <c r="G84" s="3">
        <v>46258.383321759262</v>
      </c>
      <c r="H84" t="s">
        <v>252</v>
      </c>
      <c r="I84" t="s">
        <v>7</v>
      </c>
      <c r="K84" t="s">
        <v>67</v>
      </c>
      <c r="L84" s="10"/>
      <c r="N84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84" s="3"/>
      <c r="P84" s="3"/>
      <c r="Q84" s="3">
        <v>46258.383321759262</v>
      </c>
      <c r="R8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84" t="str">
        <f>IF(SCTR_Brokers[[#This Row],[FechaRecepcion]]="","",TEXT(SCTR_Brokers[[#This Row],[FechaRecepcion]],"mmmm")&amp;" "&amp;YEAR(SCTR_Brokers[[#This Row],[FechaRecepcion]]))</f>
        <v>agosto 2026</v>
      </c>
      <c r="U84">
        <f>IF(SCTR_Brokers[[#This Row],[Estado]]="FINALIZADO",1,0)</f>
        <v>1</v>
      </c>
      <c r="V84">
        <f>IF(SCTR_Brokers[[#This Row],[FechaRecepcion]]="","",IF(SCTR_Brokers[[#This Row],[Estado]]="FINALIZADO",0,1))</f>
        <v>0</v>
      </c>
      <c r="W84">
        <f ca="1">IF(AND(SCTR_Brokers[[#This Row],[Estado]]="FINALIZADO",SCTR_Brokers[[#This Row],[Plazo]]=LISTAS!$J$3),1,0)</f>
        <v>1</v>
      </c>
      <c r="X84">
        <f ca="1">IF(AND(SCTR_Brokers[[#This Row],[Estado]]="FINALIZADO",SCTR_Brokers[[#This Row],[Plazo]]=LISTAS!$J$4),1,0)</f>
        <v>0</v>
      </c>
      <c r="Y84">
        <f ca="1">IF(AND(SCTR_Brokers[[#This Row],[Estado]]&lt;&gt;"FINALIZADO",SCTR_Brokers[[#This Row],[Plazo]]=LISTAS!$J$4),1,0)</f>
        <v>0</v>
      </c>
      <c r="Z84">
        <f>IF(SCTR_Brokers[[#This Row],[Fecha_Solic_Informe]]="",0,1)</f>
        <v>0</v>
      </c>
      <c r="AA84">
        <f>IF(SCTR_Brokers[[#This Row],[Fecha_Informe]]="",0,1)</f>
        <v>0</v>
      </c>
      <c r="AB84">
        <f>IF(AND(SCTR_Brokers[[#This Row],[Fecha_Solic_Informe]]&lt;&gt;"",SCTR_Brokers[[#This Row],[Fecha_Informe]]=""),1,0)</f>
        <v>0</v>
      </c>
      <c r="AC8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85" spans="1:29" hidden="1">
      <c r="A85" t="s">
        <v>232</v>
      </c>
      <c r="C85" t="str">
        <f>IF(SCTR_Brokers[[#This Row],[FechaRecepcion]]="","",SCTR_Brokers[[#This Row],[ConversationId]]&amp;"-"&amp;TEXT(SCTR_Brokers[[#This Row],[FechaRecepcion]],"aaaammddhhmmss"))</f>
        <v>AAQkADdkNThjNzFkLWM0ZmMtNDJhYS04MDVlLTIwNzE4ZDI1Mzg4YgAQABvTKUPDhUYZkJQrDbbj3sA=-20260821092931</v>
      </c>
      <c r="D85" t="s">
        <v>248</v>
      </c>
      <c r="E85" t="s">
        <v>21</v>
      </c>
      <c r="F85" s="3">
        <v>46255.395497685182</v>
      </c>
      <c r="G85" s="3">
        <v>46260.836516203701</v>
      </c>
      <c r="H85" t="s">
        <v>253</v>
      </c>
      <c r="I85" t="s">
        <v>7</v>
      </c>
      <c r="J85" t="s">
        <v>254</v>
      </c>
      <c r="K85" t="s">
        <v>67</v>
      </c>
      <c r="L85" s="10"/>
      <c r="N85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85" s="3"/>
      <c r="P85" s="3"/>
      <c r="Q85" s="3">
        <v>46260.836516203708</v>
      </c>
      <c r="R8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S85" t="s">
        <v>164</v>
      </c>
      <c r="T85" t="str">
        <f>IF(SCTR_Brokers[[#This Row],[FechaRecepcion]]="","",TEXT(SCTR_Brokers[[#This Row],[FechaRecepcion]],"mmmm")&amp;" "&amp;YEAR(SCTR_Brokers[[#This Row],[FechaRecepcion]]))</f>
        <v>agosto 2026</v>
      </c>
      <c r="U85">
        <f>IF(SCTR_Brokers[[#This Row],[Estado]]="FINALIZADO",1,0)</f>
        <v>1</v>
      </c>
      <c r="V85">
        <f>IF(SCTR_Brokers[[#This Row],[FechaRecepcion]]="","",IF(SCTR_Brokers[[#This Row],[Estado]]="FINALIZADO",0,1))</f>
        <v>0</v>
      </c>
      <c r="W85">
        <f ca="1">IF(AND(SCTR_Brokers[[#This Row],[Estado]]="FINALIZADO",SCTR_Brokers[[#This Row],[Plazo]]=LISTAS!$J$3),1,0)</f>
        <v>0</v>
      </c>
      <c r="X85">
        <f ca="1">IF(AND(SCTR_Brokers[[#This Row],[Estado]]="FINALIZADO",SCTR_Brokers[[#This Row],[Plazo]]=LISTAS!$J$4),1,0)</f>
        <v>1</v>
      </c>
      <c r="Y85">
        <f ca="1">IF(AND(SCTR_Brokers[[#This Row],[Estado]]&lt;&gt;"FINALIZADO",SCTR_Brokers[[#This Row],[Plazo]]=LISTAS!$J$4),1,0)</f>
        <v>0</v>
      </c>
      <c r="Z85">
        <f>IF(SCTR_Brokers[[#This Row],[Fecha_Solic_Informe]]="",0,1)</f>
        <v>0</v>
      </c>
      <c r="AA85">
        <f>IF(SCTR_Brokers[[#This Row],[Fecha_Informe]]="",0,1)</f>
        <v>0</v>
      </c>
      <c r="AB85">
        <f>IF(AND(SCTR_Brokers[[#This Row],[Fecha_Solic_Informe]]&lt;&gt;"",SCTR_Brokers[[#This Row],[Fecha_Informe]]=""),1,0)</f>
        <v>0</v>
      </c>
      <c r="AC8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86" spans="1:29" hidden="1">
      <c r="A86" t="s">
        <v>106</v>
      </c>
      <c r="C86" t="str">
        <f>IF(SCTR_Brokers[[#This Row],[FechaRecepcion]]="","",SCTR_Brokers[[#This Row],[ConversationId]]&amp;"-"&amp;TEXT(SCTR_Brokers[[#This Row],[FechaRecepcion]],"aaaammddhhmmss"))</f>
        <v>AAQkADdkNThjNzFkLWM0ZmMtNDJhYS04MDVlLTIwNzE4ZDI1Mzg4YgAQAD0KJzq8UO5HuSV08G9KmYE=-20260821140405</v>
      </c>
      <c r="D86" t="s">
        <v>255</v>
      </c>
      <c r="E86" t="s">
        <v>21</v>
      </c>
      <c r="F86" s="3">
        <v>46255.586168981485</v>
      </c>
      <c r="G86" s="3">
        <v>46258.448553240742</v>
      </c>
      <c r="H86" t="s">
        <v>70</v>
      </c>
      <c r="I86" t="s">
        <v>7</v>
      </c>
      <c r="K86" t="s">
        <v>67</v>
      </c>
      <c r="L86" s="10"/>
      <c r="N86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86" s="3"/>
      <c r="P86" s="3"/>
      <c r="Q86" s="3">
        <v>46258.448553240742</v>
      </c>
      <c r="R8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86" t="str">
        <f>IF(SCTR_Brokers[[#This Row],[FechaRecepcion]]="","",TEXT(SCTR_Brokers[[#This Row],[FechaRecepcion]],"mmmm")&amp;" "&amp;YEAR(SCTR_Brokers[[#This Row],[FechaRecepcion]]))</f>
        <v>agosto 2026</v>
      </c>
      <c r="U86">
        <f>IF(SCTR_Brokers[[#This Row],[Estado]]="FINALIZADO",1,0)</f>
        <v>1</v>
      </c>
      <c r="V86">
        <f>IF(SCTR_Brokers[[#This Row],[FechaRecepcion]]="","",IF(SCTR_Brokers[[#This Row],[Estado]]="FINALIZADO",0,1))</f>
        <v>0</v>
      </c>
      <c r="W86">
        <f ca="1">IF(AND(SCTR_Brokers[[#This Row],[Estado]]="FINALIZADO",SCTR_Brokers[[#This Row],[Plazo]]=LISTAS!$J$3),1,0)</f>
        <v>1</v>
      </c>
      <c r="X86">
        <f ca="1">IF(AND(SCTR_Brokers[[#This Row],[Estado]]="FINALIZADO",SCTR_Brokers[[#This Row],[Plazo]]=LISTAS!$J$4),1,0)</f>
        <v>0</v>
      </c>
      <c r="Y86">
        <f ca="1">IF(AND(SCTR_Brokers[[#This Row],[Estado]]&lt;&gt;"FINALIZADO",SCTR_Brokers[[#This Row],[Plazo]]=LISTAS!$J$4),1,0)</f>
        <v>0</v>
      </c>
      <c r="Z86">
        <f>IF(SCTR_Brokers[[#This Row],[Fecha_Solic_Informe]]="",0,1)</f>
        <v>0</v>
      </c>
      <c r="AA86">
        <f>IF(SCTR_Brokers[[#This Row],[Fecha_Informe]]="",0,1)</f>
        <v>0</v>
      </c>
      <c r="AB86">
        <f>IF(AND(SCTR_Brokers[[#This Row],[Fecha_Solic_Informe]]&lt;&gt;"",SCTR_Brokers[[#This Row],[Fecha_Informe]]=""),1,0)</f>
        <v>0</v>
      </c>
      <c r="AC8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87" spans="1:29" hidden="1">
      <c r="A87" t="s">
        <v>256</v>
      </c>
      <c r="C87" t="str">
        <f>IF(SCTR_Brokers[[#This Row],[FechaRecepcion]]="","",SCTR_Brokers[[#This Row],[ConversationId]]&amp;"-"&amp;TEXT(SCTR_Brokers[[#This Row],[FechaRecepcion]],"aaaammddhhmmss"))</f>
        <v>AAQkADdkNThjNzFkLWM0ZmMtNDJhYS04MDVlLTIwNzE4ZDI1Mzg4YgAQADq4970OC75Mhh7l2Ht0Zak=-20260821152717</v>
      </c>
      <c r="D87" t="s">
        <v>257</v>
      </c>
      <c r="E87" t="s">
        <v>21</v>
      </c>
      <c r="F87" s="3">
        <v>46255.643946759257</v>
      </c>
      <c r="G87" s="3">
        <v>46258.446770833332</v>
      </c>
      <c r="H87" t="s">
        <v>70</v>
      </c>
      <c r="I87" t="s">
        <v>7</v>
      </c>
      <c r="K87" t="s">
        <v>67</v>
      </c>
      <c r="L87" s="10"/>
      <c r="N87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87" s="3"/>
      <c r="P87" s="3"/>
      <c r="Q87" s="3">
        <v>46258.446770833332</v>
      </c>
      <c r="R8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87" t="str">
        <f>IF(SCTR_Brokers[[#This Row],[FechaRecepcion]]="","",TEXT(SCTR_Brokers[[#This Row],[FechaRecepcion]],"mmmm")&amp;" "&amp;YEAR(SCTR_Brokers[[#This Row],[FechaRecepcion]]))</f>
        <v>agosto 2026</v>
      </c>
      <c r="U87">
        <f>IF(SCTR_Brokers[[#This Row],[Estado]]="FINALIZADO",1,0)</f>
        <v>1</v>
      </c>
      <c r="V87">
        <f>IF(SCTR_Brokers[[#This Row],[FechaRecepcion]]="","",IF(SCTR_Brokers[[#This Row],[Estado]]="FINALIZADO",0,1))</f>
        <v>0</v>
      </c>
      <c r="W87">
        <f ca="1">IF(AND(SCTR_Brokers[[#This Row],[Estado]]="FINALIZADO",SCTR_Brokers[[#This Row],[Plazo]]=LISTAS!$J$3),1,0)</f>
        <v>1</v>
      </c>
      <c r="X87">
        <f ca="1">IF(AND(SCTR_Brokers[[#This Row],[Estado]]="FINALIZADO",SCTR_Brokers[[#This Row],[Plazo]]=LISTAS!$J$4),1,0)</f>
        <v>0</v>
      </c>
      <c r="Y87">
        <f ca="1">IF(AND(SCTR_Brokers[[#This Row],[Estado]]&lt;&gt;"FINALIZADO",SCTR_Brokers[[#This Row],[Plazo]]=LISTAS!$J$4),1,0)</f>
        <v>0</v>
      </c>
      <c r="Z87">
        <f>IF(SCTR_Brokers[[#This Row],[Fecha_Solic_Informe]]="",0,1)</f>
        <v>0</v>
      </c>
      <c r="AA87">
        <f>IF(SCTR_Brokers[[#This Row],[Fecha_Informe]]="",0,1)</f>
        <v>0</v>
      </c>
      <c r="AB87">
        <f>IF(AND(SCTR_Brokers[[#This Row],[Fecha_Solic_Informe]]&lt;&gt;"",SCTR_Brokers[[#This Row],[Fecha_Informe]]=""),1,0)</f>
        <v>0</v>
      </c>
      <c r="AC8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88" spans="1:29" hidden="1">
      <c r="A88" t="s">
        <v>258</v>
      </c>
      <c r="C88" t="str">
        <f>IF(SCTR_Brokers[[#This Row],[FechaRecepcion]]="","",SCTR_Brokers[[#This Row],[ConversationId]]&amp;"-"&amp;TEXT(SCTR_Brokers[[#This Row],[FechaRecepcion]],"aaaammddhhmmss"))</f>
        <v>AAQkADdkNThjNzFkLWM0ZmMtNDJhYS04MDVlLTIwNzE4ZDI1Mzg4YgAQAFYg042zIk0Gk8HIl9asDLw=-20260821172940</v>
      </c>
      <c r="D88" t="s">
        <v>259</v>
      </c>
      <c r="E88" t="s">
        <v>8</v>
      </c>
      <c r="F88" s="3">
        <v>46255.728935185187</v>
      </c>
      <c r="G88" s="3">
        <v>46258.469386574077</v>
      </c>
      <c r="H88" t="s">
        <v>17</v>
      </c>
      <c r="I88" t="s">
        <v>7</v>
      </c>
      <c r="J88" s="10" t="s">
        <v>260</v>
      </c>
      <c r="K88" t="s">
        <v>67</v>
      </c>
      <c r="L88" s="10" t="s">
        <v>261</v>
      </c>
      <c r="M88" t="s">
        <v>16</v>
      </c>
      <c r="N88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88" s="3">
        <v>46258.459039351852</v>
      </c>
      <c r="P88" s="3">
        <v>46258.469386574077</v>
      </c>
      <c r="Q88" s="3">
        <v>46258.46938657407</v>
      </c>
      <c r="R8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88" t="s">
        <v>164</v>
      </c>
      <c r="T88" t="str">
        <f>IF(SCTR_Brokers[[#This Row],[FechaRecepcion]]="","",TEXT(SCTR_Brokers[[#This Row],[FechaRecepcion]],"mmmm")&amp;" "&amp;YEAR(SCTR_Brokers[[#This Row],[FechaRecepcion]]))</f>
        <v>agosto 2026</v>
      </c>
      <c r="U88">
        <f>IF(SCTR_Brokers[[#This Row],[Estado]]="FINALIZADO",1,0)</f>
        <v>1</v>
      </c>
      <c r="V88">
        <f>IF(SCTR_Brokers[[#This Row],[FechaRecepcion]]="","",IF(SCTR_Brokers[[#This Row],[Estado]]="FINALIZADO",0,1))</f>
        <v>0</v>
      </c>
      <c r="W88">
        <f ca="1">IF(AND(SCTR_Brokers[[#This Row],[Estado]]="FINALIZADO",SCTR_Brokers[[#This Row],[Plazo]]=LISTAS!$J$3),1,0)</f>
        <v>1</v>
      </c>
      <c r="X88">
        <f ca="1">IF(AND(SCTR_Brokers[[#This Row],[Estado]]="FINALIZADO",SCTR_Brokers[[#This Row],[Plazo]]=LISTAS!$J$4),1,0)</f>
        <v>0</v>
      </c>
      <c r="Y88">
        <f ca="1">IF(AND(SCTR_Brokers[[#This Row],[Estado]]&lt;&gt;"FINALIZADO",SCTR_Brokers[[#This Row],[Plazo]]=LISTAS!$J$4),1,0)</f>
        <v>0</v>
      </c>
      <c r="Z88">
        <f>IF(SCTR_Brokers[[#This Row],[Fecha_Solic_Informe]]="",0,1)</f>
        <v>1</v>
      </c>
      <c r="AA88">
        <f>IF(SCTR_Brokers[[#This Row],[Fecha_Informe]]="",0,1)</f>
        <v>1</v>
      </c>
      <c r="AB88">
        <f>IF(AND(SCTR_Brokers[[#This Row],[Fecha_Solic_Informe]]&lt;&gt;"",SCTR_Brokers[[#This Row],[Fecha_Informe]]=""),1,0)</f>
        <v>0</v>
      </c>
      <c r="AC88">
        <f>IF(AND(SCTR_Brokers[[#This Row],[Fecha_Solic_Informe]]&lt;&gt;"",SCTR_Brokers[[#This Row],[Fecha_Informe]]&lt;&gt;""),ROUND((SCTR_Brokers[[#This Row],[Fecha_Informe]]-SCTR_Brokers[[#This Row],[Fecha_Solic_Informe]])*24,1),"")</f>
        <v>0.2</v>
      </c>
    </row>
    <row r="89" spans="1:29" hidden="1">
      <c r="A89" t="s">
        <v>262</v>
      </c>
      <c r="C89" t="str">
        <f>IF(SCTR_Brokers[[#This Row],[FechaRecepcion]]="","",SCTR_Brokers[[#This Row],[ConversationId]]&amp;"-"&amp;TEXT(SCTR_Brokers[[#This Row],[FechaRecepcion]],"aaaammddhhmmss"))</f>
        <v>AAQkADdkNThjNzFkLWM0ZmMtNDJhYS04MDVlLTIwNzE4ZDI1Mzg4YgAQAOavVnvkq0PIhyKxAMBNOzU=-20260821183034</v>
      </c>
      <c r="D89" t="s">
        <v>263</v>
      </c>
      <c r="E89" t="s">
        <v>21</v>
      </c>
      <c r="F89" s="3">
        <v>46255.771226851852</v>
      </c>
      <c r="G89" s="3">
        <v>46258.440798611111</v>
      </c>
      <c r="H89" t="s">
        <v>70</v>
      </c>
      <c r="I89" t="s">
        <v>7</v>
      </c>
      <c r="K89" t="s">
        <v>67</v>
      </c>
      <c r="L89" s="10"/>
      <c r="N89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89" s="3"/>
      <c r="P89" s="3"/>
      <c r="Q89" s="3">
        <v>46258.440798611111</v>
      </c>
      <c r="R8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89" t="str">
        <f>IF(SCTR_Brokers[[#This Row],[FechaRecepcion]]="","",TEXT(SCTR_Brokers[[#This Row],[FechaRecepcion]],"mmmm")&amp;" "&amp;YEAR(SCTR_Brokers[[#This Row],[FechaRecepcion]]))</f>
        <v>agosto 2026</v>
      </c>
      <c r="U89">
        <f>IF(SCTR_Brokers[[#This Row],[Estado]]="FINALIZADO",1,0)</f>
        <v>1</v>
      </c>
      <c r="V89">
        <f>IF(SCTR_Brokers[[#This Row],[FechaRecepcion]]="","",IF(SCTR_Brokers[[#This Row],[Estado]]="FINALIZADO",0,1))</f>
        <v>0</v>
      </c>
      <c r="W89">
        <f ca="1">IF(AND(SCTR_Brokers[[#This Row],[Estado]]="FINALIZADO",SCTR_Brokers[[#This Row],[Plazo]]=LISTAS!$J$3),1,0)</f>
        <v>1</v>
      </c>
      <c r="X89">
        <f ca="1">IF(AND(SCTR_Brokers[[#This Row],[Estado]]="FINALIZADO",SCTR_Brokers[[#This Row],[Plazo]]=LISTAS!$J$4),1,0)</f>
        <v>0</v>
      </c>
      <c r="Y89">
        <f ca="1">IF(AND(SCTR_Brokers[[#This Row],[Estado]]&lt;&gt;"FINALIZADO",SCTR_Brokers[[#This Row],[Plazo]]=LISTAS!$J$4),1,0)</f>
        <v>0</v>
      </c>
      <c r="Z89">
        <f>IF(SCTR_Brokers[[#This Row],[Fecha_Solic_Informe]]="",0,1)</f>
        <v>0</v>
      </c>
      <c r="AA89">
        <f>IF(SCTR_Brokers[[#This Row],[Fecha_Informe]]="",0,1)</f>
        <v>0</v>
      </c>
      <c r="AB89">
        <f>IF(AND(SCTR_Brokers[[#This Row],[Fecha_Solic_Informe]]&lt;&gt;"",SCTR_Brokers[[#This Row],[Fecha_Informe]]=""),1,0)</f>
        <v>0</v>
      </c>
      <c r="AC8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90" spans="1:29" hidden="1">
      <c r="A90" t="s">
        <v>185</v>
      </c>
      <c r="C90" t="str">
        <f>IF(SCTR_Brokers[[#This Row],[FechaRecepcion]]="","",SCTR_Brokers[[#This Row],[ConversationId]]&amp;"-"&amp;TEXT(SCTR_Brokers[[#This Row],[FechaRecepcion]],"aaaammddhhmmss"))</f>
        <v>AAQkADdkNThjNzFkLWM0ZmMtNDJhYS04MDVlLTIwNzE4ZDI1Mzg4YgAQAFSn_rQh8tVOrXdOXJVAqqs=-20260821194510</v>
      </c>
      <c r="D90" t="s">
        <v>264</v>
      </c>
      <c r="E90" t="s">
        <v>21</v>
      </c>
      <c r="F90" s="3">
        <v>46255.82303240741</v>
      </c>
      <c r="G90" s="3">
        <v>46258.434398148151</v>
      </c>
      <c r="H90" t="s">
        <v>70</v>
      </c>
      <c r="I90" t="s">
        <v>7</v>
      </c>
      <c r="K90" t="s">
        <v>67</v>
      </c>
      <c r="L90" s="10"/>
      <c r="N90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90" s="3"/>
      <c r="P90" s="3"/>
      <c r="Q90" s="3">
        <v>46258.434398148151</v>
      </c>
      <c r="R9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90" t="str">
        <f>IF(SCTR_Brokers[[#This Row],[FechaRecepcion]]="","",TEXT(SCTR_Brokers[[#This Row],[FechaRecepcion]],"mmmm")&amp;" "&amp;YEAR(SCTR_Brokers[[#This Row],[FechaRecepcion]]))</f>
        <v>agosto 2026</v>
      </c>
      <c r="U90">
        <f>IF(SCTR_Brokers[[#This Row],[Estado]]="FINALIZADO",1,0)</f>
        <v>1</v>
      </c>
      <c r="V90">
        <f>IF(SCTR_Brokers[[#This Row],[FechaRecepcion]]="","",IF(SCTR_Brokers[[#This Row],[Estado]]="FINALIZADO",0,1))</f>
        <v>0</v>
      </c>
      <c r="W90">
        <f ca="1">IF(AND(SCTR_Brokers[[#This Row],[Estado]]="FINALIZADO",SCTR_Brokers[[#This Row],[Plazo]]=LISTAS!$J$3),1,0)</f>
        <v>1</v>
      </c>
      <c r="X90">
        <f ca="1">IF(AND(SCTR_Brokers[[#This Row],[Estado]]="FINALIZADO",SCTR_Brokers[[#This Row],[Plazo]]=LISTAS!$J$4),1,0)</f>
        <v>0</v>
      </c>
      <c r="Y90">
        <f ca="1">IF(AND(SCTR_Brokers[[#This Row],[Estado]]&lt;&gt;"FINALIZADO",SCTR_Brokers[[#This Row],[Plazo]]=LISTAS!$J$4),1,0)</f>
        <v>0</v>
      </c>
      <c r="Z90">
        <f>IF(SCTR_Brokers[[#This Row],[Fecha_Solic_Informe]]="",0,1)</f>
        <v>0</v>
      </c>
      <c r="AA90">
        <f>IF(SCTR_Brokers[[#This Row],[Fecha_Informe]]="",0,1)</f>
        <v>0</v>
      </c>
      <c r="AB90">
        <f>IF(AND(SCTR_Brokers[[#This Row],[Fecha_Solic_Informe]]&lt;&gt;"",SCTR_Brokers[[#This Row],[Fecha_Informe]]=""),1,0)</f>
        <v>0</v>
      </c>
      <c r="AC9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91" spans="1:29" hidden="1">
      <c r="A91" t="s">
        <v>265</v>
      </c>
      <c r="C91" t="str">
        <f>IF(SCTR_Brokers[[#This Row],[FechaRecepcion]]="","",SCTR_Brokers[[#This Row],[ConversationId]]&amp;"-"&amp;TEXT(SCTR_Brokers[[#This Row],[FechaRecepcion]],"aaaammddhhmmss"))</f>
        <v>AAQkADdkNThjNzFkLWM0ZmMtNDJhYS04MDVlLTIwNzE4ZDI1Mzg4YgAQACJnXdhG5k9Ip81qCyFrBH0=-20260822014204</v>
      </c>
      <c r="D91" t="s">
        <v>266</v>
      </c>
      <c r="E91" t="s">
        <v>21</v>
      </c>
      <c r="F91" s="3">
        <v>46256.070879629631</v>
      </c>
      <c r="G91" s="3">
        <v>46258.431493055556</v>
      </c>
      <c r="H91" t="s">
        <v>70</v>
      </c>
      <c r="I91" t="s">
        <v>7</v>
      </c>
      <c r="K91" t="s">
        <v>67</v>
      </c>
      <c r="L91" s="10"/>
      <c r="N91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91" s="3"/>
      <c r="P91" s="3"/>
      <c r="Q91" s="3">
        <v>46258.431493055556</v>
      </c>
      <c r="R9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91" t="str">
        <f>IF(SCTR_Brokers[[#This Row],[FechaRecepcion]]="","",TEXT(SCTR_Brokers[[#This Row],[FechaRecepcion]],"mmmm")&amp;" "&amp;YEAR(SCTR_Brokers[[#This Row],[FechaRecepcion]]))</f>
        <v>agosto 2026</v>
      </c>
      <c r="U91">
        <f>IF(SCTR_Brokers[[#This Row],[Estado]]="FINALIZADO",1,0)</f>
        <v>1</v>
      </c>
      <c r="V91">
        <f>IF(SCTR_Brokers[[#This Row],[FechaRecepcion]]="","",IF(SCTR_Brokers[[#This Row],[Estado]]="FINALIZADO",0,1))</f>
        <v>0</v>
      </c>
      <c r="W91">
        <f ca="1">IF(AND(SCTR_Brokers[[#This Row],[Estado]]="FINALIZADO",SCTR_Brokers[[#This Row],[Plazo]]=LISTAS!$J$3),1,0)</f>
        <v>1</v>
      </c>
      <c r="X91">
        <f ca="1">IF(AND(SCTR_Brokers[[#This Row],[Estado]]="FINALIZADO",SCTR_Brokers[[#This Row],[Plazo]]=LISTAS!$J$4),1,0)</f>
        <v>0</v>
      </c>
      <c r="Y91">
        <f ca="1">IF(AND(SCTR_Brokers[[#This Row],[Estado]]&lt;&gt;"FINALIZADO",SCTR_Brokers[[#This Row],[Plazo]]=LISTAS!$J$4),1,0)</f>
        <v>0</v>
      </c>
      <c r="Z91">
        <f>IF(SCTR_Brokers[[#This Row],[Fecha_Solic_Informe]]="",0,1)</f>
        <v>0</v>
      </c>
      <c r="AA91">
        <f>IF(SCTR_Brokers[[#This Row],[Fecha_Informe]]="",0,1)</f>
        <v>0</v>
      </c>
      <c r="AB91">
        <f>IF(AND(SCTR_Brokers[[#This Row],[Fecha_Solic_Informe]]&lt;&gt;"",SCTR_Brokers[[#This Row],[Fecha_Informe]]=""),1,0)</f>
        <v>0</v>
      </c>
      <c r="AC9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92" spans="1:29" hidden="1">
      <c r="A92" t="s">
        <v>267</v>
      </c>
      <c r="C92" t="str">
        <f>IF(SCTR_Brokers[[#This Row],[FechaRecepcion]]="","",SCTR_Brokers[[#This Row],[ConversationId]]&amp;"-"&amp;TEXT(SCTR_Brokers[[#This Row],[FechaRecepcion]],"aaaammddhhmmss"))</f>
        <v>AAQkADdkNThjNzFkLWM0ZmMtNDJhYS04MDVlLTIwNzE4ZDI1Mzg4YgAQAPzNfxhlY4tGulqbRndSuNE=-20260824090510</v>
      </c>
      <c r="D92" t="s">
        <v>268</v>
      </c>
      <c r="E92" t="s">
        <v>21</v>
      </c>
      <c r="F92" s="3">
        <v>46258.378587962965</v>
      </c>
      <c r="G92" s="3">
        <v>46258.46298611111</v>
      </c>
      <c r="H92" t="s">
        <v>269</v>
      </c>
      <c r="I92" t="s">
        <v>7</v>
      </c>
      <c r="J92" t="s">
        <v>270</v>
      </c>
      <c r="K92" t="s">
        <v>67</v>
      </c>
      <c r="L92" s="10"/>
      <c r="N92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92" s="3"/>
      <c r="P92" s="3"/>
      <c r="Q92" s="3">
        <v>46258.46298611111</v>
      </c>
      <c r="R9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92" t="str">
        <f>IF(SCTR_Brokers[[#This Row],[FechaRecepcion]]="","",TEXT(SCTR_Brokers[[#This Row],[FechaRecepcion]],"mmmm")&amp;" "&amp;YEAR(SCTR_Brokers[[#This Row],[FechaRecepcion]]))</f>
        <v>agosto 2026</v>
      </c>
      <c r="U92">
        <f>IF(SCTR_Brokers[[#This Row],[Estado]]="FINALIZADO",1,0)</f>
        <v>1</v>
      </c>
      <c r="V92">
        <f>IF(SCTR_Brokers[[#This Row],[FechaRecepcion]]="","",IF(SCTR_Brokers[[#This Row],[Estado]]="FINALIZADO",0,1))</f>
        <v>0</v>
      </c>
      <c r="W92">
        <f ca="1">IF(AND(SCTR_Brokers[[#This Row],[Estado]]="FINALIZADO",SCTR_Brokers[[#This Row],[Plazo]]=LISTAS!$J$3),1,0)</f>
        <v>1</v>
      </c>
      <c r="X92">
        <f ca="1">IF(AND(SCTR_Brokers[[#This Row],[Estado]]="FINALIZADO",SCTR_Brokers[[#This Row],[Plazo]]=LISTAS!$J$4),1,0)</f>
        <v>0</v>
      </c>
      <c r="Y92">
        <f ca="1">IF(AND(SCTR_Brokers[[#This Row],[Estado]]&lt;&gt;"FINALIZADO",SCTR_Brokers[[#This Row],[Plazo]]=LISTAS!$J$4),1,0)</f>
        <v>0</v>
      </c>
      <c r="Z92">
        <f>IF(SCTR_Brokers[[#This Row],[Fecha_Solic_Informe]]="",0,1)</f>
        <v>0</v>
      </c>
      <c r="AA92">
        <f>IF(SCTR_Brokers[[#This Row],[Fecha_Informe]]="",0,1)</f>
        <v>0</v>
      </c>
      <c r="AB92">
        <f>IF(AND(SCTR_Brokers[[#This Row],[Fecha_Solic_Informe]]&lt;&gt;"",SCTR_Brokers[[#This Row],[Fecha_Informe]]=""),1,0)</f>
        <v>0</v>
      </c>
      <c r="AC9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93" spans="1:29" hidden="1">
      <c r="A93" t="s">
        <v>106</v>
      </c>
      <c r="C93" t="str">
        <f>IF(SCTR_Brokers[[#This Row],[FechaRecepcion]]="","",SCTR_Brokers[[#This Row],[ConversationId]]&amp;"-"&amp;TEXT(SCTR_Brokers[[#This Row],[FechaRecepcion]],"aaaammddhhmmss"))</f>
        <v>AAQkADdkNThjNzFkLWM0ZmMtNDJhYS04MDVlLTIwNzE4ZDI1Mzg4YgAQAD0KJzq8UO5HuSV08G9KmYE=-20260824113648</v>
      </c>
      <c r="D93" t="s">
        <v>245</v>
      </c>
      <c r="E93" t="s">
        <v>21</v>
      </c>
      <c r="F93" s="3">
        <v>46258.483888888892</v>
      </c>
      <c r="G93" s="3">
        <v>46258.642280092594</v>
      </c>
      <c r="H93" t="s">
        <v>217</v>
      </c>
      <c r="I93" t="s">
        <v>7</v>
      </c>
      <c r="J93" t="s">
        <v>218</v>
      </c>
      <c r="K93" t="s">
        <v>67</v>
      </c>
      <c r="L93" s="10"/>
      <c r="N93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93" s="3"/>
      <c r="P93" s="3"/>
      <c r="Q93" s="3">
        <v>46258.642280092594</v>
      </c>
      <c r="R9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93" t="str">
        <f>IF(SCTR_Brokers[[#This Row],[FechaRecepcion]]="","",TEXT(SCTR_Brokers[[#This Row],[FechaRecepcion]],"mmmm")&amp;" "&amp;YEAR(SCTR_Brokers[[#This Row],[FechaRecepcion]]))</f>
        <v>agosto 2026</v>
      </c>
      <c r="U93">
        <f>IF(SCTR_Brokers[[#This Row],[Estado]]="FINALIZADO",1,0)</f>
        <v>1</v>
      </c>
      <c r="V93">
        <f>IF(SCTR_Brokers[[#This Row],[FechaRecepcion]]="","",IF(SCTR_Brokers[[#This Row],[Estado]]="FINALIZADO",0,1))</f>
        <v>0</v>
      </c>
      <c r="W93">
        <f ca="1">IF(AND(SCTR_Brokers[[#This Row],[Estado]]="FINALIZADO",SCTR_Brokers[[#This Row],[Plazo]]=LISTAS!$J$3),1,0)</f>
        <v>1</v>
      </c>
      <c r="X93">
        <f ca="1">IF(AND(SCTR_Brokers[[#This Row],[Estado]]="FINALIZADO",SCTR_Brokers[[#This Row],[Plazo]]=LISTAS!$J$4),1,0)</f>
        <v>0</v>
      </c>
      <c r="Y93">
        <f ca="1">IF(AND(SCTR_Brokers[[#This Row],[Estado]]&lt;&gt;"FINALIZADO",SCTR_Brokers[[#This Row],[Plazo]]=LISTAS!$J$4),1,0)</f>
        <v>0</v>
      </c>
      <c r="Z93">
        <f>IF(SCTR_Brokers[[#This Row],[Fecha_Solic_Informe]]="",0,1)</f>
        <v>0</v>
      </c>
      <c r="AA93">
        <f>IF(SCTR_Brokers[[#This Row],[Fecha_Informe]]="",0,1)</f>
        <v>0</v>
      </c>
      <c r="AB93">
        <f>IF(AND(SCTR_Brokers[[#This Row],[Fecha_Solic_Informe]]&lt;&gt;"",SCTR_Brokers[[#This Row],[Fecha_Informe]]=""),1,0)</f>
        <v>0</v>
      </c>
      <c r="AC9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94" spans="1:29" hidden="1">
      <c r="A94" t="s">
        <v>271</v>
      </c>
      <c r="C94" t="str">
        <f>IF(SCTR_Brokers[[#This Row],[FechaRecepcion]]="","",SCTR_Brokers[[#This Row],[ConversationId]]&amp;"-"&amp;TEXT(SCTR_Brokers[[#This Row],[FechaRecepcion]],"aaaammddhhmmss"))</f>
        <v>AAQkADdkNThjNzFkLWM0ZmMtNDJhYS04MDVlLTIwNzE4ZDI1Mzg4YgAQAA-0utspZo9FkK7sPBAGT5U=-20260824125106</v>
      </c>
      <c r="D94" t="s">
        <v>272</v>
      </c>
      <c r="E94" t="s">
        <v>23</v>
      </c>
      <c r="F94" s="3">
        <v>46258.535486111112</v>
      </c>
      <c r="G94" s="3">
        <v>46258.546111111114</v>
      </c>
      <c r="H94" t="s">
        <v>70</v>
      </c>
      <c r="I94" t="s">
        <v>7</v>
      </c>
      <c r="K94" t="s">
        <v>67</v>
      </c>
      <c r="L94" s="10"/>
      <c r="N94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94" s="3"/>
      <c r="P94" s="3"/>
      <c r="Q94" s="3">
        <v>46258.546111111114</v>
      </c>
      <c r="R9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94" t="str">
        <f>IF(SCTR_Brokers[[#This Row],[FechaRecepcion]]="","",TEXT(SCTR_Brokers[[#This Row],[FechaRecepcion]],"mmmm")&amp;" "&amp;YEAR(SCTR_Brokers[[#This Row],[FechaRecepcion]]))</f>
        <v>agosto 2026</v>
      </c>
      <c r="U94">
        <f>IF(SCTR_Brokers[[#This Row],[Estado]]="FINALIZADO",1,0)</f>
        <v>1</v>
      </c>
      <c r="V94">
        <f>IF(SCTR_Brokers[[#This Row],[FechaRecepcion]]="","",IF(SCTR_Brokers[[#This Row],[Estado]]="FINALIZADO",0,1))</f>
        <v>0</v>
      </c>
      <c r="W94">
        <f ca="1">IF(AND(SCTR_Brokers[[#This Row],[Estado]]="FINALIZADO",SCTR_Brokers[[#This Row],[Plazo]]=LISTAS!$J$3),1,0)</f>
        <v>1</v>
      </c>
      <c r="X94">
        <f ca="1">IF(AND(SCTR_Brokers[[#This Row],[Estado]]="FINALIZADO",SCTR_Brokers[[#This Row],[Plazo]]=LISTAS!$J$4),1,0)</f>
        <v>0</v>
      </c>
      <c r="Y94">
        <f ca="1">IF(AND(SCTR_Brokers[[#This Row],[Estado]]&lt;&gt;"FINALIZADO",SCTR_Brokers[[#This Row],[Plazo]]=LISTAS!$J$4),1,0)</f>
        <v>0</v>
      </c>
      <c r="Z94">
        <f>IF(SCTR_Brokers[[#This Row],[Fecha_Solic_Informe]]="",0,1)</f>
        <v>0</v>
      </c>
      <c r="AA94">
        <f>IF(SCTR_Brokers[[#This Row],[Fecha_Informe]]="",0,1)</f>
        <v>0</v>
      </c>
      <c r="AB94">
        <f>IF(AND(SCTR_Brokers[[#This Row],[Fecha_Solic_Informe]]&lt;&gt;"",SCTR_Brokers[[#This Row],[Fecha_Informe]]=""),1,0)</f>
        <v>0</v>
      </c>
      <c r="AC9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95" spans="1:29" hidden="1">
      <c r="A95" t="s">
        <v>273</v>
      </c>
      <c r="C95" t="str">
        <f>IF(SCTR_Brokers[[#This Row],[FechaRecepcion]]="","",SCTR_Brokers[[#This Row],[ConversationId]]&amp;"-"&amp;TEXT(SCTR_Brokers[[#This Row],[FechaRecepcion]],"aaaammddhhmmss"))</f>
        <v>AAQkADdkNThjNzFkLWM0ZmMtNDJhYS04MDVlLTIwNzE4ZDI1Mzg4YgAQAN9fS2Q4jEWOquokHqst4YA=-20260824160439</v>
      </c>
      <c r="D95" t="s">
        <v>274</v>
      </c>
      <c r="E95" t="s">
        <v>14</v>
      </c>
      <c r="F95" s="3">
        <v>46258.669895833336</v>
      </c>
      <c r="G95" s="3">
        <v>46258.75613425926</v>
      </c>
      <c r="H95" t="s">
        <v>70</v>
      </c>
      <c r="I95" t="s">
        <v>7</v>
      </c>
      <c r="K95" t="s">
        <v>67</v>
      </c>
      <c r="L95" s="10"/>
      <c r="N95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95" s="3"/>
      <c r="P95" s="3"/>
      <c r="Q95" s="3">
        <v>46258.75613425926</v>
      </c>
      <c r="R9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95" t="str">
        <f>IF(SCTR_Brokers[[#This Row],[FechaRecepcion]]="","",TEXT(SCTR_Brokers[[#This Row],[FechaRecepcion]],"mmmm")&amp;" "&amp;YEAR(SCTR_Brokers[[#This Row],[FechaRecepcion]]))</f>
        <v>agosto 2026</v>
      </c>
      <c r="U95">
        <f>IF(SCTR_Brokers[[#This Row],[Estado]]="FINALIZADO",1,0)</f>
        <v>1</v>
      </c>
      <c r="V95">
        <f>IF(SCTR_Brokers[[#This Row],[FechaRecepcion]]="","",IF(SCTR_Brokers[[#This Row],[Estado]]="FINALIZADO",0,1))</f>
        <v>0</v>
      </c>
      <c r="W95">
        <f ca="1">IF(AND(SCTR_Brokers[[#This Row],[Estado]]="FINALIZADO",SCTR_Brokers[[#This Row],[Plazo]]=LISTAS!$J$3),1,0)</f>
        <v>1</v>
      </c>
      <c r="X95">
        <f ca="1">IF(AND(SCTR_Brokers[[#This Row],[Estado]]="FINALIZADO",SCTR_Brokers[[#This Row],[Plazo]]=LISTAS!$J$4),1,0)</f>
        <v>0</v>
      </c>
      <c r="Y95">
        <f ca="1">IF(AND(SCTR_Brokers[[#This Row],[Estado]]&lt;&gt;"FINALIZADO",SCTR_Brokers[[#This Row],[Plazo]]=LISTAS!$J$4),1,0)</f>
        <v>0</v>
      </c>
      <c r="Z95">
        <f>IF(SCTR_Brokers[[#This Row],[Fecha_Solic_Informe]]="",0,1)</f>
        <v>0</v>
      </c>
      <c r="AA95">
        <f>IF(SCTR_Brokers[[#This Row],[Fecha_Informe]]="",0,1)</f>
        <v>0</v>
      </c>
      <c r="AB95">
        <f>IF(AND(SCTR_Brokers[[#This Row],[Fecha_Solic_Informe]]&lt;&gt;"",SCTR_Brokers[[#This Row],[Fecha_Informe]]=""),1,0)</f>
        <v>0</v>
      </c>
      <c r="AC9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96" spans="1:29" hidden="1">
      <c r="A96" t="s">
        <v>275</v>
      </c>
      <c r="C96" t="str">
        <f>IF(SCTR_Brokers[[#This Row],[FechaRecepcion]]="","",SCTR_Brokers[[#This Row],[ConversationId]]&amp;"-"&amp;TEXT(SCTR_Brokers[[#This Row],[FechaRecepcion]],"aaaammddhhmmss"))</f>
        <v>AAQkADdkNThjNzFkLWM0ZmMtNDJhYS04MDVlLTIwNzE4ZDI1Mzg4YgAQAPTl74VmxTdNo2wm4rzJsKw=-20260824161334</v>
      </c>
      <c r="D96" t="s">
        <v>276</v>
      </c>
      <c r="E96" t="s">
        <v>21</v>
      </c>
      <c r="F96" s="3">
        <v>46258.676087962966</v>
      </c>
      <c r="G96" s="3">
        <v>46258.757280092592</v>
      </c>
      <c r="H96" t="s">
        <v>70</v>
      </c>
      <c r="I96" t="s">
        <v>7</v>
      </c>
      <c r="K96" t="s">
        <v>67</v>
      </c>
      <c r="L96" s="10"/>
      <c r="N96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96" s="3"/>
      <c r="P96" s="3"/>
      <c r="Q96" s="3">
        <v>46258.757280092592</v>
      </c>
      <c r="R9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96" t="str">
        <f>IF(SCTR_Brokers[[#This Row],[FechaRecepcion]]="","",TEXT(SCTR_Brokers[[#This Row],[FechaRecepcion]],"mmmm")&amp;" "&amp;YEAR(SCTR_Brokers[[#This Row],[FechaRecepcion]]))</f>
        <v>agosto 2026</v>
      </c>
      <c r="U96">
        <f>IF(SCTR_Brokers[[#This Row],[Estado]]="FINALIZADO",1,0)</f>
        <v>1</v>
      </c>
      <c r="V96">
        <f>IF(SCTR_Brokers[[#This Row],[FechaRecepcion]]="","",IF(SCTR_Brokers[[#This Row],[Estado]]="FINALIZADO",0,1))</f>
        <v>0</v>
      </c>
      <c r="W96">
        <f ca="1">IF(AND(SCTR_Brokers[[#This Row],[Estado]]="FINALIZADO",SCTR_Brokers[[#This Row],[Plazo]]=LISTAS!$J$3),1,0)</f>
        <v>1</v>
      </c>
      <c r="X96">
        <f ca="1">IF(AND(SCTR_Brokers[[#This Row],[Estado]]="FINALIZADO",SCTR_Brokers[[#This Row],[Plazo]]=LISTAS!$J$4),1,0)</f>
        <v>0</v>
      </c>
      <c r="Y96">
        <f ca="1">IF(AND(SCTR_Brokers[[#This Row],[Estado]]&lt;&gt;"FINALIZADO",SCTR_Brokers[[#This Row],[Plazo]]=LISTAS!$J$4),1,0)</f>
        <v>0</v>
      </c>
      <c r="Z96">
        <f>IF(SCTR_Brokers[[#This Row],[Fecha_Solic_Informe]]="",0,1)</f>
        <v>0</v>
      </c>
      <c r="AA96">
        <f>IF(SCTR_Brokers[[#This Row],[Fecha_Informe]]="",0,1)</f>
        <v>0</v>
      </c>
      <c r="AB96">
        <f>IF(AND(SCTR_Brokers[[#This Row],[Fecha_Solic_Informe]]&lt;&gt;"",SCTR_Brokers[[#This Row],[Fecha_Informe]]=""),1,0)</f>
        <v>0</v>
      </c>
      <c r="AC9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97" spans="1:29" hidden="1">
      <c r="A97" t="s">
        <v>277</v>
      </c>
      <c r="C97" t="str">
        <f>IF(SCTR_Brokers[[#This Row],[FechaRecepcion]]="","",SCTR_Brokers[[#This Row],[ConversationId]]&amp;"-"&amp;TEXT(SCTR_Brokers[[#This Row],[FechaRecepcion]],"aaaammddhhmmss"))</f>
        <v>AAQkADdkNThjNzFkLWM0ZmMtNDJhYS04MDVlLTIwNzE4ZDI1Mzg4YgAQAKVhmPla5UNnrVGUksKzF3k=-20260824163144</v>
      </c>
      <c r="D97" t="s">
        <v>278</v>
      </c>
      <c r="E97" t="s">
        <v>8</v>
      </c>
      <c r="F97" s="3">
        <v>46258.688703703701</v>
      </c>
      <c r="G97" s="3">
        <v>46258.70045138889</v>
      </c>
      <c r="H97" t="s">
        <v>279</v>
      </c>
      <c r="I97" t="s">
        <v>7</v>
      </c>
      <c r="J97" t="s">
        <v>280</v>
      </c>
      <c r="K97" t="s">
        <v>67</v>
      </c>
      <c r="L97" s="10"/>
      <c r="N97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97" s="3"/>
      <c r="P97" s="3"/>
      <c r="Q97" s="3">
        <v>46258.70045138889</v>
      </c>
      <c r="R9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97" t="str">
        <f>IF(SCTR_Brokers[[#This Row],[FechaRecepcion]]="","",TEXT(SCTR_Brokers[[#This Row],[FechaRecepcion]],"mmmm")&amp;" "&amp;YEAR(SCTR_Brokers[[#This Row],[FechaRecepcion]]))</f>
        <v>agosto 2026</v>
      </c>
      <c r="U97">
        <f>IF(SCTR_Brokers[[#This Row],[Estado]]="FINALIZADO",1,0)</f>
        <v>1</v>
      </c>
      <c r="V97">
        <f>IF(SCTR_Brokers[[#This Row],[FechaRecepcion]]="","",IF(SCTR_Brokers[[#This Row],[Estado]]="FINALIZADO",0,1))</f>
        <v>0</v>
      </c>
      <c r="W97">
        <f ca="1">IF(AND(SCTR_Brokers[[#This Row],[Estado]]="FINALIZADO",SCTR_Brokers[[#This Row],[Plazo]]=LISTAS!$J$3),1,0)</f>
        <v>1</v>
      </c>
      <c r="X97">
        <f ca="1">IF(AND(SCTR_Brokers[[#This Row],[Estado]]="FINALIZADO",SCTR_Brokers[[#This Row],[Plazo]]=LISTAS!$J$4),1,0)</f>
        <v>0</v>
      </c>
      <c r="Y97">
        <f ca="1">IF(AND(SCTR_Brokers[[#This Row],[Estado]]&lt;&gt;"FINALIZADO",SCTR_Brokers[[#This Row],[Plazo]]=LISTAS!$J$4),1,0)</f>
        <v>0</v>
      </c>
      <c r="Z97">
        <f>IF(SCTR_Brokers[[#This Row],[Fecha_Solic_Informe]]="",0,1)</f>
        <v>0</v>
      </c>
      <c r="AA97">
        <f>IF(SCTR_Brokers[[#This Row],[Fecha_Informe]]="",0,1)</f>
        <v>0</v>
      </c>
      <c r="AB97">
        <f>IF(AND(SCTR_Brokers[[#This Row],[Fecha_Solic_Informe]]&lt;&gt;"",SCTR_Brokers[[#This Row],[Fecha_Informe]]=""),1,0)</f>
        <v>0</v>
      </c>
      <c r="AC9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98" spans="1:29" hidden="1">
      <c r="A98" t="s">
        <v>281</v>
      </c>
      <c r="C98" t="str">
        <f>IF(SCTR_Brokers[[#This Row],[FechaRecepcion]]="","",SCTR_Brokers[[#This Row],[ConversationId]]&amp;"-"&amp;TEXT(SCTR_Brokers[[#This Row],[FechaRecepcion]],"aaaammddhhmmss"))</f>
        <v>AAQkADdkNThjNzFkLWM0ZmMtNDJhYS04MDVlLTIwNzE4ZDI1Mzg4YgAQALi9641Ry0kAot0dWVttgcw=-20260824164520</v>
      </c>
      <c r="D98" t="s">
        <v>282</v>
      </c>
      <c r="E98" t="s">
        <v>14</v>
      </c>
      <c r="F98" s="3">
        <v>46258.698148148149</v>
      </c>
      <c r="G98" s="3">
        <v>46258.761365740742</v>
      </c>
      <c r="H98" t="s">
        <v>70</v>
      </c>
      <c r="I98" t="s">
        <v>7</v>
      </c>
      <c r="K98" t="s">
        <v>67</v>
      </c>
      <c r="L98" s="10"/>
      <c r="N98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98" s="3"/>
      <c r="P98" s="3"/>
      <c r="Q98" s="3">
        <v>46258.761365740742</v>
      </c>
      <c r="R9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98" t="str">
        <f>IF(SCTR_Brokers[[#This Row],[FechaRecepcion]]="","",TEXT(SCTR_Brokers[[#This Row],[FechaRecepcion]],"mmmm")&amp;" "&amp;YEAR(SCTR_Brokers[[#This Row],[FechaRecepcion]]))</f>
        <v>agosto 2026</v>
      </c>
      <c r="U98">
        <f>IF(SCTR_Brokers[[#This Row],[Estado]]="FINALIZADO",1,0)</f>
        <v>1</v>
      </c>
      <c r="V98">
        <f>IF(SCTR_Brokers[[#This Row],[FechaRecepcion]]="","",IF(SCTR_Brokers[[#This Row],[Estado]]="FINALIZADO",0,1))</f>
        <v>0</v>
      </c>
      <c r="W98">
        <f ca="1">IF(AND(SCTR_Brokers[[#This Row],[Estado]]="FINALIZADO",SCTR_Brokers[[#This Row],[Plazo]]=LISTAS!$J$3),1,0)</f>
        <v>1</v>
      </c>
      <c r="X98">
        <f ca="1">IF(AND(SCTR_Brokers[[#This Row],[Estado]]="FINALIZADO",SCTR_Brokers[[#This Row],[Plazo]]=LISTAS!$J$4),1,0)</f>
        <v>0</v>
      </c>
      <c r="Y98">
        <f ca="1">IF(AND(SCTR_Brokers[[#This Row],[Estado]]&lt;&gt;"FINALIZADO",SCTR_Brokers[[#This Row],[Plazo]]=LISTAS!$J$4),1,0)</f>
        <v>0</v>
      </c>
      <c r="Z98">
        <f>IF(SCTR_Brokers[[#This Row],[Fecha_Solic_Informe]]="",0,1)</f>
        <v>0</v>
      </c>
      <c r="AA98">
        <f>IF(SCTR_Brokers[[#This Row],[Fecha_Informe]]="",0,1)</f>
        <v>0</v>
      </c>
      <c r="AB98">
        <f>IF(AND(SCTR_Brokers[[#This Row],[Fecha_Solic_Informe]]&lt;&gt;"",SCTR_Brokers[[#This Row],[Fecha_Informe]]=""),1,0)</f>
        <v>0</v>
      </c>
      <c r="AC9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99" spans="1:29" hidden="1">
      <c r="A99" t="s">
        <v>283</v>
      </c>
      <c r="C99" t="str">
        <f>IF(SCTR_Brokers[[#This Row],[FechaRecepcion]]="","",SCTR_Brokers[[#This Row],[ConversationId]]&amp;"-"&amp;TEXT(SCTR_Brokers[[#This Row],[FechaRecepcion]],"aaaammddhhmmss"))</f>
        <v>AAQkADdkNThjNzFkLWM0ZmMtNDJhYS04MDVlLTIwNzE4ZDI1Mzg4YgAQAOvUx9PVCUflr2upTKymxec=-20260824170837</v>
      </c>
      <c r="D99" t="s">
        <v>284</v>
      </c>
      <c r="E99" t="s">
        <v>8</v>
      </c>
      <c r="F99" s="3">
        <v>46258.714317129627</v>
      </c>
      <c r="G99" s="3">
        <v>46258.714317129627</v>
      </c>
      <c r="H99" t="s">
        <v>208</v>
      </c>
      <c r="I99" t="s">
        <v>7</v>
      </c>
      <c r="K99" t="s">
        <v>67</v>
      </c>
      <c r="L99" s="10"/>
      <c r="N99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99" s="3"/>
      <c r="P99" s="3"/>
      <c r="Q99" s="3">
        <v>46258.714317129627</v>
      </c>
      <c r="R9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99" t="str">
        <f>IF(SCTR_Brokers[[#This Row],[FechaRecepcion]]="","",TEXT(SCTR_Brokers[[#This Row],[FechaRecepcion]],"mmmm")&amp;" "&amp;YEAR(SCTR_Brokers[[#This Row],[FechaRecepcion]]))</f>
        <v>agosto 2026</v>
      </c>
      <c r="U99">
        <f>IF(SCTR_Brokers[[#This Row],[Estado]]="FINALIZADO",1,0)</f>
        <v>1</v>
      </c>
      <c r="V99">
        <f>IF(SCTR_Brokers[[#This Row],[FechaRecepcion]]="","",IF(SCTR_Brokers[[#This Row],[Estado]]="FINALIZADO",0,1))</f>
        <v>0</v>
      </c>
      <c r="W99">
        <f ca="1">IF(AND(SCTR_Brokers[[#This Row],[Estado]]="FINALIZADO",SCTR_Brokers[[#This Row],[Plazo]]=LISTAS!$J$3),1,0)</f>
        <v>1</v>
      </c>
      <c r="X99">
        <f ca="1">IF(AND(SCTR_Brokers[[#This Row],[Estado]]="FINALIZADO",SCTR_Brokers[[#This Row],[Plazo]]=LISTAS!$J$4),1,0)</f>
        <v>0</v>
      </c>
      <c r="Y99">
        <f ca="1">IF(AND(SCTR_Brokers[[#This Row],[Estado]]&lt;&gt;"FINALIZADO",SCTR_Brokers[[#This Row],[Plazo]]=LISTAS!$J$4),1,0)</f>
        <v>0</v>
      </c>
      <c r="Z99">
        <f>IF(SCTR_Brokers[[#This Row],[Fecha_Solic_Informe]]="",0,1)</f>
        <v>0</v>
      </c>
      <c r="AA99">
        <f>IF(SCTR_Brokers[[#This Row],[Fecha_Informe]]="",0,1)</f>
        <v>0</v>
      </c>
      <c r="AB99">
        <f>IF(AND(SCTR_Brokers[[#This Row],[Fecha_Solic_Informe]]&lt;&gt;"",SCTR_Brokers[[#This Row],[Fecha_Informe]]=""),1,0)</f>
        <v>0</v>
      </c>
      <c r="AC9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00" spans="1:29" hidden="1">
      <c r="A100" t="s">
        <v>285</v>
      </c>
      <c r="C100" t="str">
        <f>IF(SCTR_Brokers[[#This Row],[FechaRecepcion]]="","",SCTR_Brokers[[#This Row],[ConversationId]]&amp;"-"&amp;TEXT(SCTR_Brokers[[#This Row],[FechaRecepcion]],"aaaammddhhmmss"))</f>
        <v>AAQkADdkNThjNzFkLWM0ZmMtNDJhYS04MDVlLTIwNzE4ZDI1Mzg4YgAQAOHLe-IwNaVCk5uGpmFJZaA=-20260824193825</v>
      </c>
      <c r="D100" t="s">
        <v>286</v>
      </c>
      <c r="E100" t="s">
        <v>21</v>
      </c>
      <c r="F100" s="3">
        <v>46258.818344907406</v>
      </c>
      <c r="G100" s="3">
        <v>46261.551747685182</v>
      </c>
      <c r="H100" t="s">
        <v>253</v>
      </c>
      <c r="I100" t="s">
        <v>7</v>
      </c>
      <c r="K100" t="s">
        <v>67</v>
      </c>
      <c r="L100" s="10"/>
      <c r="N100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00" s="3"/>
      <c r="P100" s="3"/>
      <c r="Q100" s="3">
        <v>46261.551747685182</v>
      </c>
      <c r="R10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100" t="str">
        <f>IF(SCTR_Brokers[[#This Row],[FechaRecepcion]]="","",TEXT(SCTR_Brokers[[#This Row],[FechaRecepcion]],"mmmm")&amp;" "&amp;YEAR(SCTR_Brokers[[#This Row],[FechaRecepcion]]))</f>
        <v>agosto 2026</v>
      </c>
      <c r="U100">
        <f>IF(SCTR_Brokers[[#This Row],[Estado]]="FINALIZADO",1,0)</f>
        <v>1</v>
      </c>
      <c r="V100">
        <f>IF(SCTR_Brokers[[#This Row],[FechaRecepcion]]="","",IF(SCTR_Brokers[[#This Row],[Estado]]="FINALIZADO",0,1))</f>
        <v>0</v>
      </c>
      <c r="W100">
        <f ca="1">IF(AND(SCTR_Brokers[[#This Row],[Estado]]="FINALIZADO",SCTR_Brokers[[#This Row],[Plazo]]=LISTAS!$J$3),1,0)</f>
        <v>0</v>
      </c>
      <c r="X100">
        <f ca="1">IF(AND(SCTR_Brokers[[#This Row],[Estado]]="FINALIZADO",SCTR_Brokers[[#This Row],[Plazo]]=LISTAS!$J$4),1,0)</f>
        <v>1</v>
      </c>
      <c r="Y100">
        <f ca="1">IF(AND(SCTR_Brokers[[#This Row],[Estado]]&lt;&gt;"FINALIZADO",SCTR_Brokers[[#This Row],[Plazo]]=LISTAS!$J$4),1,0)</f>
        <v>0</v>
      </c>
      <c r="Z100">
        <f>IF(SCTR_Brokers[[#This Row],[Fecha_Solic_Informe]]="",0,1)</f>
        <v>0</v>
      </c>
      <c r="AA100">
        <f>IF(SCTR_Brokers[[#This Row],[Fecha_Informe]]="",0,1)</f>
        <v>0</v>
      </c>
      <c r="AB100">
        <f>IF(AND(SCTR_Brokers[[#This Row],[Fecha_Solic_Informe]]&lt;&gt;"",SCTR_Brokers[[#This Row],[Fecha_Informe]]=""),1,0)</f>
        <v>0</v>
      </c>
      <c r="AC10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01" spans="1:29" hidden="1">
      <c r="A101" t="s">
        <v>287</v>
      </c>
      <c r="C101" t="str">
        <f>IF(SCTR_Brokers[[#This Row],[FechaRecepcion]]="","",SCTR_Brokers[[#This Row],[ConversationId]]&amp;"-"&amp;TEXT(SCTR_Brokers[[#This Row],[FechaRecepcion]],"aaaammddhhmmss"))</f>
        <v>AAQkADdkNThjNzFkLWM0ZmMtNDJhYS04MDVlLTIwNzE4ZDI1Mzg4YgAQAKzsPH9mxeBBlW5JC8oScAU=-20260824194048</v>
      </c>
      <c r="D101" t="s">
        <v>288</v>
      </c>
      <c r="E101" t="s">
        <v>21</v>
      </c>
      <c r="F101" s="3">
        <v>46258.82</v>
      </c>
      <c r="G101" s="3">
        <v>46261.347615740742</v>
      </c>
      <c r="H101" t="s">
        <v>70</v>
      </c>
      <c r="I101" t="s">
        <v>7</v>
      </c>
      <c r="K101" t="s">
        <v>67</v>
      </c>
      <c r="L101" s="10" t="s">
        <v>289</v>
      </c>
      <c r="N101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01" s="3"/>
      <c r="P101" s="3"/>
      <c r="Q101" s="3">
        <v>46261.347615740742</v>
      </c>
      <c r="R10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101" t="str">
        <f>IF(SCTR_Brokers[[#This Row],[FechaRecepcion]]="","",TEXT(SCTR_Brokers[[#This Row],[FechaRecepcion]],"mmmm")&amp;" "&amp;YEAR(SCTR_Brokers[[#This Row],[FechaRecepcion]]))</f>
        <v>agosto 2026</v>
      </c>
      <c r="U101">
        <f>IF(SCTR_Brokers[[#This Row],[Estado]]="FINALIZADO",1,0)</f>
        <v>1</v>
      </c>
      <c r="V101">
        <f>IF(SCTR_Brokers[[#This Row],[FechaRecepcion]]="","",IF(SCTR_Brokers[[#This Row],[Estado]]="FINALIZADO",0,1))</f>
        <v>0</v>
      </c>
      <c r="W101">
        <f ca="1">IF(AND(SCTR_Brokers[[#This Row],[Estado]]="FINALIZADO",SCTR_Brokers[[#This Row],[Plazo]]=LISTAS!$J$3),1,0)</f>
        <v>0</v>
      </c>
      <c r="X101">
        <f ca="1">IF(AND(SCTR_Brokers[[#This Row],[Estado]]="FINALIZADO",SCTR_Brokers[[#This Row],[Plazo]]=LISTAS!$J$4),1,0)</f>
        <v>1</v>
      </c>
      <c r="Y101">
        <f ca="1">IF(AND(SCTR_Brokers[[#This Row],[Estado]]&lt;&gt;"FINALIZADO",SCTR_Brokers[[#This Row],[Plazo]]=LISTAS!$J$4),1,0)</f>
        <v>0</v>
      </c>
      <c r="Z101">
        <f>IF(SCTR_Brokers[[#This Row],[Fecha_Solic_Informe]]="",0,1)</f>
        <v>0</v>
      </c>
      <c r="AA101">
        <f>IF(SCTR_Brokers[[#This Row],[Fecha_Informe]]="",0,1)</f>
        <v>0</v>
      </c>
      <c r="AB101">
        <f>IF(AND(SCTR_Brokers[[#This Row],[Fecha_Solic_Informe]]&lt;&gt;"",SCTR_Brokers[[#This Row],[Fecha_Informe]]=""),1,0)</f>
        <v>0</v>
      </c>
      <c r="AC10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02" spans="1:29" hidden="1">
      <c r="A102" t="s">
        <v>290</v>
      </c>
      <c r="C102" t="str">
        <f>IF(SCTR_Brokers[[#This Row],[FechaRecepcion]]="","",SCTR_Brokers[[#This Row],[ConversationId]]&amp;"-"&amp;TEXT(SCTR_Brokers[[#This Row],[FechaRecepcion]],"aaaammddhhmmss"))</f>
        <v>AAQkADdkNThjNzFkLWM0ZmMtNDJhYS04MDVlLTIwNzE4ZDI1Mzg4YgAQAEbTQReuW042kCg9PSeh_fA=-20260824220054</v>
      </c>
      <c r="D102" t="s">
        <v>291</v>
      </c>
      <c r="E102" t="s">
        <v>21</v>
      </c>
      <c r="F102" s="3">
        <v>46258.917291666665</v>
      </c>
      <c r="G102" s="3">
        <v>46260.661226851851</v>
      </c>
      <c r="H102" t="s">
        <v>70</v>
      </c>
      <c r="I102" t="s">
        <v>7</v>
      </c>
      <c r="K102" t="s">
        <v>67</v>
      </c>
      <c r="L102" s="10"/>
      <c r="N102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02" s="3"/>
      <c r="P102" s="3"/>
      <c r="Q102" s="3">
        <v>46260.661226851851</v>
      </c>
      <c r="R10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102" t="str">
        <f>IF(SCTR_Brokers[[#This Row],[FechaRecepcion]]="","",TEXT(SCTR_Brokers[[#This Row],[FechaRecepcion]],"mmmm")&amp;" "&amp;YEAR(SCTR_Brokers[[#This Row],[FechaRecepcion]]))</f>
        <v>agosto 2026</v>
      </c>
      <c r="U102">
        <f>IF(SCTR_Brokers[[#This Row],[Estado]]="FINALIZADO",1,0)</f>
        <v>1</v>
      </c>
      <c r="V102">
        <f>IF(SCTR_Brokers[[#This Row],[FechaRecepcion]]="","",IF(SCTR_Brokers[[#This Row],[Estado]]="FINALIZADO",0,1))</f>
        <v>0</v>
      </c>
      <c r="W102">
        <f ca="1">IF(AND(SCTR_Brokers[[#This Row],[Estado]]="FINALIZADO",SCTR_Brokers[[#This Row],[Plazo]]=LISTAS!$J$3),1,0)</f>
        <v>0</v>
      </c>
      <c r="X102">
        <f ca="1">IF(AND(SCTR_Brokers[[#This Row],[Estado]]="FINALIZADO",SCTR_Brokers[[#This Row],[Plazo]]=LISTAS!$J$4),1,0)</f>
        <v>1</v>
      </c>
      <c r="Y102">
        <f ca="1">IF(AND(SCTR_Brokers[[#This Row],[Estado]]&lt;&gt;"FINALIZADO",SCTR_Brokers[[#This Row],[Plazo]]=LISTAS!$J$4),1,0)</f>
        <v>0</v>
      </c>
      <c r="Z102">
        <f>IF(SCTR_Brokers[[#This Row],[Fecha_Solic_Informe]]="",0,1)</f>
        <v>0</v>
      </c>
      <c r="AA102">
        <f>IF(SCTR_Brokers[[#This Row],[Fecha_Informe]]="",0,1)</f>
        <v>0</v>
      </c>
      <c r="AB102">
        <f>IF(AND(SCTR_Brokers[[#This Row],[Fecha_Solic_Informe]]&lt;&gt;"",SCTR_Brokers[[#This Row],[Fecha_Informe]]=""),1,0)</f>
        <v>0</v>
      </c>
      <c r="AC10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03" spans="1:29" hidden="1">
      <c r="A103" t="s">
        <v>292</v>
      </c>
      <c r="C103" t="str">
        <f>IF(SCTR_Brokers[[#This Row],[FechaRecepcion]]="","",SCTR_Brokers[[#This Row],[ConversationId]]&amp;"-"&amp;TEXT(SCTR_Brokers[[#This Row],[FechaRecepcion]],"aaaammddhhmmss"))</f>
        <v>AAQkADdkNThjNzFkLWM0ZmMtNDJhYS04MDVlLTIwNzE4ZDI1Mzg4YgAQALq_66kE229EusPilK6c-tc=-20260825083215</v>
      </c>
      <c r="D103" t="s">
        <v>293</v>
      </c>
      <c r="E103" t="s">
        <v>21</v>
      </c>
      <c r="F103" s="3">
        <v>46259.355729166666</v>
      </c>
      <c r="G103" s="3">
        <v>46260.369340277779</v>
      </c>
      <c r="H103" t="s">
        <v>70</v>
      </c>
      <c r="I103" t="s">
        <v>7</v>
      </c>
      <c r="J103" t="s">
        <v>294</v>
      </c>
      <c r="K103" t="s">
        <v>67</v>
      </c>
      <c r="L103" s="10" t="s">
        <v>295</v>
      </c>
      <c r="M103" t="s">
        <v>9</v>
      </c>
      <c r="N103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03" s="3">
        <v>46259.486585648148</v>
      </c>
      <c r="P103" s="3">
        <v>46259.821400462963</v>
      </c>
      <c r="Q103" s="3">
        <v>46260.369340277779</v>
      </c>
      <c r="R10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103" t="str">
        <f>IF(SCTR_Brokers[[#This Row],[FechaRecepcion]]="","",TEXT(SCTR_Brokers[[#This Row],[FechaRecepcion]],"mmmm")&amp;" "&amp;YEAR(SCTR_Brokers[[#This Row],[FechaRecepcion]]))</f>
        <v>agosto 2026</v>
      </c>
      <c r="U103">
        <f>IF(SCTR_Brokers[[#This Row],[Estado]]="FINALIZADO",1,0)</f>
        <v>1</v>
      </c>
      <c r="V103">
        <f>IF(SCTR_Brokers[[#This Row],[FechaRecepcion]]="","",IF(SCTR_Brokers[[#This Row],[Estado]]="FINALIZADO",0,1))</f>
        <v>0</v>
      </c>
      <c r="W103">
        <f ca="1">IF(AND(SCTR_Brokers[[#This Row],[Estado]]="FINALIZADO",SCTR_Brokers[[#This Row],[Plazo]]=LISTAS!$J$3),1,0)</f>
        <v>0</v>
      </c>
      <c r="X103">
        <f ca="1">IF(AND(SCTR_Brokers[[#This Row],[Estado]]="FINALIZADO",SCTR_Brokers[[#This Row],[Plazo]]=LISTAS!$J$4),1,0)</f>
        <v>1</v>
      </c>
      <c r="Y103">
        <f ca="1">IF(AND(SCTR_Brokers[[#This Row],[Estado]]&lt;&gt;"FINALIZADO",SCTR_Brokers[[#This Row],[Plazo]]=LISTAS!$J$4),1,0)</f>
        <v>0</v>
      </c>
      <c r="Z103">
        <f>IF(SCTR_Brokers[[#This Row],[Fecha_Solic_Informe]]="",0,1)</f>
        <v>1</v>
      </c>
      <c r="AA103">
        <f>IF(SCTR_Brokers[[#This Row],[Fecha_Informe]]="",0,1)</f>
        <v>1</v>
      </c>
      <c r="AB103">
        <f>IF(AND(SCTR_Brokers[[#This Row],[Fecha_Solic_Informe]]&lt;&gt;"",SCTR_Brokers[[#This Row],[Fecha_Informe]]=""),1,0)</f>
        <v>0</v>
      </c>
      <c r="AC103">
        <f>IF(AND(SCTR_Brokers[[#This Row],[Fecha_Solic_Informe]]&lt;&gt;"",SCTR_Brokers[[#This Row],[Fecha_Informe]]&lt;&gt;""),ROUND((SCTR_Brokers[[#This Row],[Fecha_Informe]]-SCTR_Brokers[[#This Row],[Fecha_Solic_Informe]])*24,1),"")</f>
        <v>8</v>
      </c>
    </row>
    <row r="104" spans="1:29" hidden="1">
      <c r="A104" t="s">
        <v>296</v>
      </c>
      <c r="C104" t="str">
        <f>IF(SCTR_Brokers[[#This Row],[FechaRecepcion]]="","",SCTR_Brokers[[#This Row],[ConversationId]]&amp;"-"&amp;TEXT(SCTR_Brokers[[#This Row],[FechaRecepcion]],"aaaammddhhmmss"))</f>
        <v>AAQkADdkNThjNzFkLWM0ZmMtNDJhYS04MDVlLTIwNzE4ZDI1Mzg4YgAQAEfJl94AW25Ksc_1GqMv4Ko=-20260825110228</v>
      </c>
      <c r="D104" t="s">
        <v>297</v>
      </c>
      <c r="E104" t="s">
        <v>14</v>
      </c>
      <c r="F104" s="3">
        <v>46259.460046296299</v>
      </c>
      <c r="G104" s="3">
        <v>46260.639849537038</v>
      </c>
      <c r="H104" t="s">
        <v>70</v>
      </c>
      <c r="I104" t="s">
        <v>7</v>
      </c>
      <c r="K104" t="s">
        <v>138</v>
      </c>
      <c r="L104" s="10"/>
      <c r="M104" t="s">
        <v>16</v>
      </c>
      <c r="N104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04" s="3"/>
      <c r="P104" s="3"/>
      <c r="Q104" s="3">
        <v>46260.639849537038</v>
      </c>
      <c r="R10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104" t="str">
        <f>IF(SCTR_Brokers[[#This Row],[FechaRecepcion]]="","",TEXT(SCTR_Brokers[[#This Row],[FechaRecepcion]],"mmmm")&amp;" "&amp;YEAR(SCTR_Brokers[[#This Row],[FechaRecepcion]]))</f>
        <v>agosto 2026</v>
      </c>
      <c r="U104">
        <f>IF(SCTR_Brokers[[#This Row],[Estado]]="FINALIZADO",1,0)</f>
        <v>1</v>
      </c>
      <c r="V104">
        <f>IF(SCTR_Brokers[[#This Row],[FechaRecepcion]]="","",IF(SCTR_Brokers[[#This Row],[Estado]]="FINALIZADO",0,1))</f>
        <v>0</v>
      </c>
      <c r="W104">
        <f ca="1">IF(AND(SCTR_Brokers[[#This Row],[Estado]]="FINALIZADO",SCTR_Brokers[[#This Row],[Plazo]]=LISTAS!$J$3),1,0)</f>
        <v>0</v>
      </c>
      <c r="X104">
        <f ca="1">IF(AND(SCTR_Brokers[[#This Row],[Estado]]="FINALIZADO",SCTR_Brokers[[#This Row],[Plazo]]=LISTAS!$J$4),1,0)</f>
        <v>1</v>
      </c>
      <c r="Y104">
        <f ca="1">IF(AND(SCTR_Brokers[[#This Row],[Estado]]&lt;&gt;"FINALIZADO",SCTR_Brokers[[#This Row],[Plazo]]=LISTAS!$J$4),1,0)</f>
        <v>0</v>
      </c>
      <c r="Z104">
        <f>IF(SCTR_Brokers[[#This Row],[Fecha_Solic_Informe]]="",0,1)</f>
        <v>0</v>
      </c>
      <c r="AA104">
        <f>IF(SCTR_Brokers[[#This Row],[Fecha_Informe]]="",0,1)</f>
        <v>0</v>
      </c>
      <c r="AB104">
        <f>IF(AND(SCTR_Brokers[[#This Row],[Fecha_Solic_Informe]]&lt;&gt;"",SCTR_Brokers[[#This Row],[Fecha_Informe]]=""),1,0)</f>
        <v>0</v>
      </c>
      <c r="AC10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05" spans="1:29" hidden="1">
      <c r="A105" t="s">
        <v>298</v>
      </c>
      <c r="C105" t="str">
        <f>IF(SCTR_Brokers[[#This Row],[FechaRecepcion]]="","",SCTR_Brokers[[#This Row],[ConversationId]]&amp;"-"&amp;TEXT(SCTR_Brokers[[#This Row],[FechaRecepcion]],"aaaammddhhmmss"))</f>
        <v>AAQkADdkNThjNzFkLWM0ZmMtNDJhYS04MDVlLTIwNzE4ZDI1Mzg4YgAQAOwWHPTSdg1GiJ5gV4i-tF0=-20260825112215</v>
      </c>
      <c r="D105" t="s">
        <v>299</v>
      </c>
      <c r="E105" t="s">
        <v>14</v>
      </c>
      <c r="F105" s="3">
        <v>46259.47378472222</v>
      </c>
      <c r="G105" s="3">
        <v>46260.631296296298</v>
      </c>
      <c r="H105" t="s">
        <v>17</v>
      </c>
      <c r="I105" t="s">
        <v>7</v>
      </c>
      <c r="J105" t="s">
        <v>300</v>
      </c>
      <c r="K105" t="s">
        <v>138</v>
      </c>
      <c r="L105" s="10" t="s">
        <v>301</v>
      </c>
      <c r="M105" t="s">
        <v>16</v>
      </c>
      <c r="N105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05" s="3">
        <v>46260.383414351854</v>
      </c>
      <c r="P105" s="3">
        <v>46259.810370370367</v>
      </c>
      <c r="Q105" s="3">
        <v>46260.631296296298</v>
      </c>
      <c r="R10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105" t="str">
        <f>IF(SCTR_Brokers[[#This Row],[FechaRecepcion]]="","",TEXT(SCTR_Brokers[[#This Row],[FechaRecepcion]],"mmmm")&amp;" "&amp;YEAR(SCTR_Brokers[[#This Row],[FechaRecepcion]]))</f>
        <v>agosto 2026</v>
      </c>
      <c r="U105">
        <f>IF(SCTR_Brokers[[#This Row],[Estado]]="FINALIZADO",1,0)</f>
        <v>1</v>
      </c>
      <c r="V105">
        <f>IF(SCTR_Brokers[[#This Row],[FechaRecepcion]]="","",IF(SCTR_Brokers[[#This Row],[Estado]]="FINALIZADO",0,1))</f>
        <v>0</v>
      </c>
      <c r="W105">
        <f ca="1">IF(AND(SCTR_Brokers[[#This Row],[Estado]]="FINALIZADO",SCTR_Brokers[[#This Row],[Plazo]]=LISTAS!$J$3),1,0)</f>
        <v>0</v>
      </c>
      <c r="X105">
        <f ca="1">IF(AND(SCTR_Brokers[[#This Row],[Estado]]="FINALIZADO",SCTR_Brokers[[#This Row],[Plazo]]=LISTAS!$J$4),1,0)</f>
        <v>1</v>
      </c>
      <c r="Y105">
        <f ca="1">IF(AND(SCTR_Brokers[[#This Row],[Estado]]&lt;&gt;"FINALIZADO",SCTR_Brokers[[#This Row],[Plazo]]=LISTAS!$J$4),1,0)</f>
        <v>0</v>
      </c>
      <c r="Z105">
        <f>IF(SCTR_Brokers[[#This Row],[Fecha_Solic_Informe]]="",0,1)</f>
        <v>1</v>
      </c>
      <c r="AA105">
        <f>IF(SCTR_Brokers[[#This Row],[Fecha_Informe]]="",0,1)</f>
        <v>1</v>
      </c>
      <c r="AB105">
        <f>IF(AND(SCTR_Brokers[[#This Row],[Fecha_Solic_Informe]]&lt;&gt;"",SCTR_Brokers[[#This Row],[Fecha_Informe]]=""),1,0)</f>
        <v>0</v>
      </c>
      <c r="AC105">
        <f>IF(AND(SCTR_Brokers[[#This Row],[Fecha_Solic_Informe]]&lt;&gt;"",SCTR_Brokers[[#This Row],[Fecha_Informe]]&lt;&gt;""),ROUND((SCTR_Brokers[[#This Row],[Fecha_Informe]]-SCTR_Brokers[[#This Row],[Fecha_Solic_Informe]])*24,1),"")</f>
        <v>-13.8</v>
      </c>
    </row>
    <row r="106" spans="1:29" hidden="1">
      <c r="A106" t="s">
        <v>302</v>
      </c>
      <c r="C106" t="str">
        <f>IF(SCTR_Brokers[[#This Row],[FechaRecepcion]]="","",SCTR_Brokers[[#This Row],[ConversationId]]&amp;"-"&amp;TEXT(SCTR_Brokers[[#This Row],[FechaRecepcion]],"aaaammddhhmmss"))</f>
        <v>AAQkADdkNThjNzFkLWM0ZmMtNDJhYS04MDVlLTIwNzE4ZDI1Mzg4YgAQALTj3vtay2lBv39dkFkaVtM=-20260825113525</v>
      </c>
      <c r="D106" t="s">
        <v>303</v>
      </c>
      <c r="E106" t="s">
        <v>14</v>
      </c>
      <c r="F106" s="3">
        <v>46259.482928240737</v>
      </c>
      <c r="G106" s="3">
        <v>46259.497581018521</v>
      </c>
      <c r="H106" t="s">
        <v>70</v>
      </c>
      <c r="I106" t="s">
        <v>7</v>
      </c>
      <c r="K106" t="s">
        <v>67</v>
      </c>
      <c r="L106" s="10"/>
      <c r="N106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06" s="3"/>
      <c r="P106" s="3"/>
      <c r="Q106" s="3">
        <v>46259.497581018521</v>
      </c>
      <c r="R10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06" t="str">
        <f>IF(SCTR_Brokers[[#This Row],[FechaRecepcion]]="","",TEXT(SCTR_Brokers[[#This Row],[FechaRecepcion]],"mmmm")&amp;" "&amp;YEAR(SCTR_Brokers[[#This Row],[FechaRecepcion]]))</f>
        <v>agosto 2026</v>
      </c>
      <c r="U106">
        <f>IF(SCTR_Brokers[[#This Row],[Estado]]="FINALIZADO",1,0)</f>
        <v>1</v>
      </c>
      <c r="V106">
        <f>IF(SCTR_Brokers[[#This Row],[FechaRecepcion]]="","",IF(SCTR_Brokers[[#This Row],[Estado]]="FINALIZADO",0,1))</f>
        <v>0</v>
      </c>
      <c r="W106">
        <f ca="1">IF(AND(SCTR_Brokers[[#This Row],[Estado]]="FINALIZADO",SCTR_Brokers[[#This Row],[Plazo]]=LISTAS!$J$3),1,0)</f>
        <v>1</v>
      </c>
      <c r="X106">
        <f ca="1">IF(AND(SCTR_Brokers[[#This Row],[Estado]]="FINALIZADO",SCTR_Brokers[[#This Row],[Plazo]]=LISTAS!$J$4),1,0)</f>
        <v>0</v>
      </c>
      <c r="Y106">
        <f ca="1">IF(AND(SCTR_Brokers[[#This Row],[Estado]]&lt;&gt;"FINALIZADO",SCTR_Brokers[[#This Row],[Plazo]]=LISTAS!$J$4),1,0)</f>
        <v>0</v>
      </c>
      <c r="Z106">
        <f>IF(SCTR_Brokers[[#This Row],[Fecha_Solic_Informe]]="",0,1)</f>
        <v>0</v>
      </c>
      <c r="AA106">
        <f>IF(SCTR_Brokers[[#This Row],[Fecha_Informe]]="",0,1)</f>
        <v>0</v>
      </c>
      <c r="AB106">
        <f>IF(AND(SCTR_Brokers[[#This Row],[Fecha_Solic_Informe]]&lt;&gt;"",SCTR_Brokers[[#This Row],[Fecha_Informe]]=""),1,0)</f>
        <v>0</v>
      </c>
      <c r="AC10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07" spans="1:29" hidden="1">
      <c r="A107" t="s">
        <v>167</v>
      </c>
      <c r="C107" t="str">
        <f>IF(SCTR_Brokers[[#This Row],[FechaRecepcion]]="","",SCTR_Brokers[[#This Row],[ConversationId]]&amp;"-"&amp;TEXT(SCTR_Brokers[[#This Row],[FechaRecepcion]],"aaaammddhhmmss"))</f>
        <v>AAQkADdkNThjNzFkLWM0ZmMtNDJhYS04MDVlLTIwNzE4ZDI1Mzg4YgAQAKzFBRLFTp9Hv4nEDKB77k8=-20260825115209</v>
      </c>
      <c r="D107" t="s">
        <v>182</v>
      </c>
      <c r="E107" t="s">
        <v>21</v>
      </c>
      <c r="F107" s="3">
        <v>46259.49454861111</v>
      </c>
      <c r="G107" s="3">
        <v>46260.668506944443</v>
      </c>
      <c r="H107" t="s">
        <v>70</v>
      </c>
      <c r="I107" t="s">
        <v>7</v>
      </c>
      <c r="K107" t="s">
        <v>67</v>
      </c>
      <c r="L107" s="10"/>
      <c r="N107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07" s="3"/>
      <c r="P107" s="3"/>
      <c r="Q107" s="3">
        <v>46260.668506944443</v>
      </c>
      <c r="R10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107" t="str">
        <f>IF(SCTR_Brokers[[#This Row],[FechaRecepcion]]="","",TEXT(SCTR_Brokers[[#This Row],[FechaRecepcion]],"mmmm")&amp;" "&amp;YEAR(SCTR_Brokers[[#This Row],[FechaRecepcion]]))</f>
        <v>agosto 2026</v>
      </c>
      <c r="U107">
        <f>IF(SCTR_Brokers[[#This Row],[Estado]]="FINALIZADO",1,0)</f>
        <v>1</v>
      </c>
      <c r="V107">
        <f>IF(SCTR_Brokers[[#This Row],[FechaRecepcion]]="","",IF(SCTR_Brokers[[#This Row],[Estado]]="FINALIZADO",0,1))</f>
        <v>0</v>
      </c>
      <c r="W107">
        <f ca="1">IF(AND(SCTR_Brokers[[#This Row],[Estado]]="FINALIZADO",SCTR_Brokers[[#This Row],[Plazo]]=LISTAS!$J$3),1,0)</f>
        <v>0</v>
      </c>
      <c r="X107">
        <f ca="1">IF(AND(SCTR_Brokers[[#This Row],[Estado]]="FINALIZADO",SCTR_Brokers[[#This Row],[Plazo]]=LISTAS!$J$4),1,0)</f>
        <v>1</v>
      </c>
      <c r="Y107">
        <f ca="1">IF(AND(SCTR_Brokers[[#This Row],[Estado]]&lt;&gt;"FINALIZADO",SCTR_Brokers[[#This Row],[Plazo]]=LISTAS!$J$4),1,0)</f>
        <v>0</v>
      </c>
      <c r="Z107">
        <f>IF(SCTR_Brokers[[#This Row],[Fecha_Solic_Informe]]="",0,1)</f>
        <v>0</v>
      </c>
      <c r="AA107">
        <f>IF(SCTR_Brokers[[#This Row],[Fecha_Informe]]="",0,1)</f>
        <v>0</v>
      </c>
      <c r="AB107">
        <f>IF(AND(SCTR_Brokers[[#This Row],[Fecha_Solic_Informe]]&lt;&gt;"",SCTR_Brokers[[#This Row],[Fecha_Informe]]=""),1,0)</f>
        <v>0</v>
      </c>
      <c r="AC10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08" spans="1:29" hidden="1">
      <c r="A108" t="s">
        <v>304</v>
      </c>
      <c r="C108" t="str">
        <f>IF(SCTR_Brokers[[#This Row],[FechaRecepcion]]="","",SCTR_Brokers[[#This Row],[ConversationId]]&amp;"-"&amp;TEXT(SCTR_Brokers[[#This Row],[FechaRecepcion]],"aaaammddhhmmss"))</f>
        <v>AAQkADdkNThjNzFkLWM0ZmMtNDJhYS04MDVlLTIwNzE4ZDI1Mzg4YgAQAG8EGgJ1rEWFjHdrACCIz18=-20260825120557</v>
      </c>
      <c r="D108" t="s">
        <v>305</v>
      </c>
      <c r="E108" t="s">
        <v>21</v>
      </c>
      <c r="F108" s="3">
        <v>46259.504131944443</v>
      </c>
      <c r="G108" s="3">
        <v>46259.674942129626</v>
      </c>
      <c r="H108" t="s">
        <v>220</v>
      </c>
      <c r="I108" t="s">
        <v>7</v>
      </c>
      <c r="J108" t="s">
        <v>221</v>
      </c>
      <c r="K108" t="s">
        <v>67</v>
      </c>
      <c r="L108" s="10"/>
      <c r="N108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08" s="3"/>
      <c r="P108" s="3"/>
      <c r="Q108" s="3">
        <v>46259.674942129626</v>
      </c>
      <c r="R10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08" t="str">
        <f>IF(SCTR_Brokers[[#This Row],[FechaRecepcion]]="","",TEXT(SCTR_Brokers[[#This Row],[FechaRecepcion]],"mmmm")&amp;" "&amp;YEAR(SCTR_Brokers[[#This Row],[FechaRecepcion]]))</f>
        <v>agosto 2026</v>
      </c>
      <c r="U108">
        <f>IF(SCTR_Brokers[[#This Row],[Estado]]="FINALIZADO",1,0)</f>
        <v>1</v>
      </c>
      <c r="V108">
        <f>IF(SCTR_Brokers[[#This Row],[FechaRecepcion]]="","",IF(SCTR_Brokers[[#This Row],[Estado]]="FINALIZADO",0,1))</f>
        <v>0</v>
      </c>
      <c r="W108">
        <f ca="1">IF(AND(SCTR_Brokers[[#This Row],[Estado]]="FINALIZADO",SCTR_Brokers[[#This Row],[Plazo]]=LISTAS!$J$3),1,0)</f>
        <v>1</v>
      </c>
      <c r="X108">
        <f ca="1">IF(AND(SCTR_Brokers[[#This Row],[Estado]]="FINALIZADO",SCTR_Brokers[[#This Row],[Plazo]]=LISTAS!$J$4),1,0)</f>
        <v>0</v>
      </c>
      <c r="Y108">
        <f ca="1">IF(AND(SCTR_Brokers[[#This Row],[Estado]]&lt;&gt;"FINALIZADO",SCTR_Brokers[[#This Row],[Plazo]]=LISTAS!$J$4),1,0)</f>
        <v>0</v>
      </c>
      <c r="Z108">
        <f>IF(SCTR_Brokers[[#This Row],[Fecha_Solic_Informe]]="",0,1)</f>
        <v>0</v>
      </c>
      <c r="AA108">
        <f>IF(SCTR_Brokers[[#This Row],[Fecha_Informe]]="",0,1)</f>
        <v>0</v>
      </c>
      <c r="AB108">
        <f>IF(AND(SCTR_Brokers[[#This Row],[Fecha_Solic_Informe]]&lt;&gt;"",SCTR_Brokers[[#This Row],[Fecha_Informe]]=""),1,0)</f>
        <v>0</v>
      </c>
      <c r="AC10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09" spans="1:29" hidden="1">
      <c r="A109" t="s">
        <v>306</v>
      </c>
      <c r="C109" t="str">
        <f>IF(SCTR_Brokers[[#This Row],[FechaRecepcion]]="","",SCTR_Brokers[[#This Row],[ConversationId]]&amp;"-"&amp;TEXT(SCTR_Brokers[[#This Row],[FechaRecepcion]],"aaaammddhhmmss"))</f>
        <v>AAQkADdkNThjNzFkLWM0ZmMtNDJhYS04MDVlLTIwNzE4ZDI1Mzg4YgAQALFXDXFuzwlEoeXFQqim_BU=-20260825124124</v>
      </c>
      <c r="D109" t="s">
        <v>307</v>
      </c>
      <c r="E109" t="s">
        <v>21</v>
      </c>
      <c r="F109" s="3">
        <v>46259.528749999998</v>
      </c>
      <c r="G109" s="3">
        <v>46259.627280092594</v>
      </c>
      <c r="H109" t="s">
        <v>70</v>
      </c>
      <c r="I109" t="s">
        <v>7</v>
      </c>
      <c r="K109" t="s">
        <v>67</v>
      </c>
      <c r="L109" s="10"/>
      <c r="N109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09" s="3"/>
      <c r="P109" s="3"/>
      <c r="Q109" s="3">
        <v>46259.627280092594</v>
      </c>
      <c r="R10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09" t="str">
        <f>IF(SCTR_Brokers[[#This Row],[FechaRecepcion]]="","",TEXT(SCTR_Brokers[[#This Row],[FechaRecepcion]],"mmmm")&amp;" "&amp;YEAR(SCTR_Brokers[[#This Row],[FechaRecepcion]]))</f>
        <v>agosto 2026</v>
      </c>
      <c r="U109">
        <f>IF(SCTR_Brokers[[#This Row],[Estado]]="FINALIZADO",1,0)</f>
        <v>1</v>
      </c>
      <c r="V109">
        <f>IF(SCTR_Brokers[[#This Row],[FechaRecepcion]]="","",IF(SCTR_Brokers[[#This Row],[Estado]]="FINALIZADO",0,1))</f>
        <v>0</v>
      </c>
      <c r="W109">
        <f ca="1">IF(AND(SCTR_Brokers[[#This Row],[Estado]]="FINALIZADO",SCTR_Brokers[[#This Row],[Plazo]]=LISTAS!$J$3),1,0)</f>
        <v>1</v>
      </c>
      <c r="X109">
        <f ca="1">IF(AND(SCTR_Brokers[[#This Row],[Estado]]="FINALIZADO",SCTR_Brokers[[#This Row],[Plazo]]=LISTAS!$J$4),1,0)</f>
        <v>0</v>
      </c>
      <c r="Y109">
        <f ca="1">IF(AND(SCTR_Brokers[[#This Row],[Estado]]&lt;&gt;"FINALIZADO",SCTR_Brokers[[#This Row],[Plazo]]=LISTAS!$J$4),1,0)</f>
        <v>0</v>
      </c>
      <c r="Z109">
        <f>IF(SCTR_Brokers[[#This Row],[Fecha_Solic_Informe]]="",0,1)</f>
        <v>0</v>
      </c>
      <c r="AA109">
        <f>IF(SCTR_Brokers[[#This Row],[Fecha_Informe]]="",0,1)</f>
        <v>0</v>
      </c>
      <c r="AB109">
        <f>IF(AND(SCTR_Brokers[[#This Row],[Fecha_Solic_Informe]]&lt;&gt;"",SCTR_Brokers[[#This Row],[Fecha_Informe]]=""),1,0)</f>
        <v>0</v>
      </c>
      <c r="AC10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10" spans="1:29" hidden="1">
      <c r="A110" t="s">
        <v>273</v>
      </c>
      <c r="C110" t="str">
        <f>IF(SCTR_Brokers[[#This Row],[FechaRecepcion]]="","",SCTR_Brokers[[#This Row],[ConversationId]]&amp;"-"&amp;TEXT(SCTR_Brokers[[#This Row],[FechaRecepcion]],"aaaammddhhmmss"))</f>
        <v>AAQkADdkNThjNzFkLWM0ZmMtNDJhYS04MDVlLTIwNzE4ZDI1Mzg4YgAQAN9fS2Q4jEWOquokHqst4YA=-20260825150742</v>
      </c>
      <c r="D110" t="s">
        <v>308</v>
      </c>
      <c r="E110" t="s">
        <v>14</v>
      </c>
      <c r="F110" s="3">
        <v>46259.630347222221</v>
      </c>
      <c r="G110" s="3">
        <v>46261.353576388887</v>
      </c>
      <c r="H110" t="s">
        <v>70</v>
      </c>
      <c r="I110" t="s">
        <v>7</v>
      </c>
      <c r="K110" t="s">
        <v>67</v>
      </c>
      <c r="L110" s="10"/>
      <c r="N110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10" s="3"/>
      <c r="P110" s="3"/>
      <c r="Q110" s="3">
        <v>46261.353576388887</v>
      </c>
      <c r="R11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110" t="str">
        <f>IF(SCTR_Brokers[[#This Row],[FechaRecepcion]]="","",TEXT(SCTR_Brokers[[#This Row],[FechaRecepcion]],"mmmm")&amp;" "&amp;YEAR(SCTR_Brokers[[#This Row],[FechaRecepcion]]))</f>
        <v>agosto 2026</v>
      </c>
      <c r="U110">
        <f>IF(SCTR_Brokers[[#This Row],[Estado]]="FINALIZADO",1,0)</f>
        <v>1</v>
      </c>
      <c r="V110">
        <f>IF(SCTR_Brokers[[#This Row],[FechaRecepcion]]="","",IF(SCTR_Brokers[[#This Row],[Estado]]="FINALIZADO",0,1))</f>
        <v>0</v>
      </c>
      <c r="W110">
        <f ca="1">IF(AND(SCTR_Brokers[[#This Row],[Estado]]="FINALIZADO",SCTR_Brokers[[#This Row],[Plazo]]=LISTAS!$J$3),1,0)</f>
        <v>0</v>
      </c>
      <c r="X110">
        <f ca="1">IF(AND(SCTR_Brokers[[#This Row],[Estado]]="FINALIZADO",SCTR_Brokers[[#This Row],[Plazo]]=LISTAS!$J$4),1,0)</f>
        <v>1</v>
      </c>
      <c r="Y110">
        <f ca="1">IF(AND(SCTR_Brokers[[#This Row],[Estado]]&lt;&gt;"FINALIZADO",SCTR_Brokers[[#This Row],[Plazo]]=LISTAS!$J$4),1,0)</f>
        <v>0</v>
      </c>
      <c r="Z110">
        <f>IF(SCTR_Brokers[[#This Row],[Fecha_Solic_Informe]]="",0,1)</f>
        <v>0</v>
      </c>
      <c r="AA110">
        <f>IF(SCTR_Brokers[[#This Row],[Fecha_Informe]]="",0,1)</f>
        <v>0</v>
      </c>
      <c r="AB110">
        <f>IF(AND(SCTR_Brokers[[#This Row],[Fecha_Solic_Informe]]&lt;&gt;"",SCTR_Brokers[[#This Row],[Fecha_Informe]]=""),1,0)</f>
        <v>0</v>
      </c>
      <c r="AC11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11" spans="1:29" hidden="1">
      <c r="A111" t="s">
        <v>275</v>
      </c>
      <c r="C111" t="str">
        <f>IF(SCTR_Brokers[[#This Row],[FechaRecepcion]]="","",SCTR_Brokers[[#This Row],[ConversationId]]&amp;"-"&amp;TEXT(SCTR_Brokers[[#This Row],[FechaRecepcion]],"aaaammddhhmmss"))</f>
        <v>AAQkADdkNThjNzFkLWM0ZmMtNDJhYS04MDVlLTIwNzE4ZDI1Mzg4YgAQAPTl74VmxTdNo2wm4rzJsKw=-20260825151521</v>
      </c>
      <c r="D111" t="s">
        <v>309</v>
      </c>
      <c r="E111" t="s">
        <v>21</v>
      </c>
      <c r="F111" s="3">
        <v>46259.635659722226</v>
      </c>
      <c r="G111" s="3">
        <v>46260.372673611113</v>
      </c>
      <c r="H111" t="s">
        <v>70</v>
      </c>
      <c r="I111" t="s">
        <v>7</v>
      </c>
      <c r="K111" t="s">
        <v>67</v>
      </c>
      <c r="L111" s="10"/>
      <c r="N111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11" s="3"/>
      <c r="P111" s="3"/>
      <c r="Q111" s="3">
        <v>46260.372673611113</v>
      </c>
      <c r="R11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11" t="str">
        <f>IF(SCTR_Brokers[[#This Row],[FechaRecepcion]]="","",TEXT(SCTR_Brokers[[#This Row],[FechaRecepcion]],"mmmm")&amp;" "&amp;YEAR(SCTR_Brokers[[#This Row],[FechaRecepcion]]))</f>
        <v>agosto 2026</v>
      </c>
      <c r="U111">
        <f>IF(SCTR_Brokers[[#This Row],[Estado]]="FINALIZADO",1,0)</f>
        <v>1</v>
      </c>
      <c r="V111">
        <f>IF(SCTR_Brokers[[#This Row],[FechaRecepcion]]="","",IF(SCTR_Brokers[[#This Row],[Estado]]="FINALIZADO",0,1))</f>
        <v>0</v>
      </c>
      <c r="W111">
        <f ca="1">IF(AND(SCTR_Brokers[[#This Row],[Estado]]="FINALIZADO",SCTR_Brokers[[#This Row],[Plazo]]=LISTAS!$J$3),1,0)</f>
        <v>1</v>
      </c>
      <c r="X111">
        <f ca="1">IF(AND(SCTR_Brokers[[#This Row],[Estado]]="FINALIZADO",SCTR_Brokers[[#This Row],[Plazo]]=LISTAS!$J$4),1,0)</f>
        <v>0</v>
      </c>
      <c r="Y111">
        <f ca="1">IF(AND(SCTR_Brokers[[#This Row],[Estado]]&lt;&gt;"FINALIZADO",SCTR_Brokers[[#This Row],[Plazo]]=LISTAS!$J$4),1,0)</f>
        <v>0</v>
      </c>
      <c r="Z111">
        <f>IF(SCTR_Brokers[[#This Row],[Fecha_Solic_Informe]]="",0,1)</f>
        <v>0</v>
      </c>
      <c r="AA111">
        <f>IF(SCTR_Brokers[[#This Row],[Fecha_Informe]]="",0,1)</f>
        <v>0</v>
      </c>
      <c r="AB111">
        <f>IF(AND(SCTR_Brokers[[#This Row],[Fecha_Solic_Informe]]&lt;&gt;"",SCTR_Brokers[[#This Row],[Fecha_Informe]]=""),1,0)</f>
        <v>0</v>
      </c>
      <c r="AC11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12" spans="1:29" hidden="1">
      <c r="A112" t="s">
        <v>310</v>
      </c>
      <c r="C112" t="str">
        <f>IF(SCTR_Brokers[[#This Row],[FechaRecepcion]]="","",SCTR_Brokers[[#This Row],[ConversationId]]&amp;"-"&amp;TEXT(SCTR_Brokers[[#This Row],[FechaRecepcion]],"aaaammddhhmmss"))</f>
        <v>AAQkADdkNThjNzFkLWM0ZmMtNDJhYS04MDVlLTIwNzE4ZDI1Mzg4YgAQADLRiNpobEIxs3HAk4aqwdM=-20260825154744</v>
      </c>
      <c r="D112" t="s">
        <v>311</v>
      </c>
      <c r="E112" t="s">
        <v>21</v>
      </c>
      <c r="F112" s="3">
        <v>46259.658148148148</v>
      </c>
      <c r="G112" s="3">
        <v>46259.678900462961</v>
      </c>
      <c r="H112" t="s">
        <v>70</v>
      </c>
      <c r="I112" t="s">
        <v>7</v>
      </c>
      <c r="K112" t="s">
        <v>67</v>
      </c>
      <c r="L112" s="10"/>
      <c r="N112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12" s="3"/>
      <c r="P112" s="3"/>
      <c r="Q112" s="3">
        <v>46259.678900462961</v>
      </c>
      <c r="R11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12" t="str">
        <f>IF(SCTR_Brokers[[#This Row],[FechaRecepcion]]="","",TEXT(SCTR_Brokers[[#This Row],[FechaRecepcion]],"mmmm")&amp;" "&amp;YEAR(SCTR_Brokers[[#This Row],[FechaRecepcion]]))</f>
        <v>agosto 2026</v>
      </c>
      <c r="U112">
        <f>IF(SCTR_Brokers[[#This Row],[Estado]]="FINALIZADO",1,0)</f>
        <v>1</v>
      </c>
      <c r="V112">
        <f>IF(SCTR_Brokers[[#This Row],[FechaRecepcion]]="","",IF(SCTR_Brokers[[#This Row],[Estado]]="FINALIZADO",0,1))</f>
        <v>0</v>
      </c>
      <c r="W112">
        <f ca="1">IF(AND(SCTR_Brokers[[#This Row],[Estado]]="FINALIZADO",SCTR_Brokers[[#This Row],[Plazo]]=LISTAS!$J$3),1,0)</f>
        <v>1</v>
      </c>
      <c r="X112">
        <f ca="1">IF(AND(SCTR_Brokers[[#This Row],[Estado]]="FINALIZADO",SCTR_Brokers[[#This Row],[Plazo]]=LISTAS!$J$4),1,0)</f>
        <v>0</v>
      </c>
      <c r="Y112">
        <f ca="1">IF(AND(SCTR_Brokers[[#This Row],[Estado]]&lt;&gt;"FINALIZADO",SCTR_Brokers[[#This Row],[Plazo]]=LISTAS!$J$4),1,0)</f>
        <v>0</v>
      </c>
      <c r="Z112">
        <f>IF(SCTR_Brokers[[#This Row],[Fecha_Solic_Informe]]="",0,1)</f>
        <v>0</v>
      </c>
      <c r="AA112">
        <f>IF(SCTR_Brokers[[#This Row],[Fecha_Informe]]="",0,1)</f>
        <v>0</v>
      </c>
      <c r="AB112">
        <f>IF(AND(SCTR_Brokers[[#This Row],[Fecha_Solic_Informe]]&lt;&gt;"",SCTR_Brokers[[#This Row],[Fecha_Informe]]=""),1,0)</f>
        <v>0</v>
      </c>
      <c r="AC11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13" spans="1:29" hidden="1">
      <c r="A113" t="s">
        <v>312</v>
      </c>
      <c r="C113" t="str">
        <f>IF(SCTR_Brokers[[#This Row],[FechaRecepcion]]="","",SCTR_Brokers[[#This Row],[ConversationId]]&amp;"-"&amp;TEXT(SCTR_Brokers[[#This Row],[FechaRecepcion]],"aaaammddhhmmss"))</f>
        <v>AAQkADdkNThjNzFkLWM0ZmMtNDJhYS04MDVlLTIwNzE4ZDI1Mzg4YgAQAMgCdWC1qURxmVkYy-g8JVk=-20260825155550</v>
      </c>
      <c r="D113" t="s">
        <v>313</v>
      </c>
      <c r="E113" t="s">
        <v>21</v>
      </c>
      <c r="F113" s="3">
        <v>46259.663773148146</v>
      </c>
      <c r="G113" s="3">
        <v>46259.67564814815</v>
      </c>
      <c r="H113" t="s">
        <v>70</v>
      </c>
      <c r="I113" t="s">
        <v>7</v>
      </c>
      <c r="K113" t="s">
        <v>67</v>
      </c>
      <c r="L113" s="10"/>
      <c r="N113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13" s="3"/>
      <c r="P113" s="3"/>
      <c r="Q113" s="3">
        <v>46259.67564814815</v>
      </c>
      <c r="R11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13" t="str">
        <f>IF(SCTR_Brokers[[#This Row],[FechaRecepcion]]="","",TEXT(SCTR_Brokers[[#This Row],[FechaRecepcion]],"mmmm")&amp;" "&amp;YEAR(SCTR_Brokers[[#This Row],[FechaRecepcion]]))</f>
        <v>agosto 2026</v>
      </c>
      <c r="U113">
        <f>IF(SCTR_Brokers[[#This Row],[Estado]]="FINALIZADO",1,0)</f>
        <v>1</v>
      </c>
      <c r="V113">
        <f>IF(SCTR_Brokers[[#This Row],[FechaRecepcion]]="","",IF(SCTR_Brokers[[#This Row],[Estado]]="FINALIZADO",0,1))</f>
        <v>0</v>
      </c>
      <c r="W113">
        <f ca="1">IF(AND(SCTR_Brokers[[#This Row],[Estado]]="FINALIZADO",SCTR_Brokers[[#This Row],[Plazo]]=LISTAS!$J$3),1,0)</f>
        <v>1</v>
      </c>
      <c r="X113">
        <f ca="1">IF(AND(SCTR_Brokers[[#This Row],[Estado]]="FINALIZADO",SCTR_Brokers[[#This Row],[Plazo]]=LISTAS!$J$4),1,0)</f>
        <v>0</v>
      </c>
      <c r="Y113">
        <f ca="1">IF(AND(SCTR_Brokers[[#This Row],[Estado]]&lt;&gt;"FINALIZADO",SCTR_Brokers[[#This Row],[Plazo]]=LISTAS!$J$4),1,0)</f>
        <v>0</v>
      </c>
      <c r="Z113">
        <f>IF(SCTR_Brokers[[#This Row],[Fecha_Solic_Informe]]="",0,1)</f>
        <v>0</v>
      </c>
      <c r="AA113">
        <f>IF(SCTR_Brokers[[#This Row],[Fecha_Informe]]="",0,1)</f>
        <v>0</v>
      </c>
      <c r="AB113">
        <f>IF(AND(SCTR_Brokers[[#This Row],[Fecha_Solic_Informe]]&lt;&gt;"",SCTR_Brokers[[#This Row],[Fecha_Informe]]=""),1,0)</f>
        <v>0</v>
      </c>
      <c r="AC11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14" spans="1:29" hidden="1">
      <c r="A114" t="s">
        <v>306</v>
      </c>
      <c r="C114" t="str">
        <f>IF(SCTR_Brokers[[#This Row],[FechaRecepcion]]="","",SCTR_Brokers[[#This Row],[ConversationId]]&amp;"-"&amp;TEXT(SCTR_Brokers[[#This Row],[FechaRecepcion]],"aaaammddhhmmss"))</f>
        <v>AAQkADdkNThjNzFkLWM0ZmMtNDJhYS04MDVlLTIwNzE4ZDI1Mzg4YgAQALFXDXFuzwlEoeXFQqim_BU=-20260825173241</v>
      </c>
      <c r="D114" t="s">
        <v>314</v>
      </c>
      <c r="E114" t="s">
        <v>21</v>
      </c>
      <c r="F114" s="3">
        <v>46259.731030092589</v>
      </c>
      <c r="G114" s="3">
        <v>46260.341111111113</v>
      </c>
      <c r="H114" t="s">
        <v>70</v>
      </c>
      <c r="I114" t="s">
        <v>7</v>
      </c>
      <c r="K114" t="s">
        <v>67</v>
      </c>
      <c r="L114" s="10"/>
      <c r="N114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14" s="3"/>
      <c r="P114" s="3"/>
      <c r="Q114" s="3">
        <v>46260.341111111113</v>
      </c>
      <c r="R11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14" t="str">
        <f>IF(SCTR_Brokers[[#This Row],[FechaRecepcion]]="","",TEXT(SCTR_Brokers[[#This Row],[FechaRecepcion]],"mmmm")&amp;" "&amp;YEAR(SCTR_Brokers[[#This Row],[FechaRecepcion]]))</f>
        <v>agosto 2026</v>
      </c>
      <c r="U114">
        <f>IF(SCTR_Brokers[[#This Row],[Estado]]="FINALIZADO",1,0)</f>
        <v>1</v>
      </c>
      <c r="V114">
        <f>IF(SCTR_Brokers[[#This Row],[FechaRecepcion]]="","",IF(SCTR_Brokers[[#This Row],[Estado]]="FINALIZADO",0,1))</f>
        <v>0</v>
      </c>
      <c r="W114">
        <f ca="1">IF(AND(SCTR_Brokers[[#This Row],[Estado]]="FINALIZADO",SCTR_Brokers[[#This Row],[Plazo]]=LISTAS!$J$3),1,0)</f>
        <v>1</v>
      </c>
      <c r="X114">
        <f ca="1">IF(AND(SCTR_Brokers[[#This Row],[Estado]]="FINALIZADO",SCTR_Brokers[[#This Row],[Plazo]]=LISTAS!$J$4),1,0)</f>
        <v>0</v>
      </c>
      <c r="Y114">
        <f ca="1">IF(AND(SCTR_Brokers[[#This Row],[Estado]]&lt;&gt;"FINALIZADO",SCTR_Brokers[[#This Row],[Plazo]]=LISTAS!$J$4),1,0)</f>
        <v>0</v>
      </c>
      <c r="Z114">
        <f>IF(SCTR_Brokers[[#This Row],[Fecha_Solic_Informe]]="",0,1)</f>
        <v>0</v>
      </c>
      <c r="AA114">
        <f>IF(SCTR_Brokers[[#This Row],[Fecha_Informe]]="",0,1)</f>
        <v>0</v>
      </c>
      <c r="AB114">
        <f>IF(AND(SCTR_Brokers[[#This Row],[Fecha_Solic_Informe]]&lt;&gt;"",SCTR_Brokers[[#This Row],[Fecha_Informe]]=""),1,0)</f>
        <v>0</v>
      </c>
      <c r="AC11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15" spans="1:29" hidden="1">
      <c r="A115" t="s">
        <v>315</v>
      </c>
      <c r="C115" t="str">
        <f>IF(SCTR_Brokers[[#This Row],[FechaRecepcion]]="","",SCTR_Brokers[[#This Row],[ConversationId]]&amp;"-"&amp;TEXT(SCTR_Brokers[[#This Row],[FechaRecepcion]],"aaaammddhhmmss"))</f>
        <v>AAQkADdkNThjNzFkLWM0ZmMtNDJhYS04MDVlLTIwNzE4ZDI1Mzg4YgAQADWkpYqTJ0Desw8S4XOMg1M=-20260826085708</v>
      </c>
      <c r="D115" t="s">
        <v>316</v>
      </c>
      <c r="E115" t="s">
        <v>21</v>
      </c>
      <c r="F115" s="3">
        <v>46260.37300925926</v>
      </c>
      <c r="G115" s="3">
        <v>46260.37300925926</v>
      </c>
      <c r="H115" t="s">
        <v>112</v>
      </c>
      <c r="I115" t="s">
        <v>7</v>
      </c>
      <c r="J115" t="s">
        <v>317</v>
      </c>
      <c r="K115" t="s">
        <v>67</v>
      </c>
      <c r="L115" s="10"/>
      <c r="N115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15" s="3"/>
      <c r="P115" s="3"/>
      <c r="Q115" s="3">
        <v>46260.37300925926</v>
      </c>
      <c r="R11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115" t="s">
        <v>164</v>
      </c>
      <c r="T115" t="str">
        <f>IF(SCTR_Brokers[[#This Row],[FechaRecepcion]]="","",TEXT(SCTR_Brokers[[#This Row],[FechaRecepcion]],"mmmm")&amp;" "&amp;YEAR(SCTR_Brokers[[#This Row],[FechaRecepcion]]))</f>
        <v>agosto 2026</v>
      </c>
      <c r="U115">
        <f>IF(SCTR_Brokers[[#This Row],[Estado]]="FINALIZADO",1,0)</f>
        <v>1</v>
      </c>
      <c r="V115">
        <f>IF(SCTR_Brokers[[#This Row],[FechaRecepcion]]="","",IF(SCTR_Brokers[[#This Row],[Estado]]="FINALIZADO",0,1))</f>
        <v>0</v>
      </c>
      <c r="W115">
        <f ca="1">IF(AND(SCTR_Brokers[[#This Row],[Estado]]="FINALIZADO",SCTR_Brokers[[#This Row],[Plazo]]=LISTAS!$J$3),1,0)</f>
        <v>1</v>
      </c>
      <c r="X115">
        <f ca="1">IF(AND(SCTR_Brokers[[#This Row],[Estado]]="FINALIZADO",SCTR_Brokers[[#This Row],[Plazo]]=LISTAS!$J$4),1,0)</f>
        <v>0</v>
      </c>
      <c r="Y115">
        <f ca="1">IF(AND(SCTR_Brokers[[#This Row],[Estado]]&lt;&gt;"FINALIZADO",SCTR_Brokers[[#This Row],[Plazo]]=LISTAS!$J$4),1,0)</f>
        <v>0</v>
      </c>
      <c r="Z115">
        <f>IF(SCTR_Brokers[[#This Row],[Fecha_Solic_Informe]]="",0,1)</f>
        <v>0</v>
      </c>
      <c r="AA115">
        <f>IF(SCTR_Brokers[[#This Row],[Fecha_Informe]]="",0,1)</f>
        <v>0</v>
      </c>
      <c r="AB115">
        <f>IF(AND(SCTR_Brokers[[#This Row],[Fecha_Solic_Informe]]&lt;&gt;"",SCTR_Brokers[[#This Row],[Fecha_Informe]]=""),1,0)</f>
        <v>0</v>
      </c>
      <c r="AC11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16" spans="1:29" hidden="1">
      <c r="A116" t="s">
        <v>275</v>
      </c>
      <c r="C116" t="str">
        <f>IF(SCTR_Brokers[[#This Row],[FechaRecepcion]]="","",SCTR_Brokers[[#This Row],[ConversationId]]&amp;"-"&amp;TEXT(SCTR_Brokers[[#This Row],[FechaRecepcion]],"aaaammddhhmmss"))</f>
        <v>AAQkADdkNThjNzFkLWM0ZmMtNDJhYS04MDVlLTIwNzE4ZDI1Mzg4YgAQAPTl74VmxTdNo2wm4rzJsKw=-20260826091117</v>
      </c>
      <c r="D116" t="s">
        <v>309</v>
      </c>
      <c r="E116" t="s">
        <v>21</v>
      </c>
      <c r="F116" s="3">
        <v>46260.382835648146</v>
      </c>
      <c r="G116" s="3">
        <v>46260.416712962964</v>
      </c>
      <c r="H116" t="s">
        <v>70</v>
      </c>
      <c r="I116" t="s">
        <v>7</v>
      </c>
      <c r="K116" t="s">
        <v>67</v>
      </c>
      <c r="L116" s="10"/>
      <c r="N116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16" s="3"/>
      <c r="P116" s="3"/>
      <c r="Q116" s="3">
        <v>46260.416712962964</v>
      </c>
      <c r="R11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16" t="str">
        <f>IF(SCTR_Brokers[[#This Row],[FechaRecepcion]]="","",TEXT(SCTR_Brokers[[#This Row],[FechaRecepcion]],"mmmm")&amp;" "&amp;YEAR(SCTR_Brokers[[#This Row],[FechaRecepcion]]))</f>
        <v>agosto 2026</v>
      </c>
      <c r="U116">
        <f>IF(SCTR_Brokers[[#This Row],[Estado]]="FINALIZADO",1,0)</f>
        <v>1</v>
      </c>
      <c r="V116">
        <f>IF(SCTR_Brokers[[#This Row],[FechaRecepcion]]="","",IF(SCTR_Brokers[[#This Row],[Estado]]="FINALIZADO",0,1))</f>
        <v>0</v>
      </c>
      <c r="W116">
        <f ca="1">IF(AND(SCTR_Brokers[[#This Row],[Estado]]="FINALIZADO",SCTR_Brokers[[#This Row],[Plazo]]=LISTAS!$J$3),1,0)</f>
        <v>1</v>
      </c>
      <c r="X116">
        <f ca="1">IF(AND(SCTR_Brokers[[#This Row],[Estado]]="FINALIZADO",SCTR_Brokers[[#This Row],[Plazo]]=LISTAS!$J$4),1,0)</f>
        <v>0</v>
      </c>
      <c r="Y116">
        <f ca="1">IF(AND(SCTR_Brokers[[#This Row],[Estado]]&lt;&gt;"FINALIZADO",SCTR_Brokers[[#This Row],[Plazo]]=LISTAS!$J$4),1,0)</f>
        <v>0</v>
      </c>
      <c r="Z116">
        <f>IF(SCTR_Brokers[[#This Row],[Fecha_Solic_Informe]]="",0,1)</f>
        <v>0</v>
      </c>
      <c r="AA116">
        <f>IF(SCTR_Brokers[[#This Row],[Fecha_Informe]]="",0,1)</f>
        <v>0</v>
      </c>
      <c r="AB116">
        <f>IF(AND(SCTR_Brokers[[#This Row],[Fecha_Solic_Informe]]&lt;&gt;"",SCTR_Brokers[[#This Row],[Fecha_Informe]]=""),1,0)</f>
        <v>0</v>
      </c>
      <c r="AC11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17" spans="1:29" hidden="1">
      <c r="A117" t="s">
        <v>74</v>
      </c>
      <c r="C117" t="str">
        <f>IF(SCTR_Brokers[[#This Row],[FechaRecepcion]]="","",SCTR_Brokers[[#This Row],[ConversationId]]&amp;"-"&amp;TEXT(SCTR_Brokers[[#This Row],[FechaRecepcion]],"aaaammddhhmmss"))</f>
        <v>AAQkADdkNThjNzFkLWM0ZmMtNDJhYS04MDVlLTIwNzE4ZDI1Mzg4YgAQAO6d2gmjtd5Kpw0zInaJXh8=-20260826103045</v>
      </c>
      <c r="D117" t="s">
        <v>318</v>
      </c>
      <c r="E117" t="s">
        <v>21</v>
      </c>
      <c r="F117" s="3">
        <v>46260.438020833331</v>
      </c>
      <c r="G117" s="3">
        <v>46261.475891203707</v>
      </c>
      <c r="H117" t="s">
        <v>319</v>
      </c>
      <c r="I117" t="s">
        <v>7</v>
      </c>
      <c r="J117" t="s">
        <v>320</v>
      </c>
      <c r="K117" t="s">
        <v>67</v>
      </c>
      <c r="L117" s="10"/>
      <c r="N117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17" s="3"/>
      <c r="P117" s="3"/>
      <c r="Q117" s="3">
        <v>46261.475891203707</v>
      </c>
      <c r="R11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117" t="str">
        <f>IF(SCTR_Brokers[[#This Row],[FechaRecepcion]]="","",TEXT(SCTR_Brokers[[#This Row],[FechaRecepcion]],"mmmm")&amp;" "&amp;YEAR(SCTR_Brokers[[#This Row],[FechaRecepcion]]))</f>
        <v>agosto 2026</v>
      </c>
      <c r="U117">
        <f>IF(SCTR_Brokers[[#This Row],[Estado]]="FINALIZADO",1,0)</f>
        <v>1</v>
      </c>
      <c r="V117">
        <f>IF(SCTR_Brokers[[#This Row],[FechaRecepcion]]="","",IF(SCTR_Brokers[[#This Row],[Estado]]="FINALIZADO",0,1))</f>
        <v>0</v>
      </c>
      <c r="W117">
        <f ca="1">IF(AND(SCTR_Brokers[[#This Row],[Estado]]="FINALIZADO",SCTR_Brokers[[#This Row],[Plazo]]=LISTAS!$J$3),1,0)</f>
        <v>0</v>
      </c>
      <c r="X117">
        <f ca="1">IF(AND(SCTR_Brokers[[#This Row],[Estado]]="FINALIZADO",SCTR_Brokers[[#This Row],[Plazo]]=LISTAS!$J$4),1,0)</f>
        <v>1</v>
      </c>
      <c r="Y117">
        <f ca="1">IF(AND(SCTR_Brokers[[#This Row],[Estado]]&lt;&gt;"FINALIZADO",SCTR_Brokers[[#This Row],[Plazo]]=LISTAS!$J$4),1,0)</f>
        <v>0</v>
      </c>
      <c r="Z117">
        <f>IF(SCTR_Brokers[[#This Row],[Fecha_Solic_Informe]]="",0,1)</f>
        <v>0</v>
      </c>
      <c r="AA117">
        <f>IF(SCTR_Brokers[[#This Row],[Fecha_Informe]]="",0,1)</f>
        <v>0</v>
      </c>
      <c r="AB117">
        <f>IF(AND(SCTR_Brokers[[#This Row],[Fecha_Solic_Informe]]&lt;&gt;"",SCTR_Brokers[[#This Row],[Fecha_Informe]]=""),1,0)</f>
        <v>0</v>
      </c>
      <c r="AC11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18" spans="1:29" hidden="1">
      <c r="A118" t="s">
        <v>321</v>
      </c>
      <c r="C118" t="str">
        <f>IF(SCTR_Brokers[[#This Row],[FechaRecepcion]]="","",SCTR_Brokers[[#This Row],[ConversationId]]&amp;"-"&amp;TEXT(SCTR_Brokers[[#This Row],[FechaRecepcion]],"aaaammddhhmmss"))</f>
        <v>AAQkADdkNThjNzFkLWM0ZmMtNDJhYS04MDVlLTIwNzE4ZDI1Mzg4YgAQAO4IajJIfk4Ksc2lfYG9EV0=-20260826110322</v>
      </c>
      <c r="D118" t="s">
        <v>322</v>
      </c>
      <c r="E118" t="s">
        <v>21</v>
      </c>
      <c r="F118" s="3">
        <v>46260.4606712963</v>
      </c>
      <c r="G118" s="3">
        <v>46260.53230324074</v>
      </c>
      <c r="H118" t="s">
        <v>70</v>
      </c>
      <c r="I118" t="s">
        <v>7</v>
      </c>
      <c r="K118" t="s">
        <v>67</v>
      </c>
      <c r="L118" s="10"/>
      <c r="N118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18" s="3"/>
      <c r="P118" s="3"/>
      <c r="Q118" s="3">
        <v>46260.53230324074</v>
      </c>
      <c r="R11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18" t="str">
        <f>IF(SCTR_Brokers[[#This Row],[FechaRecepcion]]="","",TEXT(SCTR_Brokers[[#This Row],[FechaRecepcion]],"mmmm")&amp;" "&amp;YEAR(SCTR_Brokers[[#This Row],[FechaRecepcion]]))</f>
        <v>agosto 2026</v>
      </c>
      <c r="U118">
        <f>IF(SCTR_Brokers[[#This Row],[Estado]]="FINALIZADO",1,0)</f>
        <v>1</v>
      </c>
      <c r="V118">
        <f>IF(SCTR_Brokers[[#This Row],[FechaRecepcion]]="","",IF(SCTR_Brokers[[#This Row],[Estado]]="FINALIZADO",0,1))</f>
        <v>0</v>
      </c>
      <c r="W118">
        <f ca="1">IF(AND(SCTR_Brokers[[#This Row],[Estado]]="FINALIZADO",SCTR_Brokers[[#This Row],[Plazo]]=LISTAS!$J$3),1,0)</f>
        <v>1</v>
      </c>
      <c r="X118">
        <f ca="1">IF(AND(SCTR_Brokers[[#This Row],[Estado]]="FINALIZADO",SCTR_Brokers[[#This Row],[Plazo]]=LISTAS!$J$4),1,0)</f>
        <v>0</v>
      </c>
      <c r="Y118">
        <f ca="1">IF(AND(SCTR_Brokers[[#This Row],[Estado]]&lt;&gt;"FINALIZADO",SCTR_Brokers[[#This Row],[Plazo]]=LISTAS!$J$4),1,0)</f>
        <v>0</v>
      </c>
      <c r="Z118">
        <f>IF(SCTR_Brokers[[#This Row],[Fecha_Solic_Informe]]="",0,1)</f>
        <v>0</v>
      </c>
      <c r="AA118">
        <f>IF(SCTR_Brokers[[#This Row],[Fecha_Informe]]="",0,1)</f>
        <v>0</v>
      </c>
      <c r="AB118">
        <f>IF(AND(SCTR_Brokers[[#This Row],[Fecha_Solic_Informe]]&lt;&gt;"",SCTR_Brokers[[#This Row],[Fecha_Informe]]=""),1,0)</f>
        <v>0</v>
      </c>
      <c r="AC11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19" spans="1:29" hidden="1">
      <c r="A119" t="s">
        <v>323</v>
      </c>
      <c r="C119" t="str">
        <f>IF(SCTR_Brokers[[#This Row],[FechaRecepcion]]="","",SCTR_Brokers[[#This Row],[ConversationId]]&amp;"-"&amp;TEXT(SCTR_Brokers[[#This Row],[FechaRecepcion]],"aaaammddhhmmss"))</f>
        <v>AAQkADdkNThjNzFkLWM0ZmMtNDJhYS04MDVlLTIwNzE4ZDI1Mzg4YgAQALh5EwG6f5tEvosoPOafS24=-20260826114321</v>
      </c>
      <c r="D119" t="s">
        <v>324</v>
      </c>
      <c r="E119" t="s">
        <v>8</v>
      </c>
      <c r="F119" s="3">
        <v>46260.488437499997</v>
      </c>
      <c r="G119" s="3">
        <v>46260.535925925928</v>
      </c>
      <c r="H119" t="s">
        <v>70</v>
      </c>
      <c r="I119" t="s">
        <v>7</v>
      </c>
      <c r="K119" t="s">
        <v>67</v>
      </c>
      <c r="L119" s="10"/>
      <c r="N119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19" s="3"/>
      <c r="P119" s="3"/>
      <c r="Q119" s="3">
        <v>46260.535925925928</v>
      </c>
      <c r="R11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19" t="str">
        <f>IF(SCTR_Brokers[[#This Row],[FechaRecepcion]]="","",TEXT(SCTR_Brokers[[#This Row],[FechaRecepcion]],"mmmm")&amp;" "&amp;YEAR(SCTR_Brokers[[#This Row],[FechaRecepcion]]))</f>
        <v>agosto 2026</v>
      </c>
      <c r="U119">
        <f>IF(SCTR_Brokers[[#This Row],[Estado]]="FINALIZADO",1,0)</f>
        <v>1</v>
      </c>
      <c r="V119">
        <f>IF(SCTR_Brokers[[#This Row],[FechaRecepcion]]="","",IF(SCTR_Brokers[[#This Row],[Estado]]="FINALIZADO",0,1))</f>
        <v>0</v>
      </c>
      <c r="W119">
        <f ca="1">IF(AND(SCTR_Brokers[[#This Row],[Estado]]="FINALIZADO",SCTR_Brokers[[#This Row],[Plazo]]=LISTAS!$J$3),1,0)</f>
        <v>1</v>
      </c>
      <c r="X119">
        <f ca="1">IF(AND(SCTR_Brokers[[#This Row],[Estado]]="FINALIZADO",SCTR_Brokers[[#This Row],[Plazo]]=LISTAS!$J$4),1,0)</f>
        <v>0</v>
      </c>
      <c r="Y119">
        <f ca="1">IF(AND(SCTR_Brokers[[#This Row],[Estado]]&lt;&gt;"FINALIZADO",SCTR_Brokers[[#This Row],[Plazo]]=LISTAS!$J$4),1,0)</f>
        <v>0</v>
      </c>
      <c r="Z119">
        <f>IF(SCTR_Brokers[[#This Row],[Fecha_Solic_Informe]]="",0,1)</f>
        <v>0</v>
      </c>
      <c r="AA119">
        <f>IF(SCTR_Brokers[[#This Row],[Fecha_Informe]]="",0,1)</f>
        <v>0</v>
      </c>
      <c r="AB119">
        <f>IF(AND(SCTR_Brokers[[#This Row],[Fecha_Solic_Informe]]&lt;&gt;"",SCTR_Brokers[[#This Row],[Fecha_Informe]]=""),1,0)</f>
        <v>0</v>
      </c>
      <c r="AC11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20" spans="1:29" hidden="1">
      <c r="A120" t="s">
        <v>94</v>
      </c>
      <c r="C120" t="str">
        <f>IF(SCTR_Brokers[[#This Row],[FechaRecepcion]]="","",SCTR_Brokers[[#This Row],[ConversationId]]&amp;"-"&amp;TEXT(SCTR_Brokers[[#This Row],[FechaRecepcion]],"aaaammddhhmmss"))</f>
        <v>AAQkADdkNThjNzFkLWM0ZmMtNDJhYS04MDVlLTIwNzE4ZDI1Mzg4YgAQABURf2VZ3k8zqSK-80uc1ks=-20260826114532</v>
      </c>
      <c r="D120" t="s">
        <v>95</v>
      </c>
      <c r="E120" t="s">
        <v>23</v>
      </c>
      <c r="F120" s="3">
        <v>46260.489953703705</v>
      </c>
      <c r="G120" s="3">
        <v>46260.489953703705</v>
      </c>
      <c r="H120" t="s">
        <v>325</v>
      </c>
      <c r="I120" t="s">
        <v>7</v>
      </c>
      <c r="J120" t="s">
        <v>326</v>
      </c>
      <c r="K120" t="s">
        <v>67</v>
      </c>
      <c r="L120" s="10"/>
      <c r="N120" t="str">
        <f ca="1">IF(SCTR_Brokers[[#This Row],[FechaRecepcion]]="","",IF(SCTR_Brokers[[#This Row],[Estado]]="FINALIZADO","",IF(SCTR_Brokers[[#This Row],[FechaUltimaRespuesta]]="","",_xlfn.LET(_xlpm.fer,LISTAS!$L$3:$L$100,_xlpm.ep,DATE(2000,1,1),_xlpm.ini,SCTR_Brokers[[#This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20" s="3"/>
      <c r="P120" s="3"/>
      <c r="Q120" s="3">
        <v>46260.489953703705</v>
      </c>
      <c r="R12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120" t="s">
        <v>164</v>
      </c>
      <c r="T120" t="str">
        <f>IF(SCTR_Brokers[[#This Row],[FechaRecepcion]]="","",TEXT(SCTR_Brokers[[#This Row],[FechaRecepcion]],"mmmm")&amp;" "&amp;YEAR(SCTR_Brokers[[#This Row],[FechaRecepcion]]))</f>
        <v>agosto 2026</v>
      </c>
      <c r="U120">
        <f>IF(SCTR_Brokers[[#This Row],[Estado]]="FINALIZADO",1,0)</f>
        <v>1</v>
      </c>
      <c r="V120">
        <f>IF(SCTR_Brokers[[#This Row],[FechaRecepcion]]="","",IF(SCTR_Brokers[[#This Row],[Estado]]="FINALIZADO",0,1))</f>
        <v>0</v>
      </c>
      <c r="W120">
        <f ca="1">IF(AND(SCTR_Brokers[[#This Row],[Estado]]="FINALIZADO",SCTR_Brokers[[#This Row],[Plazo]]=LISTAS!$J$3),1,0)</f>
        <v>1</v>
      </c>
      <c r="X120">
        <f ca="1">IF(AND(SCTR_Brokers[[#This Row],[Estado]]="FINALIZADO",SCTR_Brokers[[#This Row],[Plazo]]=LISTAS!$J$4),1,0)</f>
        <v>0</v>
      </c>
      <c r="Y120">
        <f ca="1">IF(AND(SCTR_Brokers[[#This Row],[Estado]]&lt;&gt;"FINALIZADO",SCTR_Brokers[[#This Row],[Plazo]]=LISTAS!$J$4),1,0)</f>
        <v>0</v>
      </c>
      <c r="Z120">
        <f>IF(SCTR_Brokers[[#This Row],[Fecha_Solic_Informe]]="",0,1)</f>
        <v>0</v>
      </c>
      <c r="AA120">
        <f>IF(SCTR_Brokers[[#This Row],[Fecha_Informe]]="",0,1)</f>
        <v>0</v>
      </c>
      <c r="AB120">
        <f>IF(AND(SCTR_Brokers[[#This Row],[Fecha_Solic_Informe]]&lt;&gt;"",SCTR_Brokers[[#This Row],[Fecha_Informe]]=""),1,0)</f>
        <v>0</v>
      </c>
      <c r="AC12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21" spans="1:29" hidden="1">
      <c r="A121" t="s">
        <v>327</v>
      </c>
      <c r="C121" t="str">
        <f>IF(SCTR_Brokers[[#This Row],[FechaRecepcion]]="","",SCTR_Brokers[[#This Row],[ConversationId]]&amp;"-"&amp;TEXT(SCTR_Brokers[[#This Row],[FechaRecepcion]],"aaaammddhhmmss"))</f>
        <v>AAQkADdkNThjNzFkLWM0ZmMtNDJhYS04MDVlLTIwNzE4ZDI1Mzg4YgAQACDPXIvr2kiIpBltU6cbmpA=-20260826124914</v>
      </c>
      <c r="D121" t="s">
        <v>328</v>
      </c>
      <c r="E121" t="s">
        <v>20</v>
      </c>
      <c r="F121" s="3">
        <v>46260.534189814818</v>
      </c>
      <c r="G121" s="3">
        <v>46260.534189814818</v>
      </c>
      <c r="H121" t="s">
        <v>329</v>
      </c>
      <c r="I121" t="s">
        <v>7</v>
      </c>
      <c r="K121" t="s">
        <v>67</v>
      </c>
      <c r="L121" s="10"/>
      <c r="N12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21" s="3"/>
      <c r="P121" s="3"/>
      <c r="Q121" s="3">
        <v>46260.534189814818</v>
      </c>
      <c r="R12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21" t="str">
        <f>IF(SCTR_Brokers[[#This Row],[FechaRecepcion]]="","",TEXT(SCTR_Brokers[[#This Row],[FechaRecepcion]],"mmmm")&amp;" "&amp;YEAR(SCTR_Brokers[[#This Row],[FechaRecepcion]]))</f>
        <v>agosto 2026</v>
      </c>
      <c r="U121">
        <f>IF(SCTR_Brokers[[#This Row],[Estado]]="FINALIZADO",1,0)</f>
        <v>1</v>
      </c>
      <c r="V121">
        <f>IF(SCTR_Brokers[[#This Row],[FechaRecepcion]]="","",IF(SCTR_Brokers[[#This Row],[Estado]]="FINALIZADO",0,1))</f>
        <v>0</v>
      </c>
      <c r="W121">
        <f ca="1">IF(AND(SCTR_Brokers[[#This Row],[Estado]]="FINALIZADO",SCTR_Brokers[[#This Row],[Plazo]]=LISTAS!$J$3),1,0)</f>
        <v>1</v>
      </c>
      <c r="X121">
        <f ca="1">IF(AND(SCTR_Brokers[[#This Row],[Estado]]="FINALIZADO",SCTR_Brokers[[#This Row],[Plazo]]=LISTAS!$J$4),1,0)</f>
        <v>0</v>
      </c>
      <c r="Y121">
        <f ca="1">IF(AND(SCTR_Brokers[[#This Row],[Estado]]&lt;&gt;"FINALIZADO",SCTR_Brokers[[#This Row],[Plazo]]=LISTAS!$J$4),1,0)</f>
        <v>0</v>
      </c>
      <c r="Z121">
        <f>IF(SCTR_Brokers[[#This Row],[Fecha_Solic_Informe]]="",0,1)</f>
        <v>0</v>
      </c>
      <c r="AA121">
        <f>IF(SCTR_Brokers[[#This Row],[Fecha_Informe]]="",0,1)</f>
        <v>0</v>
      </c>
      <c r="AB121">
        <f>IF(AND(SCTR_Brokers[[#This Row],[Fecha_Solic_Informe]]&lt;&gt;"",SCTR_Brokers[[#This Row],[Fecha_Informe]]=""),1,0)</f>
        <v>0</v>
      </c>
      <c r="AC12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22" spans="1:29" hidden="1">
      <c r="A122" t="s">
        <v>330</v>
      </c>
      <c r="C122" t="str">
        <f>IF(SCTR_Brokers[[#This Row],[FechaRecepcion]]="","",SCTR_Brokers[[#This Row],[ConversationId]]&amp;"-"&amp;TEXT(SCTR_Brokers[[#This Row],[FechaRecepcion]],"aaaammddhhmmss"))</f>
        <v>AAQkADdkNThjNzFkLWM0ZmMtNDJhYS04MDVlLTIwNzE4ZDI1Mzg4YgAQAE-Ui_hQ10I7lKVxdzb1RyM=-20260826130056</v>
      </c>
      <c r="D122" t="s">
        <v>331</v>
      </c>
      <c r="E122" t="s">
        <v>8</v>
      </c>
      <c r="F122" s="3">
        <v>46260.542314814818</v>
      </c>
      <c r="G122" s="3">
        <v>46260.641018518516</v>
      </c>
      <c r="H122" t="s">
        <v>70</v>
      </c>
      <c r="I122" t="s">
        <v>7</v>
      </c>
      <c r="K122" t="s">
        <v>67</v>
      </c>
      <c r="L122" s="10"/>
      <c r="N12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22" s="3"/>
      <c r="P122" s="3"/>
      <c r="Q122" s="3">
        <v>46260.641018518516</v>
      </c>
      <c r="R12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22" t="str">
        <f>IF(SCTR_Brokers[[#This Row],[FechaRecepcion]]="","",TEXT(SCTR_Brokers[[#This Row],[FechaRecepcion]],"mmmm")&amp;" "&amp;YEAR(SCTR_Brokers[[#This Row],[FechaRecepcion]]))</f>
        <v>agosto 2026</v>
      </c>
      <c r="U122">
        <f>IF(SCTR_Brokers[[#This Row],[Estado]]="FINALIZADO",1,0)</f>
        <v>1</v>
      </c>
      <c r="V122">
        <f>IF(SCTR_Brokers[[#This Row],[FechaRecepcion]]="","",IF(SCTR_Brokers[[#This Row],[Estado]]="FINALIZADO",0,1))</f>
        <v>0</v>
      </c>
      <c r="W122">
        <f ca="1">IF(AND(SCTR_Brokers[[#This Row],[Estado]]="FINALIZADO",SCTR_Brokers[[#This Row],[Plazo]]=LISTAS!$J$3),1,0)</f>
        <v>1</v>
      </c>
      <c r="X122">
        <f ca="1">IF(AND(SCTR_Brokers[[#This Row],[Estado]]="FINALIZADO",SCTR_Brokers[[#This Row],[Plazo]]=LISTAS!$J$4),1,0)</f>
        <v>0</v>
      </c>
      <c r="Y122">
        <f ca="1">IF(AND(SCTR_Brokers[[#This Row],[Estado]]&lt;&gt;"FINALIZADO",SCTR_Brokers[[#This Row],[Plazo]]=LISTAS!$J$4),1,0)</f>
        <v>0</v>
      </c>
      <c r="Z122">
        <f>IF(SCTR_Brokers[[#This Row],[Fecha_Solic_Informe]]="",0,1)</f>
        <v>0</v>
      </c>
      <c r="AA122">
        <f>IF(SCTR_Brokers[[#This Row],[Fecha_Informe]]="",0,1)</f>
        <v>0</v>
      </c>
      <c r="AB122">
        <f>IF(AND(SCTR_Brokers[[#This Row],[Fecha_Solic_Informe]]&lt;&gt;"",SCTR_Brokers[[#This Row],[Fecha_Informe]]=""),1,0)</f>
        <v>0</v>
      </c>
      <c r="AC12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23" spans="1:29" hidden="1">
      <c r="A123" t="s">
        <v>332</v>
      </c>
      <c r="C123" t="str">
        <f>IF(SCTR_Brokers[[#This Row],[FechaRecepcion]]="","",SCTR_Brokers[[#This Row],[ConversationId]]&amp;"-"&amp;TEXT(SCTR_Brokers[[#This Row],[FechaRecepcion]],"aaaammddhhmmss"))</f>
        <v>AAQkADdkNThjNzFkLWM0ZmMtNDJhYS04MDVlLTIwNzE4ZDI1Mzg4YgAQALlhdCNpCkPnn3Zs8-JjDO8=-20260826133204</v>
      </c>
      <c r="D123" t="s">
        <v>333</v>
      </c>
      <c r="E123" t="s">
        <v>21</v>
      </c>
      <c r="F123" s="3">
        <v>46260.563935185186</v>
      </c>
      <c r="G123" s="3">
        <v>46260.644166666665</v>
      </c>
      <c r="H123" t="s">
        <v>70</v>
      </c>
      <c r="I123" t="s">
        <v>7</v>
      </c>
      <c r="K123" t="s">
        <v>67</v>
      </c>
      <c r="L123" s="10"/>
      <c r="N12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23" s="3"/>
      <c r="P123" s="3"/>
      <c r="Q123" s="3">
        <v>46260.644166666665</v>
      </c>
      <c r="R12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23" t="str">
        <f>IF(SCTR_Brokers[[#This Row],[FechaRecepcion]]="","",TEXT(SCTR_Brokers[[#This Row],[FechaRecepcion]],"mmmm")&amp;" "&amp;YEAR(SCTR_Brokers[[#This Row],[FechaRecepcion]]))</f>
        <v>agosto 2026</v>
      </c>
      <c r="U123">
        <f>IF(SCTR_Brokers[[#This Row],[Estado]]="FINALIZADO",1,0)</f>
        <v>1</v>
      </c>
      <c r="V123">
        <f>IF(SCTR_Brokers[[#This Row],[FechaRecepcion]]="","",IF(SCTR_Brokers[[#This Row],[Estado]]="FINALIZADO",0,1))</f>
        <v>0</v>
      </c>
      <c r="W123">
        <f ca="1">IF(AND(SCTR_Brokers[[#This Row],[Estado]]="FINALIZADO",SCTR_Brokers[[#This Row],[Plazo]]=LISTAS!$J$3),1,0)</f>
        <v>1</v>
      </c>
      <c r="X123">
        <f ca="1">IF(AND(SCTR_Brokers[[#This Row],[Estado]]="FINALIZADO",SCTR_Brokers[[#This Row],[Plazo]]=LISTAS!$J$4),1,0)</f>
        <v>0</v>
      </c>
      <c r="Y123">
        <f ca="1">IF(AND(SCTR_Brokers[[#This Row],[Estado]]&lt;&gt;"FINALIZADO",SCTR_Brokers[[#This Row],[Plazo]]=LISTAS!$J$4),1,0)</f>
        <v>0</v>
      </c>
      <c r="Z123">
        <f>IF(SCTR_Brokers[[#This Row],[Fecha_Solic_Informe]]="",0,1)</f>
        <v>0</v>
      </c>
      <c r="AA123">
        <f>IF(SCTR_Brokers[[#This Row],[Fecha_Informe]]="",0,1)</f>
        <v>0</v>
      </c>
      <c r="AB123">
        <f>IF(AND(SCTR_Brokers[[#This Row],[Fecha_Solic_Informe]]&lt;&gt;"",SCTR_Brokers[[#This Row],[Fecha_Informe]]=""),1,0)</f>
        <v>0</v>
      </c>
      <c r="AC12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24" spans="1:29" hidden="1">
      <c r="A124" t="s">
        <v>64</v>
      </c>
      <c r="C124" t="str">
        <f>IF(SCTR_Brokers[[#This Row],[FechaRecepcion]]="","",SCTR_Brokers[[#This Row],[ConversationId]]&amp;"-"&amp;TEXT(SCTR_Brokers[[#This Row],[FechaRecepcion]],"aaaammddhhmmss"))</f>
        <v>AAQkADdkNThjNzFkLWM0ZmMtNDJhYS04MDVlLTIwNzE4ZDI1Mzg4YgAQAJce04pfmOxCjc66JQ_YqAI=-20260826142307</v>
      </c>
      <c r="D124" t="s">
        <v>65</v>
      </c>
      <c r="E124" t="s">
        <v>21</v>
      </c>
      <c r="F124" s="3">
        <v>46260.599386574075</v>
      </c>
      <c r="G124" s="3">
        <v>46261.399907407409</v>
      </c>
      <c r="H124" t="s">
        <v>217</v>
      </c>
      <c r="I124" t="s">
        <v>7</v>
      </c>
      <c r="J124" t="s">
        <v>218</v>
      </c>
      <c r="K124" t="s">
        <v>67</v>
      </c>
      <c r="L124" s="10"/>
      <c r="N12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24" s="3"/>
      <c r="P124" s="3"/>
      <c r="Q124" s="3">
        <v>46261.399907407409</v>
      </c>
      <c r="R12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24" t="str">
        <f>IF(SCTR_Brokers[[#This Row],[FechaRecepcion]]="","",TEXT(SCTR_Brokers[[#This Row],[FechaRecepcion]],"mmmm")&amp;" "&amp;YEAR(SCTR_Brokers[[#This Row],[FechaRecepcion]]))</f>
        <v>agosto 2026</v>
      </c>
      <c r="U124">
        <f>IF(SCTR_Brokers[[#This Row],[Estado]]="FINALIZADO",1,0)</f>
        <v>1</v>
      </c>
      <c r="V124">
        <f>IF(SCTR_Brokers[[#This Row],[FechaRecepcion]]="","",IF(SCTR_Brokers[[#This Row],[Estado]]="FINALIZADO",0,1))</f>
        <v>0</v>
      </c>
      <c r="W124">
        <f ca="1">IF(AND(SCTR_Brokers[[#This Row],[Estado]]="FINALIZADO",SCTR_Brokers[[#This Row],[Plazo]]=LISTAS!$J$3),1,0)</f>
        <v>1</v>
      </c>
      <c r="X124">
        <f ca="1">IF(AND(SCTR_Brokers[[#This Row],[Estado]]="FINALIZADO",SCTR_Brokers[[#This Row],[Plazo]]=LISTAS!$J$4),1,0)</f>
        <v>0</v>
      </c>
      <c r="Y124">
        <f ca="1">IF(AND(SCTR_Brokers[[#This Row],[Estado]]&lt;&gt;"FINALIZADO",SCTR_Brokers[[#This Row],[Plazo]]=LISTAS!$J$4),1,0)</f>
        <v>0</v>
      </c>
      <c r="Z124">
        <f>IF(SCTR_Brokers[[#This Row],[Fecha_Solic_Informe]]="",0,1)</f>
        <v>0</v>
      </c>
      <c r="AA124">
        <f>IF(SCTR_Brokers[[#This Row],[Fecha_Informe]]="",0,1)</f>
        <v>0</v>
      </c>
      <c r="AB124">
        <f>IF(AND(SCTR_Brokers[[#This Row],[Fecha_Solic_Informe]]&lt;&gt;"",SCTR_Brokers[[#This Row],[Fecha_Informe]]=""),1,0)</f>
        <v>0</v>
      </c>
      <c r="AC12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25" spans="1:29" hidden="1">
      <c r="A125" t="s">
        <v>334</v>
      </c>
      <c r="C125" t="str">
        <f>IF(SCTR_Brokers[[#This Row],[FechaRecepcion]]="","",SCTR_Brokers[[#This Row],[ConversationId]]&amp;"-"&amp;TEXT(SCTR_Brokers[[#This Row],[FechaRecepcion]],"aaaammddhhmmss"))</f>
        <v>AAQkADdkNThjNzFkLWM0ZmMtNDJhYS04MDVlLTIwNzE4ZDI1Mzg4YgAQAAy4wuSx1U-VoXvQcGpAcvo=-20260826150137</v>
      </c>
      <c r="D125" t="s">
        <v>335</v>
      </c>
      <c r="E125" t="s">
        <v>20</v>
      </c>
      <c r="F125" s="3">
        <v>46260.626122685186</v>
      </c>
      <c r="G125" s="3">
        <v>46260.651620370372</v>
      </c>
      <c r="H125" t="s">
        <v>70</v>
      </c>
      <c r="I125" t="s">
        <v>7</v>
      </c>
      <c r="K125" t="s">
        <v>67</v>
      </c>
      <c r="L125" s="10"/>
      <c r="N12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25" s="3"/>
      <c r="P125" s="3"/>
      <c r="Q125" s="3">
        <v>46260.651620370372</v>
      </c>
      <c r="R12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25" t="str">
        <f>IF(SCTR_Brokers[[#This Row],[FechaRecepcion]]="","",TEXT(SCTR_Brokers[[#This Row],[FechaRecepcion]],"mmmm")&amp;" "&amp;YEAR(SCTR_Brokers[[#This Row],[FechaRecepcion]]))</f>
        <v>agosto 2026</v>
      </c>
      <c r="U125">
        <f>IF(SCTR_Brokers[[#This Row],[Estado]]="FINALIZADO",1,0)</f>
        <v>1</v>
      </c>
      <c r="V125">
        <f>IF(SCTR_Brokers[[#This Row],[FechaRecepcion]]="","",IF(SCTR_Brokers[[#This Row],[Estado]]="FINALIZADO",0,1))</f>
        <v>0</v>
      </c>
      <c r="W125">
        <f ca="1">IF(AND(SCTR_Brokers[[#This Row],[Estado]]="FINALIZADO",SCTR_Brokers[[#This Row],[Plazo]]=LISTAS!$J$3),1,0)</f>
        <v>1</v>
      </c>
      <c r="X125">
        <f ca="1">IF(AND(SCTR_Brokers[[#This Row],[Estado]]="FINALIZADO",SCTR_Brokers[[#This Row],[Plazo]]=LISTAS!$J$4),1,0)</f>
        <v>0</v>
      </c>
      <c r="Y125">
        <f ca="1">IF(AND(SCTR_Brokers[[#This Row],[Estado]]&lt;&gt;"FINALIZADO",SCTR_Brokers[[#This Row],[Plazo]]=LISTAS!$J$4),1,0)</f>
        <v>0</v>
      </c>
      <c r="Z125">
        <f>IF(SCTR_Brokers[[#This Row],[Fecha_Solic_Informe]]="",0,1)</f>
        <v>0</v>
      </c>
      <c r="AA125">
        <f>IF(SCTR_Brokers[[#This Row],[Fecha_Informe]]="",0,1)</f>
        <v>0</v>
      </c>
      <c r="AB125">
        <f>IF(AND(SCTR_Brokers[[#This Row],[Fecha_Solic_Informe]]&lt;&gt;"",SCTR_Brokers[[#This Row],[Fecha_Informe]]=""),1,0)</f>
        <v>0</v>
      </c>
      <c r="AC12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26" spans="1:29" hidden="1">
      <c r="A126" t="s">
        <v>336</v>
      </c>
      <c r="C126" t="str">
        <f>IF(SCTR_Brokers[[#This Row],[FechaRecepcion]]="","",SCTR_Brokers[[#This Row],[ConversationId]]&amp;"-"&amp;TEXT(SCTR_Brokers[[#This Row],[FechaRecepcion]],"aaaammddhhmmss"))</f>
        <v>AAQkADdkNThjNzFkLWM0ZmMtNDJhYS04MDVlLTIwNzE4ZDI1Mzg4YgAQAH9RStjR3-pKhR4TMLrbBrw=-20260826160447</v>
      </c>
      <c r="D126" t="s">
        <v>337</v>
      </c>
      <c r="E126" t="s">
        <v>8</v>
      </c>
      <c r="F126" s="3">
        <v>46260.669988425929</v>
      </c>
      <c r="G126" s="3">
        <v>46260.696863425925</v>
      </c>
      <c r="H126" t="s">
        <v>70</v>
      </c>
      <c r="I126" t="s">
        <v>7</v>
      </c>
      <c r="K126" t="s">
        <v>67</v>
      </c>
      <c r="L126" s="10"/>
      <c r="N12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26" s="3"/>
      <c r="P126" s="3"/>
      <c r="Q126" s="3">
        <v>46260.696863425925</v>
      </c>
      <c r="R12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26" t="str">
        <f>IF(SCTR_Brokers[[#This Row],[FechaRecepcion]]="","",TEXT(SCTR_Brokers[[#This Row],[FechaRecepcion]],"mmmm")&amp;" "&amp;YEAR(SCTR_Brokers[[#This Row],[FechaRecepcion]]))</f>
        <v>agosto 2026</v>
      </c>
      <c r="U126">
        <f>IF(SCTR_Brokers[[#This Row],[Estado]]="FINALIZADO",1,0)</f>
        <v>1</v>
      </c>
      <c r="V126">
        <f>IF(SCTR_Brokers[[#This Row],[FechaRecepcion]]="","",IF(SCTR_Brokers[[#This Row],[Estado]]="FINALIZADO",0,1))</f>
        <v>0</v>
      </c>
      <c r="W126">
        <f ca="1">IF(AND(SCTR_Brokers[[#This Row],[Estado]]="FINALIZADO",SCTR_Brokers[[#This Row],[Plazo]]=LISTAS!$J$3),1,0)</f>
        <v>1</v>
      </c>
      <c r="X126">
        <f ca="1">IF(AND(SCTR_Brokers[[#This Row],[Estado]]="FINALIZADO",SCTR_Brokers[[#This Row],[Plazo]]=LISTAS!$J$4),1,0)</f>
        <v>0</v>
      </c>
      <c r="Y126">
        <f ca="1">IF(AND(SCTR_Brokers[[#This Row],[Estado]]&lt;&gt;"FINALIZADO",SCTR_Brokers[[#This Row],[Plazo]]=LISTAS!$J$4),1,0)</f>
        <v>0</v>
      </c>
      <c r="Z126">
        <f>IF(SCTR_Brokers[[#This Row],[Fecha_Solic_Informe]]="",0,1)</f>
        <v>0</v>
      </c>
      <c r="AA126">
        <f>IF(SCTR_Brokers[[#This Row],[Fecha_Informe]]="",0,1)</f>
        <v>0</v>
      </c>
      <c r="AB126">
        <f>IF(AND(SCTR_Brokers[[#This Row],[Fecha_Solic_Informe]]&lt;&gt;"",SCTR_Brokers[[#This Row],[Fecha_Informe]]=""),1,0)</f>
        <v>0</v>
      </c>
      <c r="AC12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27" spans="1:29" hidden="1">
      <c r="A127" t="s">
        <v>98</v>
      </c>
      <c r="C127" t="str">
        <f>IF(SCTR_Brokers[[#This Row],[FechaRecepcion]]="","",SCTR_Brokers[[#This Row],[ConversationId]]&amp;"-"&amp;TEXT(SCTR_Brokers[[#This Row],[FechaRecepcion]],"aaaammddhhmmss"))</f>
        <v>AAQkADdkNThjNzFkLWM0ZmMtNDJhYS04MDVlLTIwNzE4ZDI1Mzg4YgAQAD_wnXEnjrNOuaL_qkr7GmE=-20260826171119</v>
      </c>
      <c r="D127" t="s">
        <v>99</v>
      </c>
      <c r="E127" t="s">
        <v>20</v>
      </c>
      <c r="F127" s="3">
        <v>46260.716192129628</v>
      </c>
      <c r="G127" s="3">
        <v>46260.716192129628</v>
      </c>
      <c r="H127" t="s">
        <v>338</v>
      </c>
      <c r="I127" t="s">
        <v>7</v>
      </c>
      <c r="J127" t="s">
        <v>254</v>
      </c>
      <c r="K127" t="s">
        <v>67</v>
      </c>
      <c r="L127" s="10"/>
      <c r="N12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27" s="3"/>
      <c r="P127" s="3"/>
      <c r="Q127" s="3">
        <v>46260.716192129628</v>
      </c>
      <c r="R12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127" t="s">
        <v>164</v>
      </c>
      <c r="T127" t="str">
        <f>IF(SCTR_Brokers[[#This Row],[FechaRecepcion]]="","",TEXT(SCTR_Brokers[[#This Row],[FechaRecepcion]],"mmmm")&amp;" "&amp;YEAR(SCTR_Brokers[[#This Row],[FechaRecepcion]]))</f>
        <v>agosto 2026</v>
      </c>
      <c r="U127">
        <f>IF(SCTR_Brokers[[#This Row],[Estado]]="FINALIZADO",1,0)</f>
        <v>1</v>
      </c>
      <c r="V127">
        <f>IF(SCTR_Brokers[[#This Row],[FechaRecepcion]]="","",IF(SCTR_Brokers[[#This Row],[Estado]]="FINALIZADO",0,1))</f>
        <v>0</v>
      </c>
      <c r="W127">
        <f ca="1">IF(AND(SCTR_Brokers[[#This Row],[Estado]]="FINALIZADO",SCTR_Brokers[[#This Row],[Plazo]]=LISTAS!$J$3),1,0)</f>
        <v>1</v>
      </c>
      <c r="X127">
        <f ca="1">IF(AND(SCTR_Brokers[[#This Row],[Estado]]="FINALIZADO",SCTR_Brokers[[#This Row],[Plazo]]=LISTAS!$J$4),1,0)</f>
        <v>0</v>
      </c>
      <c r="Y127">
        <f ca="1">IF(AND(SCTR_Brokers[[#This Row],[Estado]]&lt;&gt;"FINALIZADO",SCTR_Brokers[[#This Row],[Plazo]]=LISTAS!$J$4),1,0)</f>
        <v>0</v>
      </c>
      <c r="Z127">
        <f>IF(SCTR_Brokers[[#This Row],[Fecha_Solic_Informe]]="",0,1)</f>
        <v>0</v>
      </c>
      <c r="AA127">
        <f>IF(SCTR_Brokers[[#This Row],[Fecha_Informe]]="",0,1)</f>
        <v>0</v>
      </c>
      <c r="AB127">
        <f>IF(AND(SCTR_Brokers[[#This Row],[Fecha_Solic_Informe]]&lt;&gt;"",SCTR_Brokers[[#This Row],[Fecha_Informe]]=""),1,0)</f>
        <v>0</v>
      </c>
      <c r="AC12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28" spans="1:29" hidden="1">
      <c r="A128" t="s">
        <v>339</v>
      </c>
      <c r="C128" t="str">
        <f>IF(SCTR_Brokers[[#This Row],[FechaRecepcion]]="","",SCTR_Brokers[[#This Row],[ConversationId]]&amp;"-"&amp;TEXT(SCTR_Brokers[[#This Row],[FechaRecepcion]],"aaaammddhhmmss"))</f>
        <v>AAQkADdkNThjNzFkLWM0ZmMtNDJhYS04MDVlLTIwNzE4ZDI1Mzg4YgAQAJ38MiZ9R5FEiaUYfdxdY0w=-20260826172926</v>
      </c>
      <c r="D128" t="s">
        <v>340</v>
      </c>
      <c r="E128" t="s">
        <v>20</v>
      </c>
      <c r="F128" s="3">
        <v>46260.728773148148</v>
      </c>
      <c r="G128" s="3">
        <v>46261.635451388887</v>
      </c>
      <c r="H128" t="s">
        <v>70</v>
      </c>
      <c r="I128" t="s">
        <v>7</v>
      </c>
      <c r="K128" t="s">
        <v>67</v>
      </c>
      <c r="L128" s="10"/>
      <c r="N12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28" s="3"/>
      <c r="P128" s="3"/>
      <c r="Q128" s="3">
        <v>46261.635451388887</v>
      </c>
      <c r="R12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128" t="str">
        <f>IF(SCTR_Brokers[[#This Row],[FechaRecepcion]]="","",TEXT(SCTR_Brokers[[#This Row],[FechaRecepcion]],"mmmm")&amp;" "&amp;YEAR(SCTR_Brokers[[#This Row],[FechaRecepcion]]))</f>
        <v>agosto 2026</v>
      </c>
      <c r="U128">
        <f>IF(SCTR_Brokers[[#This Row],[Estado]]="FINALIZADO",1,0)</f>
        <v>1</v>
      </c>
      <c r="V128">
        <f>IF(SCTR_Brokers[[#This Row],[FechaRecepcion]]="","",IF(SCTR_Brokers[[#This Row],[Estado]]="FINALIZADO",0,1))</f>
        <v>0</v>
      </c>
      <c r="W128">
        <f ca="1">IF(AND(SCTR_Brokers[[#This Row],[Estado]]="FINALIZADO",SCTR_Brokers[[#This Row],[Plazo]]=LISTAS!$J$3),1,0)</f>
        <v>0</v>
      </c>
      <c r="X128">
        <f ca="1">IF(AND(SCTR_Brokers[[#This Row],[Estado]]="FINALIZADO",SCTR_Brokers[[#This Row],[Plazo]]=LISTAS!$J$4),1,0)</f>
        <v>1</v>
      </c>
      <c r="Y128">
        <f ca="1">IF(AND(SCTR_Brokers[[#This Row],[Estado]]&lt;&gt;"FINALIZADO",SCTR_Brokers[[#This Row],[Plazo]]=LISTAS!$J$4),1,0)</f>
        <v>0</v>
      </c>
      <c r="Z128">
        <f>IF(SCTR_Brokers[[#This Row],[Fecha_Solic_Informe]]="",0,1)</f>
        <v>0</v>
      </c>
      <c r="AA128">
        <f>IF(SCTR_Brokers[[#This Row],[Fecha_Informe]]="",0,1)</f>
        <v>0</v>
      </c>
      <c r="AB128">
        <f>IF(AND(SCTR_Brokers[[#This Row],[Fecha_Solic_Informe]]&lt;&gt;"",SCTR_Brokers[[#This Row],[Fecha_Informe]]=""),1,0)</f>
        <v>0</v>
      </c>
      <c r="AC12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29" spans="1:29" hidden="1">
      <c r="A129" t="s">
        <v>334</v>
      </c>
      <c r="C129" t="str">
        <f>IF(SCTR_Brokers[[#This Row],[FechaRecepcion]]="","",SCTR_Brokers[[#This Row],[ConversationId]]&amp;"-"&amp;TEXT(SCTR_Brokers[[#This Row],[FechaRecepcion]],"aaaammddhhmmss"))</f>
        <v>AAQkADdkNThjNzFkLWM0ZmMtNDJhYS04MDVlLTIwNzE4ZDI1Mzg4YgAQAAy4wuSx1U-VoXvQcGpAcvo=-20260827094104</v>
      </c>
      <c r="D129" t="s">
        <v>335</v>
      </c>
      <c r="E129" t="s">
        <v>20</v>
      </c>
      <c r="F129" s="3">
        <v>46261.40351851852</v>
      </c>
      <c r="G129" s="3">
        <v>46261.445</v>
      </c>
      <c r="H129" t="s">
        <v>70</v>
      </c>
      <c r="I129" t="s">
        <v>7</v>
      </c>
      <c r="K129" t="s">
        <v>67</v>
      </c>
      <c r="L129" s="10"/>
      <c r="N12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29" s="3"/>
      <c r="P129" s="3"/>
      <c r="Q129" s="3">
        <v>46261.445</v>
      </c>
      <c r="R12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29" t="str">
        <f>IF(SCTR_Brokers[[#This Row],[FechaRecepcion]]="","",TEXT(SCTR_Brokers[[#This Row],[FechaRecepcion]],"mmmm")&amp;" "&amp;YEAR(SCTR_Brokers[[#This Row],[FechaRecepcion]]))</f>
        <v>agosto 2026</v>
      </c>
      <c r="U129">
        <f>IF(SCTR_Brokers[[#This Row],[Estado]]="FINALIZADO",1,0)</f>
        <v>1</v>
      </c>
      <c r="V129">
        <f>IF(SCTR_Brokers[[#This Row],[FechaRecepcion]]="","",IF(SCTR_Brokers[[#This Row],[Estado]]="FINALIZADO",0,1))</f>
        <v>0</v>
      </c>
      <c r="W129">
        <f ca="1">IF(AND(SCTR_Brokers[[#This Row],[Estado]]="FINALIZADO",SCTR_Brokers[[#This Row],[Plazo]]=LISTAS!$J$3),1,0)</f>
        <v>1</v>
      </c>
      <c r="X129">
        <f ca="1">IF(AND(SCTR_Brokers[[#This Row],[Estado]]="FINALIZADO",SCTR_Brokers[[#This Row],[Plazo]]=LISTAS!$J$4),1,0)</f>
        <v>0</v>
      </c>
      <c r="Y129">
        <f ca="1">IF(AND(SCTR_Brokers[[#This Row],[Estado]]&lt;&gt;"FINALIZADO",SCTR_Brokers[[#This Row],[Plazo]]=LISTAS!$J$4),1,0)</f>
        <v>0</v>
      </c>
      <c r="Z129">
        <f>IF(SCTR_Brokers[[#This Row],[Fecha_Solic_Informe]]="",0,1)</f>
        <v>0</v>
      </c>
      <c r="AA129">
        <f>IF(SCTR_Brokers[[#This Row],[Fecha_Informe]]="",0,1)</f>
        <v>0</v>
      </c>
      <c r="AB129">
        <f>IF(AND(SCTR_Brokers[[#This Row],[Fecha_Solic_Informe]]&lt;&gt;"",SCTR_Brokers[[#This Row],[Fecha_Informe]]=""),1,0)</f>
        <v>0</v>
      </c>
      <c r="AC12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30" spans="1:29" hidden="1">
      <c r="A130" t="s">
        <v>290</v>
      </c>
      <c r="C130" t="str">
        <f>IF(SCTR_Brokers[[#This Row],[FechaRecepcion]]="","",SCTR_Brokers[[#This Row],[ConversationId]]&amp;"-"&amp;TEXT(SCTR_Brokers[[#This Row],[FechaRecepcion]],"aaaammddhhmmss"))</f>
        <v>AAQkADdkNThjNzFkLWM0ZmMtNDJhYS04MDVlLTIwNzE4ZDI1Mzg4YgAQAEbTQReuW042kCg9PSeh_fA=-20260827094710</v>
      </c>
      <c r="D130" t="s">
        <v>291</v>
      </c>
      <c r="E130" t="s">
        <v>21</v>
      </c>
      <c r="F130" s="3">
        <v>46261.407754629632</v>
      </c>
      <c r="G130" s="3">
        <v>46261.414849537039</v>
      </c>
      <c r="H130" t="s">
        <v>341</v>
      </c>
      <c r="I130" t="s">
        <v>7</v>
      </c>
      <c r="K130" t="s">
        <v>67</v>
      </c>
      <c r="L130" s="10"/>
      <c r="N13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30" s="3"/>
      <c r="P130" s="3"/>
      <c r="Q130" s="3">
        <v>46261.414849537039</v>
      </c>
      <c r="R13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30" t="str">
        <f>IF(SCTR_Brokers[[#This Row],[FechaRecepcion]]="","",TEXT(SCTR_Brokers[[#This Row],[FechaRecepcion]],"mmmm")&amp;" "&amp;YEAR(SCTR_Brokers[[#This Row],[FechaRecepcion]]))</f>
        <v>agosto 2026</v>
      </c>
      <c r="U130">
        <f>IF(SCTR_Brokers[[#This Row],[Estado]]="FINALIZADO",1,0)</f>
        <v>1</v>
      </c>
      <c r="V130">
        <f>IF(SCTR_Brokers[[#This Row],[FechaRecepcion]]="","",IF(SCTR_Brokers[[#This Row],[Estado]]="FINALIZADO",0,1))</f>
        <v>0</v>
      </c>
      <c r="W130">
        <f ca="1">IF(AND(SCTR_Brokers[[#This Row],[Estado]]="FINALIZADO",SCTR_Brokers[[#This Row],[Plazo]]=LISTAS!$J$3),1,0)</f>
        <v>1</v>
      </c>
      <c r="X130">
        <f ca="1">IF(AND(SCTR_Brokers[[#This Row],[Estado]]="FINALIZADO",SCTR_Brokers[[#This Row],[Plazo]]=LISTAS!$J$4),1,0)</f>
        <v>0</v>
      </c>
      <c r="Y130">
        <f ca="1">IF(AND(SCTR_Brokers[[#This Row],[Estado]]&lt;&gt;"FINALIZADO",SCTR_Brokers[[#This Row],[Plazo]]=LISTAS!$J$4),1,0)</f>
        <v>0</v>
      </c>
      <c r="Z130">
        <f>IF(SCTR_Brokers[[#This Row],[Fecha_Solic_Informe]]="",0,1)</f>
        <v>0</v>
      </c>
      <c r="AA130">
        <f>IF(SCTR_Brokers[[#This Row],[Fecha_Informe]]="",0,1)</f>
        <v>0</v>
      </c>
      <c r="AB130">
        <f>IF(AND(SCTR_Brokers[[#This Row],[Fecha_Solic_Informe]]&lt;&gt;"",SCTR_Brokers[[#This Row],[Fecha_Informe]]=""),1,0)</f>
        <v>0</v>
      </c>
      <c r="AC13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31" spans="1:29" hidden="1">
      <c r="A131" t="s">
        <v>306</v>
      </c>
      <c r="C131" t="str">
        <f>IF(SCTR_Brokers[[#This Row],[FechaRecepcion]]="","",SCTR_Brokers[[#This Row],[ConversationId]]&amp;"-"&amp;TEXT(SCTR_Brokers[[#This Row],[FechaRecepcion]],"aaaammddhhmmss"))</f>
        <v>AAQkADdkNThjNzFkLWM0ZmMtNDJhYS04MDVlLTIwNzE4ZDI1Mzg4YgAQALFXDXFuzwlEoeXFQqim_BU=-20260827103629</v>
      </c>
      <c r="D131" t="s">
        <v>314</v>
      </c>
      <c r="E131" t="s">
        <v>21</v>
      </c>
      <c r="F131" s="3">
        <v>46261.442002314812</v>
      </c>
      <c r="G131" s="3">
        <v>46261.44667824074</v>
      </c>
      <c r="H131" t="s">
        <v>70</v>
      </c>
      <c r="I131" t="s">
        <v>7</v>
      </c>
      <c r="K131" t="s">
        <v>67</v>
      </c>
      <c r="L131" s="10"/>
      <c r="N13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31" s="3"/>
      <c r="P131" s="3"/>
      <c r="Q131" s="3">
        <v>46261.44667824074</v>
      </c>
      <c r="R13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31" t="str">
        <f>IF(SCTR_Brokers[[#This Row],[FechaRecepcion]]="","",TEXT(SCTR_Brokers[[#This Row],[FechaRecepcion]],"mmmm")&amp;" "&amp;YEAR(SCTR_Brokers[[#This Row],[FechaRecepcion]]))</f>
        <v>agosto 2026</v>
      </c>
      <c r="U131">
        <f>IF(SCTR_Brokers[[#This Row],[Estado]]="FINALIZADO",1,0)</f>
        <v>1</v>
      </c>
      <c r="V131">
        <f>IF(SCTR_Brokers[[#This Row],[FechaRecepcion]]="","",IF(SCTR_Brokers[[#This Row],[Estado]]="FINALIZADO",0,1))</f>
        <v>0</v>
      </c>
      <c r="W131">
        <f ca="1">IF(AND(SCTR_Brokers[[#This Row],[Estado]]="FINALIZADO",SCTR_Brokers[[#This Row],[Plazo]]=LISTAS!$J$3),1,0)</f>
        <v>1</v>
      </c>
      <c r="X131">
        <f ca="1">IF(AND(SCTR_Brokers[[#This Row],[Estado]]="FINALIZADO",SCTR_Brokers[[#This Row],[Plazo]]=LISTAS!$J$4),1,0)</f>
        <v>0</v>
      </c>
      <c r="Y131">
        <f ca="1">IF(AND(SCTR_Brokers[[#This Row],[Estado]]&lt;&gt;"FINALIZADO",SCTR_Brokers[[#This Row],[Plazo]]=LISTAS!$J$4),1,0)</f>
        <v>0</v>
      </c>
      <c r="Z131">
        <f>IF(SCTR_Brokers[[#This Row],[Fecha_Solic_Informe]]="",0,1)</f>
        <v>0</v>
      </c>
      <c r="AA131">
        <f>IF(SCTR_Brokers[[#This Row],[Fecha_Informe]]="",0,1)</f>
        <v>0</v>
      </c>
      <c r="AB131">
        <f>IF(AND(SCTR_Brokers[[#This Row],[Fecha_Solic_Informe]]&lt;&gt;"",SCTR_Brokers[[#This Row],[Fecha_Informe]]=""),1,0)</f>
        <v>0</v>
      </c>
      <c r="AC13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32" spans="1:29" hidden="1">
      <c r="A132" t="s">
        <v>342</v>
      </c>
      <c r="C132" t="str">
        <f>IF(SCTR_Brokers[[#This Row],[FechaRecepcion]]="","",SCTR_Brokers[[#This Row],[ConversationId]]&amp;"-"&amp;TEXT(SCTR_Brokers[[#This Row],[FechaRecepcion]],"aaaammddhhmmss"))</f>
        <v>AAQkADdkNThjNzFkLWM0ZmMtNDJhYS04MDVlLTIwNzE4ZDI1Mzg4YgAQAK9haL18fkdZk0QWGJn4y3Q=-20260827104942</v>
      </c>
      <c r="D132" t="s">
        <v>343</v>
      </c>
      <c r="E132" t="s">
        <v>21</v>
      </c>
      <c r="F132" s="3">
        <v>46261.451180555552</v>
      </c>
      <c r="G132" s="3">
        <v>46261.525196759256</v>
      </c>
      <c r="H132" t="s">
        <v>70</v>
      </c>
      <c r="I132" t="s">
        <v>7</v>
      </c>
      <c r="J132" s="10" t="s">
        <v>344</v>
      </c>
      <c r="K132" t="s">
        <v>67</v>
      </c>
      <c r="L132" s="10" t="s">
        <v>345</v>
      </c>
      <c r="M132" t="s">
        <v>16</v>
      </c>
      <c r="N13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32" s="3">
        <v>46261.479363425926</v>
      </c>
      <c r="P132" s="3">
        <v>46261.488900462966</v>
      </c>
      <c r="Q132" s="3">
        <v>46261.525196759256</v>
      </c>
      <c r="R13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32" t="str">
        <f>IF(SCTR_Brokers[[#This Row],[FechaRecepcion]]="","",TEXT(SCTR_Brokers[[#This Row],[FechaRecepcion]],"mmmm")&amp;" "&amp;YEAR(SCTR_Brokers[[#This Row],[FechaRecepcion]]))</f>
        <v>agosto 2026</v>
      </c>
      <c r="U132">
        <f>IF(SCTR_Brokers[[#This Row],[Estado]]="FINALIZADO",1,0)</f>
        <v>1</v>
      </c>
      <c r="V132">
        <f>IF(SCTR_Brokers[[#This Row],[FechaRecepcion]]="","",IF(SCTR_Brokers[[#This Row],[Estado]]="FINALIZADO",0,1))</f>
        <v>0</v>
      </c>
      <c r="W132">
        <f ca="1">IF(AND(SCTR_Brokers[[#This Row],[Estado]]="FINALIZADO",SCTR_Brokers[[#This Row],[Plazo]]=LISTAS!$J$3),1,0)</f>
        <v>1</v>
      </c>
      <c r="X132">
        <f ca="1">IF(AND(SCTR_Brokers[[#This Row],[Estado]]="FINALIZADO",SCTR_Brokers[[#This Row],[Plazo]]=LISTAS!$J$4),1,0)</f>
        <v>0</v>
      </c>
      <c r="Y132">
        <f ca="1">IF(AND(SCTR_Brokers[[#This Row],[Estado]]&lt;&gt;"FINALIZADO",SCTR_Brokers[[#This Row],[Plazo]]=LISTAS!$J$4),1,0)</f>
        <v>0</v>
      </c>
      <c r="Z132">
        <f>IF(SCTR_Brokers[[#This Row],[Fecha_Solic_Informe]]="",0,1)</f>
        <v>1</v>
      </c>
      <c r="AA132">
        <f>IF(SCTR_Brokers[[#This Row],[Fecha_Informe]]="",0,1)</f>
        <v>1</v>
      </c>
      <c r="AB132">
        <f>IF(AND(SCTR_Brokers[[#This Row],[Fecha_Solic_Informe]]&lt;&gt;"",SCTR_Brokers[[#This Row],[Fecha_Informe]]=""),1,0)</f>
        <v>0</v>
      </c>
      <c r="AC132">
        <f>IF(AND(SCTR_Brokers[[#This Row],[Fecha_Solic_Informe]]&lt;&gt;"",SCTR_Brokers[[#This Row],[Fecha_Informe]]&lt;&gt;""),ROUND((SCTR_Brokers[[#This Row],[Fecha_Informe]]-SCTR_Brokers[[#This Row],[Fecha_Solic_Informe]])*24,1),"")</f>
        <v>0.2</v>
      </c>
    </row>
    <row r="133" spans="1:29" hidden="1">
      <c r="A133" t="s">
        <v>346</v>
      </c>
      <c r="C133" t="str">
        <f>IF(SCTR_Brokers[[#This Row],[FechaRecepcion]]="","",SCTR_Brokers[[#This Row],[ConversationId]]&amp;"-"&amp;TEXT(SCTR_Brokers[[#This Row],[FechaRecepcion]],"aaaammddhhmmss"))</f>
        <v>AAQkADdkNThjNzFkLWM0ZmMtNDJhYS04MDVlLTIwNzE4ZDI1Mzg4YgAQAOSH2vOvyadHoOn0pZvTs9s=-20260827105805</v>
      </c>
      <c r="D133" t="s">
        <v>347</v>
      </c>
      <c r="E133" t="s">
        <v>21</v>
      </c>
      <c r="F133" s="3">
        <v>46261.457002314812</v>
      </c>
      <c r="G133" s="3">
        <v>46261.483240740738</v>
      </c>
      <c r="H133" t="s">
        <v>348</v>
      </c>
      <c r="I133" t="s">
        <v>7</v>
      </c>
      <c r="K133" t="s">
        <v>67</v>
      </c>
      <c r="L133" s="10"/>
      <c r="N13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33" s="3"/>
      <c r="P133" s="3"/>
      <c r="Q133" s="3">
        <v>46261.483113425929</v>
      </c>
      <c r="R13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33" t="str">
        <f>IF(SCTR_Brokers[[#This Row],[FechaRecepcion]]="","",TEXT(SCTR_Brokers[[#This Row],[FechaRecepcion]],"mmmm")&amp;" "&amp;YEAR(SCTR_Brokers[[#This Row],[FechaRecepcion]]))</f>
        <v>agosto 2026</v>
      </c>
      <c r="U133">
        <f>IF(SCTR_Brokers[[#This Row],[Estado]]="FINALIZADO",1,0)</f>
        <v>1</v>
      </c>
      <c r="V133">
        <f>IF(SCTR_Brokers[[#This Row],[FechaRecepcion]]="","",IF(SCTR_Brokers[[#This Row],[Estado]]="FINALIZADO",0,1))</f>
        <v>0</v>
      </c>
      <c r="W133">
        <f ca="1">IF(AND(SCTR_Brokers[[#This Row],[Estado]]="FINALIZADO",SCTR_Brokers[[#This Row],[Plazo]]=LISTAS!$J$3),1,0)</f>
        <v>1</v>
      </c>
      <c r="X133">
        <f ca="1">IF(AND(SCTR_Brokers[[#This Row],[Estado]]="FINALIZADO",SCTR_Brokers[[#This Row],[Plazo]]=LISTAS!$J$4),1,0)</f>
        <v>0</v>
      </c>
      <c r="Y133">
        <f ca="1">IF(AND(SCTR_Brokers[[#This Row],[Estado]]&lt;&gt;"FINALIZADO",SCTR_Brokers[[#This Row],[Plazo]]=LISTAS!$J$4),1,0)</f>
        <v>0</v>
      </c>
      <c r="Z133">
        <f>IF(SCTR_Brokers[[#This Row],[Fecha_Solic_Informe]]="",0,1)</f>
        <v>0</v>
      </c>
      <c r="AA133">
        <f>IF(SCTR_Brokers[[#This Row],[Fecha_Informe]]="",0,1)</f>
        <v>0</v>
      </c>
      <c r="AB133">
        <f>IF(AND(SCTR_Brokers[[#This Row],[Fecha_Solic_Informe]]&lt;&gt;"",SCTR_Brokers[[#This Row],[Fecha_Informe]]=""),1,0)</f>
        <v>0</v>
      </c>
      <c r="AC13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34" spans="1:29" hidden="1">
      <c r="A134" t="s">
        <v>349</v>
      </c>
      <c r="C134" t="str">
        <f>IF(SCTR_Brokers[[#This Row],[FechaRecepcion]]="","",SCTR_Brokers[[#This Row],[ConversationId]]&amp;"-"&amp;TEXT(SCTR_Brokers[[#This Row],[FechaRecepcion]],"aaaammddhhmmss"))</f>
        <v>AAQkADdkNThjNzFkLWM0ZmMtNDJhYS04MDVlLTIwNzE4ZDI1Mzg4YgAQAEDgKCXAvFZGnf2tGzURE04=-20260827120813</v>
      </c>
      <c r="D134" t="s">
        <v>350</v>
      </c>
      <c r="E134" t="s">
        <v>23</v>
      </c>
      <c r="F134" s="3">
        <v>46261.505706018521</v>
      </c>
      <c r="G134" s="3">
        <v>46261.526828703703</v>
      </c>
      <c r="H134" t="s">
        <v>70</v>
      </c>
      <c r="I134" t="s">
        <v>7</v>
      </c>
      <c r="K134" t="s">
        <v>138</v>
      </c>
      <c r="L134" s="10" t="s">
        <v>351</v>
      </c>
      <c r="N13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34" s="3"/>
      <c r="P134" s="3"/>
      <c r="Q134" s="3">
        <v>46261.526828703703</v>
      </c>
      <c r="R13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34" t="str">
        <f>IF(SCTR_Brokers[[#This Row],[FechaRecepcion]]="","",TEXT(SCTR_Brokers[[#This Row],[FechaRecepcion]],"mmmm")&amp;" "&amp;YEAR(SCTR_Brokers[[#This Row],[FechaRecepcion]]))</f>
        <v>agosto 2026</v>
      </c>
      <c r="U134">
        <f>IF(SCTR_Brokers[[#This Row],[Estado]]="FINALIZADO",1,0)</f>
        <v>1</v>
      </c>
      <c r="V134">
        <f>IF(SCTR_Brokers[[#This Row],[FechaRecepcion]]="","",IF(SCTR_Brokers[[#This Row],[Estado]]="FINALIZADO",0,1))</f>
        <v>0</v>
      </c>
      <c r="W134">
        <f ca="1">IF(AND(SCTR_Brokers[[#This Row],[Estado]]="FINALIZADO",SCTR_Brokers[[#This Row],[Plazo]]=LISTAS!$J$3),1,0)</f>
        <v>1</v>
      </c>
      <c r="X134">
        <f ca="1">IF(AND(SCTR_Brokers[[#This Row],[Estado]]="FINALIZADO",SCTR_Brokers[[#This Row],[Plazo]]=LISTAS!$J$4),1,0)</f>
        <v>0</v>
      </c>
      <c r="Y134">
        <f ca="1">IF(AND(SCTR_Brokers[[#This Row],[Estado]]&lt;&gt;"FINALIZADO",SCTR_Brokers[[#This Row],[Plazo]]=LISTAS!$J$4),1,0)</f>
        <v>0</v>
      </c>
      <c r="Z134">
        <f>IF(SCTR_Brokers[[#This Row],[Fecha_Solic_Informe]]="",0,1)</f>
        <v>0</v>
      </c>
      <c r="AA134">
        <f>IF(SCTR_Brokers[[#This Row],[Fecha_Informe]]="",0,1)</f>
        <v>0</v>
      </c>
      <c r="AB134">
        <f>IF(AND(SCTR_Brokers[[#This Row],[Fecha_Solic_Informe]]&lt;&gt;"",SCTR_Brokers[[#This Row],[Fecha_Informe]]=""),1,0)</f>
        <v>0</v>
      </c>
      <c r="AC13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35" spans="1:29" hidden="1">
      <c r="A135" t="s">
        <v>352</v>
      </c>
      <c r="C135" t="str">
        <f>IF(SCTR_Brokers[[#This Row],[FechaRecepcion]]="","",SCTR_Brokers[[#This Row],[ConversationId]]&amp;"-"&amp;TEXT(SCTR_Brokers[[#This Row],[FechaRecepcion]],"aaaammddhhmmss"))</f>
        <v>AAQkADdkNThjNzFkLWM0ZmMtNDJhYS04MDVlLTIwNzE4ZDI1Mzg4YgAQAOtyKMPyZxNNqoE5Qp3I920=-20260827121623</v>
      </c>
      <c r="D135" t="s">
        <v>353</v>
      </c>
      <c r="E135" t="s">
        <v>21</v>
      </c>
      <c r="F135" s="3">
        <v>46261.511377314811</v>
      </c>
      <c r="G135" s="3">
        <v>46261.527951388889</v>
      </c>
      <c r="H135" t="s">
        <v>70</v>
      </c>
      <c r="I135" t="s">
        <v>7</v>
      </c>
      <c r="K135" t="s">
        <v>67</v>
      </c>
      <c r="L135" s="10"/>
      <c r="N13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35" s="3"/>
      <c r="P135" s="3"/>
      <c r="Q135" s="3">
        <v>46261.527951388889</v>
      </c>
      <c r="R13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35" t="str">
        <f>IF(SCTR_Brokers[[#This Row],[FechaRecepcion]]="","",TEXT(SCTR_Brokers[[#This Row],[FechaRecepcion]],"mmmm")&amp;" "&amp;YEAR(SCTR_Brokers[[#This Row],[FechaRecepcion]]))</f>
        <v>agosto 2026</v>
      </c>
      <c r="U135">
        <f>IF(SCTR_Brokers[[#This Row],[Estado]]="FINALIZADO",1,0)</f>
        <v>1</v>
      </c>
      <c r="V135">
        <f>IF(SCTR_Brokers[[#This Row],[FechaRecepcion]]="","",IF(SCTR_Brokers[[#This Row],[Estado]]="FINALIZADO",0,1))</f>
        <v>0</v>
      </c>
      <c r="W135">
        <f ca="1">IF(AND(SCTR_Brokers[[#This Row],[Estado]]="FINALIZADO",SCTR_Brokers[[#This Row],[Plazo]]=LISTAS!$J$3),1,0)</f>
        <v>1</v>
      </c>
      <c r="X135">
        <f ca="1">IF(AND(SCTR_Brokers[[#This Row],[Estado]]="FINALIZADO",SCTR_Brokers[[#This Row],[Plazo]]=LISTAS!$J$4),1,0)</f>
        <v>0</v>
      </c>
      <c r="Y135">
        <f ca="1">IF(AND(SCTR_Brokers[[#This Row],[Estado]]&lt;&gt;"FINALIZADO",SCTR_Brokers[[#This Row],[Plazo]]=LISTAS!$J$4),1,0)</f>
        <v>0</v>
      </c>
      <c r="Z135">
        <f>IF(SCTR_Brokers[[#This Row],[Fecha_Solic_Informe]]="",0,1)</f>
        <v>0</v>
      </c>
      <c r="AA135">
        <f>IF(SCTR_Brokers[[#This Row],[Fecha_Informe]]="",0,1)</f>
        <v>0</v>
      </c>
      <c r="AB135">
        <f>IF(AND(SCTR_Brokers[[#This Row],[Fecha_Solic_Informe]]&lt;&gt;"",SCTR_Brokers[[#This Row],[Fecha_Informe]]=""),1,0)</f>
        <v>0</v>
      </c>
      <c r="AC13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36" spans="1:29" hidden="1">
      <c r="A136" t="s">
        <v>354</v>
      </c>
      <c r="C136" t="str">
        <f>IF(SCTR_Brokers[[#This Row],[FechaRecepcion]]="","",SCTR_Brokers[[#This Row],[ConversationId]]&amp;"-"&amp;TEXT(SCTR_Brokers[[#This Row],[FechaRecepcion]],"aaaammddhhmmss"))</f>
        <v>AAQkADdkNThjNzFkLWM0ZmMtNDJhYS04MDVlLTIwNzE4ZDI1Mzg4YgAQAEnsaOyJb-FIrc1qklb8cg4=-20260827135454</v>
      </c>
      <c r="D136" t="s">
        <v>355</v>
      </c>
      <c r="E136" t="s">
        <v>20</v>
      </c>
      <c r="F136" s="3">
        <v>46261.579791666663</v>
      </c>
      <c r="G136" s="3">
        <v>46261.579791666663</v>
      </c>
      <c r="H136" t="s">
        <v>338</v>
      </c>
      <c r="I136" t="s">
        <v>7</v>
      </c>
      <c r="K136" t="s">
        <v>67</v>
      </c>
      <c r="L136" s="10"/>
      <c r="N13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36" s="3"/>
      <c r="P136" s="3"/>
      <c r="Q136" s="3">
        <v>46261.579791666663</v>
      </c>
      <c r="R13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36" t="str">
        <f>IF(SCTR_Brokers[[#This Row],[FechaRecepcion]]="","",TEXT(SCTR_Brokers[[#This Row],[FechaRecepcion]],"mmmm")&amp;" "&amp;YEAR(SCTR_Brokers[[#This Row],[FechaRecepcion]]))</f>
        <v>agosto 2026</v>
      </c>
      <c r="U136">
        <f>IF(SCTR_Brokers[[#This Row],[Estado]]="FINALIZADO",1,0)</f>
        <v>1</v>
      </c>
      <c r="V136">
        <f>IF(SCTR_Brokers[[#This Row],[FechaRecepcion]]="","",IF(SCTR_Brokers[[#This Row],[Estado]]="FINALIZADO",0,1))</f>
        <v>0</v>
      </c>
      <c r="W136">
        <f ca="1">IF(AND(SCTR_Brokers[[#This Row],[Estado]]="FINALIZADO",SCTR_Brokers[[#This Row],[Plazo]]=LISTAS!$J$3),1,0)</f>
        <v>1</v>
      </c>
      <c r="X136">
        <f ca="1">IF(AND(SCTR_Brokers[[#This Row],[Estado]]="FINALIZADO",SCTR_Brokers[[#This Row],[Plazo]]=LISTAS!$J$4),1,0)</f>
        <v>0</v>
      </c>
      <c r="Y136">
        <f ca="1">IF(AND(SCTR_Brokers[[#This Row],[Estado]]&lt;&gt;"FINALIZADO",SCTR_Brokers[[#This Row],[Plazo]]=LISTAS!$J$4),1,0)</f>
        <v>0</v>
      </c>
      <c r="Z136">
        <f>IF(SCTR_Brokers[[#This Row],[Fecha_Solic_Informe]]="",0,1)</f>
        <v>0</v>
      </c>
      <c r="AA136">
        <f>IF(SCTR_Brokers[[#This Row],[Fecha_Informe]]="",0,1)</f>
        <v>0</v>
      </c>
      <c r="AB136">
        <f>IF(AND(SCTR_Brokers[[#This Row],[Fecha_Solic_Informe]]&lt;&gt;"",SCTR_Brokers[[#This Row],[Fecha_Informe]]=""),1,0)</f>
        <v>0</v>
      </c>
      <c r="AC13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37" spans="1:29" hidden="1">
      <c r="A137" t="s">
        <v>334</v>
      </c>
      <c r="C137" t="str">
        <f>IF(SCTR_Brokers[[#This Row],[FechaRecepcion]]="","",SCTR_Brokers[[#This Row],[ConversationId]]&amp;"-"&amp;TEXT(SCTR_Brokers[[#This Row],[FechaRecepcion]],"aaaammddhhmmss"))</f>
        <v>AAQkADdkNThjNzFkLWM0ZmMtNDJhYS04MDVlLTIwNzE4ZDI1Mzg4YgAQAAy4wuSx1U-VoXvQcGpAcvo=-20260827140256</v>
      </c>
      <c r="D137" t="s">
        <v>335</v>
      </c>
      <c r="E137" t="s">
        <v>20</v>
      </c>
      <c r="F137" s="3">
        <v>46261.585370370369</v>
      </c>
      <c r="G137" s="3">
        <v>46261.63008101852</v>
      </c>
      <c r="H137" t="s">
        <v>356</v>
      </c>
      <c r="I137" t="s">
        <v>7</v>
      </c>
      <c r="K137" t="s">
        <v>67</v>
      </c>
      <c r="L137" s="10"/>
      <c r="N13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37" s="3"/>
      <c r="P137" s="3"/>
      <c r="Q137" s="3">
        <v>46261.63008101852</v>
      </c>
      <c r="R13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37" t="str">
        <f>IF(SCTR_Brokers[[#This Row],[FechaRecepcion]]="","",TEXT(SCTR_Brokers[[#This Row],[FechaRecepcion]],"mmmm")&amp;" "&amp;YEAR(SCTR_Brokers[[#This Row],[FechaRecepcion]]))</f>
        <v>agosto 2026</v>
      </c>
      <c r="U137">
        <f>IF(SCTR_Brokers[[#This Row],[Estado]]="FINALIZADO",1,0)</f>
        <v>1</v>
      </c>
      <c r="V137">
        <f>IF(SCTR_Brokers[[#This Row],[FechaRecepcion]]="","",IF(SCTR_Brokers[[#This Row],[Estado]]="FINALIZADO",0,1))</f>
        <v>0</v>
      </c>
      <c r="W137">
        <f ca="1">IF(AND(SCTR_Brokers[[#This Row],[Estado]]="FINALIZADO",SCTR_Brokers[[#This Row],[Plazo]]=LISTAS!$J$3),1,0)</f>
        <v>1</v>
      </c>
      <c r="X137">
        <f ca="1">IF(AND(SCTR_Brokers[[#This Row],[Estado]]="FINALIZADO",SCTR_Brokers[[#This Row],[Plazo]]=LISTAS!$J$4),1,0)</f>
        <v>0</v>
      </c>
      <c r="Y137">
        <f ca="1">IF(AND(SCTR_Brokers[[#This Row],[Estado]]&lt;&gt;"FINALIZADO",SCTR_Brokers[[#This Row],[Plazo]]=LISTAS!$J$4),1,0)</f>
        <v>0</v>
      </c>
      <c r="Z137">
        <f>IF(SCTR_Brokers[[#This Row],[Fecha_Solic_Informe]]="",0,1)</f>
        <v>0</v>
      </c>
      <c r="AA137">
        <f>IF(SCTR_Brokers[[#This Row],[Fecha_Informe]]="",0,1)</f>
        <v>0</v>
      </c>
      <c r="AB137">
        <f>IF(AND(SCTR_Brokers[[#This Row],[Fecha_Solic_Informe]]&lt;&gt;"",SCTR_Brokers[[#This Row],[Fecha_Informe]]=""),1,0)</f>
        <v>0</v>
      </c>
      <c r="AC13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38" spans="1:29" hidden="1">
      <c r="A138" t="s">
        <v>357</v>
      </c>
      <c r="C138" t="str">
        <f>IF(SCTR_Brokers[[#This Row],[FechaRecepcion]]="","",SCTR_Brokers[[#This Row],[ConversationId]]&amp;"-"&amp;TEXT(SCTR_Brokers[[#This Row],[FechaRecepcion]],"aaaammddhhmmss"))</f>
        <v>AAQkADdkNThjNzFkLWM0ZmMtNDJhYS04MDVlLTIwNzE4ZDI1Mzg4YgAQAI_Dv6ioN_dEgXW6VYEpjCI=-20260827142425</v>
      </c>
      <c r="D138" t="s">
        <v>358</v>
      </c>
      <c r="E138" t="s">
        <v>14</v>
      </c>
      <c r="F138" s="3">
        <v>46261.600289351853</v>
      </c>
      <c r="G138" s="3">
        <v>46261.642731481479</v>
      </c>
      <c r="H138" t="s">
        <v>70</v>
      </c>
      <c r="I138" t="s">
        <v>7</v>
      </c>
      <c r="K138" t="s">
        <v>67</v>
      </c>
      <c r="L138" s="10"/>
      <c r="N13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38" s="3"/>
      <c r="P138" s="3"/>
      <c r="Q138" s="3">
        <v>46261.642731481479</v>
      </c>
      <c r="R13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38" t="str">
        <f>IF(SCTR_Brokers[[#This Row],[FechaRecepcion]]="","",TEXT(SCTR_Brokers[[#This Row],[FechaRecepcion]],"mmmm")&amp;" "&amp;YEAR(SCTR_Brokers[[#This Row],[FechaRecepcion]]))</f>
        <v>agosto 2026</v>
      </c>
      <c r="U138">
        <f>IF(SCTR_Brokers[[#This Row],[Estado]]="FINALIZADO",1,0)</f>
        <v>1</v>
      </c>
      <c r="V138">
        <f>IF(SCTR_Brokers[[#This Row],[FechaRecepcion]]="","",IF(SCTR_Brokers[[#This Row],[Estado]]="FINALIZADO",0,1))</f>
        <v>0</v>
      </c>
      <c r="W138">
        <f ca="1">IF(AND(SCTR_Brokers[[#This Row],[Estado]]="FINALIZADO",SCTR_Brokers[[#This Row],[Plazo]]=LISTAS!$J$3),1,0)</f>
        <v>1</v>
      </c>
      <c r="X138">
        <f ca="1">IF(AND(SCTR_Brokers[[#This Row],[Estado]]="FINALIZADO",SCTR_Brokers[[#This Row],[Plazo]]=LISTAS!$J$4),1,0)</f>
        <v>0</v>
      </c>
      <c r="Y138">
        <f ca="1">IF(AND(SCTR_Brokers[[#This Row],[Estado]]&lt;&gt;"FINALIZADO",SCTR_Brokers[[#This Row],[Plazo]]=LISTAS!$J$4),1,0)</f>
        <v>0</v>
      </c>
      <c r="Z138">
        <f>IF(SCTR_Brokers[[#This Row],[Fecha_Solic_Informe]]="",0,1)</f>
        <v>0</v>
      </c>
      <c r="AA138">
        <f>IF(SCTR_Brokers[[#This Row],[Fecha_Informe]]="",0,1)</f>
        <v>0</v>
      </c>
      <c r="AB138">
        <f>IF(AND(SCTR_Brokers[[#This Row],[Fecha_Solic_Informe]]&lt;&gt;"",SCTR_Brokers[[#This Row],[Fecha_Informe]]=""),1,0)</f>
        <v>0</v>
      </c>
      <c r="AC13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39" spans="1:29" hidden="1">
      <c r="A139" t="s">
        <v>359</v>
      </c>
      <c r="C139" t="str">
        <f>IF(SCTR_Brokers[[#This Row],[FechaRecepcion]]="","",SCTR_Brokers[[#This Row],[ConversationId]]&amp;"-"&amp;TEXT(SCTR_Brokers[[#This Row],[FechaRecepcion]],"aaaammddhhmmss"))</f>
        <v>AAQkADdkNThjNzFkLWM0ZmMtNDJhYS04MDVlLTIwNzE4ZDI1Mzg4YgAQAAiyxkAUMAhAgDzz4OlHvHI=-20260827161352</v>
      </c>
      <c r="D139" t="s">
        <v>360</v>
      </c>
      <c r="E139" t="s">
        <v>14</v>
      </c>
      <c r="F139" s="3">
        <v>46261.676296296297</v>
      </c>
      <c r="G139" s="3">
        <v>46261.694131944445</v>
      </c>
      <c r="H139" t="s">
        <v>217</v>
      </c>
      <c r="I139" t="s">
        <v>7</v>
      </c>
      <c r="J139" t="s">
        <v>218</v>
      </c>
      <c r="K139" t="s">
        <v>67</v>
      </c>
      <c r="L139" s="10"/>
      <c r="N13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39" s="3"/>
      <c r="P139" s="3"/>
      <c r="Q139" s="3">
        <v>46261.694131944445</v>
      </c>
      <c r="R13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39" t="str">
        <f>IF(SCTR_Brokers[[#This Row],[FechaRecepcion]]="","",TEXT(SCTR_Brokers[[#This Row],[FechaRecepcion]],"mmmm")&amp;" "&amp;YEAR(SCTR_Brokers[[#This Row],[FechaRecepcion]]))</f>
        <v>agosto 2026</v>
      </c>
      <c r="U139">
        <f>IF(SCTR_Brokers[[#This Row],[Estado]]="FINALIZADO",1,0)</f>
        <v>1</v>
      </c>
      <c r="V139">
        <f>IF(SCTR_Brokers[[#This Row],[FechaRecepcion]]="","",IF(SCTR_Brokers[[#This Row],[Estado]]="FINALIZADO",0,1))</f>
        <v>0</v>
      </c>
      <c r="W139">
        <f ca="1">IF(AND(SCTR_Brokers[[#This Row],[Estado]]="FINALIZADO",SCTR_Brokers[[#This Row],[Plazo]]=LISTAS!$J$3),1,0)</f>
        <v>1</v>
      </c>
      <c r="X139">
        <f ca="1">IF(AND(SCTR_Brokers[[#This Row],[Estado]]="FINALIZADO",SCTR_Brokers[[#This Row],[Plazo]]=LISTAS!$J$4),1,0)</f>
        <v>0</v>
      </c>
      <c r="Y139">
        <f ca="1">IF(AND(SCTR_Brokers[[#This Row],[Estado]]&lt;&gt;"FINALIZADO",SCTR_Brokers[[#This Row],[Plazo]]=LISTAS!$J$4),1,0)</f>
        <v>0</v>
      </c>
      <c r="Z139">
        <f>IF(SCTR_Brokers[[#This Row],[Fecha_Solic_Informe]]="",0,1)</f>
        <v>0</v>
      </c>
      <c r="AA139">
        <f>IF(SCTR_Brokers[[#This Row],[Fecha_Informe]]="",0,1)</f>
        <v>0</v>
      </c>
      <c r="AB139">
        <f>IF(AND(SCTR_Brokers[[#This Row],[Fecha_Solic_Informe]]&lt;&gt;"",SCTR_Brokers[[#This Row],[Fecha_Informe]]=""),1,0)</f>
        <v>0</v>
      </c>
      <c r="AC13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40" spans="1:29" hidden="1">
      <c r="A140" t="s">
        <v>361</v>
      </c>
      <c r="C140" t="str">
        <f>IF(SCTR_Brokers[[#This Row],[FechaRecepcion]]="","",SCTR_Brokers[[#This Row],[ConversationId]]&amp;"-"&amp;TEXT(SCTR_Brokers[[#This Row],[FechaRecepcion]],"aaaammddhhmmss"))</f>
        <v>AAQkADdkNThjNzFkLWM0ZmMtNDJhYS04MDVlLTIwNzE4ZDI1Mzg4YgAQAANWkzwtu0b-lk8PwzPntco=-20260827165211</v>
      </c>
      <c r="D140" t="s">
        <v>362</v>
      </c>
      <c r="E140" t="s">
        <v>8</v>
      </c>
      <c r="F140" s="3">
        <v>46261.702905092592</v>
      </c>
      <c r="G140" s="3">
        <v>46262.502511574072</v>
      </c>
      <c r="H140" t="s">
        <v>70</v>
      </c>
      <c r="I140" t="s">
        <v>7</v>
      </c>
      <c r="K140" t="s">
        <v>138</v>
      </c>
      <c r="L140" s="10" t="s">
        <v>363</v>
      </c>
      <c r="N14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40" s="3"/>
      <c r="P140" s="3"/>
      <c r="Q140" s="3">
        <v>46262.502511574072</v>
      </c>
      <c r="R14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40" t="str">
        <f>IF(SCTR_Brokers[[#This Row],[FechaRecepcion]]="","",TEXT(SCTR_Brokers[[#This Row],[FechaRecepcion]],"mmmm")&amp;" "&amp;YEAR(SCTR_Brokers[[#This Row],[FechaRecepcion]]))</f>
        <v>agosto 2026</v>
      </c>
      <c r="U140">
        <f>IF(SCTR_Brokers[[#This Row],[Estado]]="FINALIZADO",1,0)</f>
        <v>1</v>
      </c>
      <c r="V140">
        <f>IF(SCTR_Brokers[[#This Row],[FechaRecepcion]]="","",IF(SCTR_Brokers[[#This Row],[Estado]]="FINALIZADO",0,1))</f>
        <v>0</v>
      </c>
      <c r="W140">
        <f ca="1">IF(AND(SCTR_Brokers[[#This Row],[Estado]]="FINALIZADO",SCTR_Brokers[[#This Row],[Plazo]]=LISTAS!$J$3),1,0)</f>
        <v>1</v>
      </c>
      <c r="X140">
        <f ca="1">IF(AND(SCTR_Brokers[[#This Row],[Estado]]="FINALIZADO",SCTR_Brokers[[#This Row],[Plazo]]=LISTAS!$J$4),1,0)</f>
        <v>0</v>
      </c>
      <c r="Y140">
        <f ca="1">IF(AND(SCTR_Brokers[[#This Row],[Estado]]&lt;&gt;"FINALIZADO",SCTR_Brokers[[#This Row],[Plazo]]=LISTAS!$J$4),1,0)</f>
        <v>0</v>
      </c>
      <c r="Z140">
        <f>IF(SCTR_Brokers[[#This Row],[Fecha_Solic_Informe]]="",0,1)</f>
        <v>0</v>
      </c>
      <c r="AA140">
        <f>IF(SCTR_Brokers[[#This Row],[Fecha_Informe]]="",0,1)</f>
        <v>0</v>
      </c>
      <c r="AB140">
        <f>IF(AND(SCTR_Brokers[[#This Row],[Fecha_Solic_Informe]]&lt;&gt;"",SCTR_Brokers[[#This Row],[Fecha_Informe]]=""),1,0)</f>
        <v>0</v>
      </c>
      <c r="AC14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41" spans="1:29" hidden="1">
      <c r="A141" t="s">
        <v>82</v>
      </c>
      <c r="C141" t="str">
        <f>IF(SCTR_Brokers[[#This Row],[FechaRecepcion]]="","",SCTR_Brokers[[#This Row],[ConversationId]]&amp;"-"&amp;TEXT(SCTR_Brokers[[#This Row],[FechaRecepcion]],"aaaammddhhmmss"))</f>
        <v>AAQkADdkNThjNzFkLWM0ZmMtNDJhYS04MDVlLTIwNzE4ZDI1Mzg4YgAQAEvkGJ0JTE4hpm6yW1eczK8=-20260827171248</v>
      </c>
      <c r="D141" t="s">
        <v>83</v>
      </c>
      <c r="E141" t="s">
        <v>20</v>
      </c>
      <c r="F141" s="3">
        <v>46261.717222222222</v>
      </c>
      <c r="G141" s="3">
        <v>46261.717222222222</v>
      </c>
      <c r="H141" t="s">
        <v>364</v>
      </c>
      <c r="I141" t="s">
        <v>7</v>
      </c>
      <c r="K141" t="s">
        <v>67</v>
      </c>
      <c r="L141" s="10"/>
      <c r="N14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41" s="3"/>
      <c r="P141" s="3"/>
      <c r="Q141" s="3">
        <v>46262.401388888888</v>
      </c>
      <c r="R14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41" t="str">
        <f>IF(SCTR_Brokers[[#This Row],[FechaRecepcion]]="","",TEXT(SCTR_Brokers[[#This Row],[FechaRecepcion]],"mmmm")&amp;" "&amp;YEAR(SCTR_Brokers[[#This Row],[FechaRecepcion]]))</f>
        <v>agosto 2026</v>
      </c>
      <c r="U141">
        <f>IF(SCTR_Brokers[[#This Row],[Estado]]="FINALIZADO",1,0)</f>
        <v>1</v>
      </c>
      <c r="V141">
        <f>IF(SCTR_Brokers[[#This Row],[FechaRecepcion]]="","",IF(SCTR_Brokers[[#This Row],[Estado]]="FINALIZADO",0,1))</f>
        <v>0</v>
      </c>
      <c r="W141">
        <f ca="1">IF(AND(SCTR_Brokers[[#This Row],[Estado]]="FINALIZADO",SCTR_Brokers[[#This Row],[Plazo]]=LISTAS!$J$3),1,0)</f>
        <v>1</v>
      </c>
      <c r="X141">
        <f ca="1">IF(AND(SCTR_Brokers[[#This Row],[Estado]]="FINALIZADO",SCTR_Brokers[[#This Row],[Plazo]]=LISTAS!$J$4),1,0)</f>
        <v>0</v>
      </c>
      <c r="Y141">
        <f ca="1">IF(AND(SCTR_Brokers[[#This Row],[Estado]]&lt;&gt;"FINALIZADO",SCTR_Brokers[[#This Row],[Plazo]]=LISTAS!$J$4),1,0)</f>
        <v>0</v>
      </c>
      <c r="Z141">
        <f>IF(SCTR_Brokers[[#This Row],[Fecha_Solic_Informe]]="",0,1)</f>
        <v>0</v>
      </c>
      <c r="AA141">
        <f>IF(SCTR_Brokers[[#This Row],[Fecha_Informe]]="",0,1)</f>
        <v>0</v>
      </c>
      <c r="AB141">
        <f>IF(AND(SCTR_Brokers[[#This Row],[Fecha_Solic_Informe]]&lt;&gt;"",SCTR_Brokers[[#This Row],[Fecha_Informe]]=""),1,0)</f>
        <v>0</v>
      </c>
      <c r="AC14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42" spans="1:29" hidden="1">
      <c r="A142" t="s">
        <v>145</v>
      </c>
      <c r="C142" t="str">
        <f>IF(SCTR_Brokers[[#This Row],[FechaRecepcion]]="","",SCTR_Brokers[[#This Row],[ConversationId]]&amp;"-"&amp;TEXT(SCTR_Brokers[[#This Row],[FechaRecepcion]],"aaaammddhhmmss"))</f>
        <v>AAQkADdkNThjNzFkLWM0ZmMtNDJhYS04MDVlLTIwNzE4ZDI1Mzg4YgAQAHUL3lsl5ORPuwIMqDM_rpA=-20260827172603</v>
      </c>
      <c r="D142" t="s">
        <v>146</v>
      </c>
      <c r="E142" t="s">
        <v>21</v>
      </c>
      <c r="F142" s="3">
        <v>46261.726423611108</v>
      </c>
      <c r="G142" s="3">
        <v>46261.726423611108</v>
      </c>
      <c r="H142" t="s">
        <v>365</v>
      </c>
      <c r="I142" t="s">
        <v>7</v>
      </c>
      <c r="K142" t="s">
        <v>67</v>
      </c>
      <c r="L142" s="10"/>
      <c r="N14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42" s="3"/>
      <c r="P142" s="3"/>
      <c r="Q142" s="3">
        <v>46261.726423611108</v>
      </c>
      <c r="R14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42" t="str">
        <f>IF(SCTR_Brokers[[#This Row],[FechaRecepcion]]="","",TEXT(SCTR_Brokers[[#This Row],[FechaRecepcion]],"mmmm")&amp;" "&amp;YEAR(SCTR_Brokers[[#This Row],[FechaRecepcion]]))</f>
        <v>agosto 2026</v>
      </c>
      <c r="U142">
        <f>IF(SCTR_Brokers[[#This Row],[Estado]]="FINALIZADO",1,0)</f>
        <v>1</v>
      </c>
      <c r="V142">
        <f>IF(SCTR_Brokers[[#This Row],[FechaRecepcion]]="","",IF(SCTR_Brokers[[#This Row],[Estado]]="FINALIZADO",0,1))</f>
        <v>0</v>
      </c>
      <c r="W142">
        <f ca="1">IF(AND(SCTR_Brokers[[#This Row],[Estado]]="FINALIZADO",SCTR_Brokers[[#This Row],[Plazo]]=LISTAS!$J$3),1,0)</f>
        <v>1</v>
      </c>
      <c r="X142">
        <f ca="1">IF(AND(SCTR_Brokers[[#This Row],[Estado]]="FINALIZADO",SCTR_Brokers[[#This Row],[Plazo]]=LISTAS!$J$4),1,0)</f>
        <v>0</v>
      </c>
      <c r="Y142">
        <f ca="1">IF(AND(SCTR_Brokers[[#This Row],[Estado]]&lt;&gt;"FINALIZADO",SCTR_Brokers[[#This Row],[Plazo]]=LISTAS!$J$4),1,0)</f>
        <v>0</v>
      </c>
      <c r="Z142">
        <f>IF(SCTR_Brokers[[#This Row],[Fecha_Solic_Informe]]="",0,1)</f>
        <v>0</v>
      </c>
      <c r="AA142">
        <f>IF(SCTR_Brokers[[#This Row],[Fecha_Informe]]="",0,1)</f>
        <v>0</v>
      </c>
      <c r="AB142">
        <f>IF(AND(SCTR_Brokers[[#This Row],[Fecha_Solic_Informe]]&lt;&gt;"",SCTR_Brokers[[#This Row],[Fecha_Informe]]=""),1,0)</f>
        <v>0</v>
      </c>
      <c r="AC14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43" spans="1:29" hidden="1">
      <c r="A143" t="s">
        <v>339</v>
      </c>
      <c r="C143" t="str">
        <f>IF(SCTR_Brokers[[#This Row],[FechaRecepcion]]="","",SCTR_Brokers[[#This Row],[ConversationId]]&amp;"-"&amp;TEXT(SCTR_Brokers[[#This Row],[FechaRecepcion]],"aaaammddhhmmss"))</f>
        <v>AAQkADdkNThjNzFkLWM0ZmMtNDJhYS04MDVlLTIwNzE4ZDI1Mzg4YgAQAJ38MiZ9R5FEiaUYfdxdY0w=-20260827180551</v>
      </c>
      <c r="D143" t="s">
        <v>366</v>
      </c>
      <c r="E143" t="s">
        <v>20</v>
      </c>
      <c r="F143" s="3">
        <v>46261.754062499997</v>
      </c>
      <c r="G143" s="3">
        <v>46262.410462962966</v>
      </c>
      <c r="H143" t="s">
        <v>319</v>
      </c>
      <c r="I143" t="s">
        <v>7</v>
      </c>
      <c r="J143" t="s">
        <v>320</v>
      </c>
      <c r="K143" t="s">
        <v>67</v>
      </c>
      <c r="L143" s="10"/>
      <c r="N14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43" s="3"/>
      <c r="P143" s="3"/>
      <c r="Q143" s="3">
        <v>46262.410462962966</v>
      </c>
      <c r="R14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43" t="str">
        <f>IF(SCTR_Brokers[[#This Row],[FechaRecepcion]]="","",TEXT(SCTR_Brokers[[#This Row],[FechaRecepcion]],"mmmm")&amp;" "&amp;YEAR(SCTR_Brokers[[#This Row],[FechaRecepcion]]))</f>
        <v>agosto 2026</v>
      </c>
      <c r="U143">
        <f>IF(SCTR_Brokers[[#This Row],[Estado]]="FINALIZADO",1,0)</f>
        <v>1</v>
      </c>
      <c r="V143">
        <f>IF(SCTR_Brokers[[#This Row],[FechaRecepcion]]="","",IF(SCTR_Brokers[[#This Row],[Estado]]="FINALIZADO",0,1))</f>
        <v>0</v>
      </c>
      <c r="W143">
        <f ca="1">IF(AND(SCTR_Brokers[[#This Row],[Estado]]="FINALIZADO",SCTR_Brokers[[#This Row],[Plazo]]=LISTAS!$J$3),1,0)</f>
        <v>1</v>
      </c>
      <c r="X143">
        <f ca="1">IF(AND(SCTR_Brokers[[#This Row],[Estado]]="FINALIZADO",SCTR_Brokers[[#This Row],[Plazo]]=LISTAS!$J$4),1,0)</f>
        <v>0</v>
      </c>
      <c r="Y143">
        <f ca="1">IF(AND(SCTR_Brokers[[#This Row],[Estado]]&lt;&gt;"FINALIZADO",SCTR_Brokers[[#This Row],[Plazo]]=LISTAS!$J$4),1,0)</f>
        <v>0</v>
      </c>
      <c r="Z143">
        <f>IF(SCTR_Brokers[[#This Row],[Fecha_Solic_Informe]]="",0,1)</f>
        <v>0</v>
      </c>
      <c r="AA143">
        <f>IF(SCTR_Brokers[[#This Row],[Fecha_Informe]]="",0,1)</f>
        <v>0</v>
      </c>
      <c r="AB143">
        <f>IF(AND(SCTR_Brokers[[#This Row],[Fecha_Solic_Informe]]&lt;&gt;"",SCTR_Brokers[[#This Row],[Fecha_Informe]]=""),1,0)</f>
        <v>0</v>
      </c>
      <c r="AC14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44" spans="1:29" hidden="1">
      <c r="A144" t="s">
        <v>367</v>
      </c>
      <c r="C144" t="str">
        <f>IF(SCTR_Brokers[[#This Row],[FechaRecepcion]]="","",SCTR_Brokers[[#This Row],[ConversationId]]&amp;"-"&amp;TEXT(SCTR_Brokers[[#This Row],[FechaRecepcion]],"aaaammddhhmmss"))</f>
        <v>AAQkADdkNThjNzFkLWM0ZmMtNDJhYS04MDVlLTIwNzE4ZDI1Mzg4YgAQACUbSD-WRXBBlNioTR5MBhs=-20260827214603</v>
      </c>
      <c r="D144" t="s">
        <v>368</v>
      </c>
      <c r="E144" t="s">
        <v>21</v>
      </c>
      <c r="F144" s="3">
        <v>46261.90697916667</v>
      </c>
      <c r="G144" s="3">
        <v>46262.354375000003</v>
      </c>
      <c r="H144" t="s">
        <v>176</v>
      </c>
      <c r="I144" t="s">
        <v>7</v>
      </c>
      <c r="J144" t="s">
        <v>177</v>
      </c>
      <c r="K144" t="s">
        <v>67</v>
      </c>
      <c r="L144" s="10"/>
      <c r="N14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44" s="3"/>
      <c r="P144" s="3"/>
      <c r="Q144" s="3">
        <v>46262.354375000003</v>
      </c>
      <c r="R14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44" t="str">
        <f>IF(SCTR_Brokers[[#This Row],[FechaRecepcion]]="","",TEXT(SCTR_Brokers[[#This Row],[FechaRecepcion]],"mmmm")&amp;" "&amp;YEAR(SCTR_Brokers[[#This Row],[FechaRecepcion]]))</f>
        <v>agosto 2026</v>
      </c>
      <c r="U144">
        <f>IF(SCTR_Brokers[[#This Row],[Estado]]="FINALIZADO",1,0)</f>
        <v>1</v>
      </c>
      <c r="V144">
        <f>IF(SCTR_Brokers[[#This Row],[FechaRecepcion]]="","",IF(SCTR_Brokers[[#This Row],[Estado]]="FINALIZADO",0,1))</f>
        <v>0</v>
      </c>
      <c r="W144">
        <f ca="1">IF(AND(SCTR_Brokers[[#This Row],[Estado]]="FINALIZADO",SCTR_Brokers[[#This Row],[Plazo]]=LISTAS!$J$3),1,0)</f>
        <v>1</v>
      </c>
      <c r="X144">
        <f ca="1">IF(AND(SCTR_Brokers[[#This Row],[Estado]]="FINALIZADO",SCTR_Brokers[[#This Row],[Plazo]]=LISTAS!$J$4),1,0)</f>
        <v>0</v>
      </c>
      <c r="Y144">
        <f ca="1">IF(AND(SCTR_Brokers[[#This Row],[Estado]]&lt;&gt;"FINALIZADO",SCTR_Brokers[[#This Row],[Plazo]]=LISTAS!$J$4),1,0)</f>
        <v>0</v>
      </c>
      <c r="Z144">
        <f>IF(SCTR_Brokers[[#This Row],[Fecha_Solic_Informe]]="",0,1)</f>
        <v>0</v>
      </c>
      <c r="AA144">
        <f>IF(SCTR_Brokers[[#This Row],[Fecha_Informe]]="",0,1)</f>
        <v>0</v>
      </c>
      <c r="AB144">
        <f>IF(AND(SCTR_Brokers[[#This Row],[Fecha_Solic_Informe]]&lt;&gt;"",SCTR_Brokers[[#This Row],[Fecha_Informe]]=""),1,0)</f>
        <v>0</v>
      </c>
      <c r="AC14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45" spans="1:29" hidden="1">
      <c r="A145" t="s">
        <v>369</v>
      </c>
      <c r="C145" t="str">
        <f>IF(SCTR_Brokers[[#This Row],[FechaRecepcion]]="","",SCTR_Brokers[[#This Row],[ConversationId]]&amp;"-"&amp;TEXT(SCTR_Brokers[[#This Row],[FechaRecepcion]],"aaaammddhhmmss"))</f>
        <v>AAQkADdkNThjNzFkLWM0ZmMtNDJhYS04MDVlLTIwNzE4ZDI1Mzg4YgAQAFXmN3snA0j6vDDu1N2XEfA=-20260828085222</v>
      </c>
      <c r="D145" t="s">
        <v>370</v>
      </c>
      <c r="E145" t="s">
        <v>14</v>
      </c>
      <c r="F145" s="3">
        <v>46262.369699074072</v>
      </c>
      <c r="G145" s="3">
        <v>46262.486620370371</v>
      </c>
      <c r="H145" t="s">
        <v>70</v>
      </c>
      <c r="I145" t="s">
        <v>7</v>
      </c>
      <c r="J145" s="10" t="s">
        <v>371</v>
      </c>
      <c r="K145" t="s">
        <v>67</v>
      </c>
      <c r="L145" s="10" t="s">
        <v>295</v>
      </c>
      <c r="M145" t="s">
        <v>9</v>
      </c>
      <c r="N14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45" s="3">
        <v>46262.39234953704</v>
      </c>
      <c r="P145" s="3">
        <v>46262.42627314815</v>
      </c>
      <c r="Q145" s="3">
        <v>46262.486620370371</v>
      </c>
      <c r="R14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45" t="str">
        <f>IF(SCTR_Brokers[[#This Row],[FechaRecepcion]]="","",TEXT(SCTR_Brokers[[#This Row],[FechaRecepcion]],"mmmm")&amp;" "&amp;YEAR(SCTR_Brokers[[#This Row],[FechaRecepcion]]))</f>
        <v>agosto 2026</v>
      </c>
      <c r="U145">
        <f>IF(SCTR_Brokers[[#This Row],[Estado]]="FINALIZADO",1,0)</f>
        <v>1</v>
      </c>
      <c r="V145">
        <f>IF(SCTR_Brokers[[#This Row],[FechaRecepcion]]="","",IF(SCTR_Brokers[[#This Row],[Estado]]="FINALIZADO",0,1))</f>
        <v>0</v>
      </c>
      <c r="W145">
        <f ca="1">IF(AND(SCTR_Brokers[[#This Row],[Estado]]="FINALIZADO",SCTR_Brokers[[#This Row],[Plazo]]=LISTAS!$J$3),1,0)</f>
        <v>1</v>
      </c>
      <c r="X145">
        <f ca="1">IF(AND(SCTR_Brokers[[#This Row],[Estado]]="FINALIZADO",SCTR_Brokers[[#This Row],[Plazo]]=LISTAS!$J$4),1,0)</f>
        <v>0</v>
      </c>
      <c r="Y145">
        <f ca="1">IF(AND(SCTR_Brokers[[#This Row],[Estado]]&lt;&gt;"FINALIZADO",SCTR_Brokers[[#This Row],[Plazo]]=LISTAS!$J$4),1,0)</f>
        <v>0</v>
      </c>
      <c r="Z145">
        <f>IF(SCTR_Brokers[[#This Row],[Fecha_Solic_Informe]]="",0,1)</f>
        <v>1</v>
      </c>
      <c r="AA145">
        <f>IF(SCTR_Brokers[[#This Row],[Fecha_Informe]]="",0,1)</f>
        <v>1</v>
      </c>
      <c r="AB145">
        <f>IF(AND(SCTR_Brokers[[#This Row],[Fecha_Solic_Informe]]&lt;&gt;"",SCTR_Brokers[[#This Row],[Fecha_Informe]]=""),1,0)</f>
        <v>0</v>
      </c>
      <c r="AC145">
        <f>IF(AND(SCTR_Brokers[[#This Row],[Fecha_Solic_Informe]]&lt;&gt;"",SCTR_Brokers[[#This Row],[Fecha_Informe]]&lt;&gt;""),ROUND((SCTR_Brokers[[#This Row],[Fecha_Informe]]-SCTR_Brokers[[#This Row],[Fecha_Solic_Informe]])*24,1),"")</f>
        <v>0.8</v>
      </c>
    </row>
    <row r="146" spans="1:29" hidden="1">
      <c r="A146" t="s">
        <v>372</v>
      </c>
      <c r="C146" t="str">
        <f>IF(SCTR_Brokers[[#This Row],[FechaRecepcion]]="","",SCTR_Brokers[[#This Row],[ConversationId]]&amp;"-"&amp;TEXT(SCTR_Brokers[[#This Row],[FechaRecepcion]],"aaaammddhhmmss"))</f>
        <v>AAQkADdkNThjNzFkLWM0ZmMtNDJhYS04MDVlLTIwNzE4ZDI1Mzg4YgAQACcwhM-KF0J4lP62rb6it6s=-20260828092341</v>
      </c>
      <c r="D146" t="s">
        <v>373</v>
      </c>
      <c r="E146" t="s">
        <v>20</v>
      </c>
      <c r="F146" s="3">
        <v>46262.391446759262</v>
      </c>
      <c r="G146" s="3">
        <v>46262.483356481483</v>
      </c>
      <c r="H146" t="s">
        <v>70</v>
      </c>
      <c r="I146" t="s">
        <v>7</v>
      </c>
      <c r="K146" t="s">
        <v>67</v>
      </c>
      <c r="L146" s="10"/>
      <c r="N14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46" s="3"/>
      <c r="P146" s="3"/>
      <c r="Q146" s="3">
        <v>46262.483356481483</v>
      </c>
      <c r="R14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46" t="str">
        <f>IF(SCTR_Brokers[[#This Row],[FechaRecepcion]]="","",TEXT(SCTR_Brokers[[#This Row],[FechaRecepcion]],"mmmm")&amp;" "&amp;YEAR(SCTR_Brokers[[#This Row],[FechaRecepcion]]))</f>
        <v>agosto 2026</v>
      </c>
      <c r="U146">
        <f>IF(SCTR_Brokers[[#This Row],[Estado]]="FINALIZADO",1,0)</f>
        <v>1</v>
      </c>
      <c r="V146">
        <f>IF(SCTR_Brokers[[#This Row],[FechaRecepcion]]="","",IF(SCTR_Brokers[[#This Row],[Estado]]="FINALIZADO",0,1))</f>
        <v>0</v>
      </c>
      <c r="W146">
        <f ca="1">IF(AND(SCTR_Brokers[[#This Row],[Estado]]="FINALIZADO",SCTR_Brokers[[#This Row],[Plazo]]=LISTAS!$J$3),1,0)</f>
        <v>1</v>
      </c>
      <c r="X146">
        <f ca="1">IF(AND(SCTR_Brokers[[#This Row],[Estado]]="FINALIZADO",SCTR_Brokers[[#This Row],[Plazo]]=LISTAS!$J$4),1,0)</f>
        <v>0</v>
      </c>
      <c r="Y146">
        <f ca="1">IF(AND(SCTR_Brokers[[#This Row],[Estado]]&lt;&gt;"FINALIZADO",SCTR_Brokers[[#This Row],[Plazo]]=LISTAS!$J$4),1,0)</f>
        <v>0</v>
      </c>
      <c r="Z146">
        <f>IF(SCTR_Brokers[[#This Row],[Fecha_Solic_Informe]]="",0,1)</f>
        <v>0</v>
      </c>
      <c r="AA146">
        <f>IF(SCTR_Brokers[[#This Row],[Fecha_Informe]]="",0,1)</f>
        <v>0</v>
      </c>
      <c r="AB146">
        <f>IF(AND(SCTR_Brokers[[#This Row],[Fecha_Solic_Informe]]&lt;&gt;"",SCTR_Brokers[[#This Row],[Fecha_Informe]]=""),1,0)</f>
        <v>0</v>
      </c>
      <c r="AC14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47" spans="1:29" hidden="1">
      <c r="A147" t="s">
        <v>374</v>
      </c>
      <c r="C147" t="str">
        <f>IF(SCTR_Brokers[[#This Row],[FechaRecepcion]]="","",SCTR_Brokers[[#This Row],[ConversationId]]&amp;"-"&amp;TEXT(SCTR_Brokers[[#This Row],[FechaRecepcion]],"aaaammddhhmmss"))</f>
        <v>AAQkADdkNThjNzFkLWM0ZmMtNDJhYS04MDVlLTIwNzE4ZDI1Mzg4YgAQALvYKg4-pgtNsb5QoNdcVjM=-20260828092834</v>
      </c>
      <c r="D147" t="s">
        <v>375</v>
      </c>
      <c r="E147" t="s">
        <v>21</v>
      </c>
      <c r="F147" s="3">
        <v>46262.394837962966</v>
      </c>
      <c r="G147" s="3">
        <v>46267.354930555557</v>
      </c>
      <c r="H147" t="s">
        <v>70</v>
      </c>
      <c r="I147" t="s">
        <v>7</v>
      </c>
      <c r="K147" t="s">
        <v>67</v>
      </c>
      <c r="L147" s="10" t="s">
        <v>376</v>
      </c>
      <c r="N14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47" s="3"/>
      <c r="P147" s="3"/>
      <c r="Q147" s="3">
        <v>46267.354930555557</v>
      </c>
      <c r="R14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147" t="str">
        <f>IF(SCTR_Brokers[[#This Row],[FechaRecepcion]]="","",TEXT(SCTR_Brokers[[#This Row],[FechaRecepcion]],"mmmm")&amp;" "&amp;YEAR(SCTR_Brokers[[#This Row],[FechaRecepcion]]))</f>
        <v>agosto 2026</v>
      </c>
      <c r="U147">
        <f>IF(SCTR_Brokers[[#This Row],[Estado]]="FINALIZADO",1,0)</f>
        <v>1</v>
      </c>
      <c r="V147">
        <f>IF(SCTR_Brokers[[#This Row],[FechaRecepcion]]="","",IF(SCTR_Brokers[[#This Row],[Estado]]="FINALIZADO",0,1))</f>
        <v>0</v>
      </c>
      <c r="W147">
        <f ca="1">IF(AND(SCTR_Brokers[[#This Row],[Estado]]="FINALIZADO",SCTR_Brokers[[#This Row],[Plazo]]=LISTAS!$J$3),1,0)</f>
        <v>0</v>
      </c>
      <c r="X147">
        <f ca="1">IF(AND(SCTR_Brokers[[#This Row],[Estado]]="FINALIZADO",SCTR_Brokers[[#This Row],[Plazo]]=LISTAS!$J$4),1,0)</f>
        <v>1</v>
      </c>
      <c r="Y147">
        <f ca="1">IF(AND(SCTR_Brokers[[#This Row],[Estado]]&lt;&gt;"FINALIZADO",SCTR_Brokers[[#This Row],[Plazo]]=LISTAS!$J$4),1,0)</f>
        <v>0</v>
      </c>
      <c r="Z147">
        <f>IF(SCTR_Brokers[[#This Row],[Fecha_Solic_Informe]]="",0,1)</f>
        <v>0</v>
      </c>
      <c r="AA147">
        <f>IF(SCTR_Brokers[[#This Row],[Fecha_Informe]]="",0,1)</f>
        <v>0</v>
      </c>
      <c r="AB147">
        <f>IF(AND(SCTR_Brokers[[#This Row],[Fecha_Solic_Informe]]&lt;&gt;"",SCTR_Brokers[[#This Row],[Fecha_Informe]]=""),1,0)</f>
        <v>0</v>
      </c>
      <c r="AC14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48" spans="1:29" hidden="1">
      <c r="A148" t="s">
        <v>342</v>
      </c>
      <c r="C148" t="str">
        <f>IF(SCTR_Brokers[[#This Row],[FechaRecepcion]]="","",SCTR_Brokers[[#This Row],[ConversationId]]&amp;"-"&amp;TEXT(SCTR_Brokers[[#This Row],[FechaRecepcion]],"aaaammddhhmmss"))</f>
        <v>AAQkADdkNThjNzFkLWM0ZmMtNDJhYS04MDVlLTIwNzE4ZDI1Mzg4YgAQAK9haL18fkdZk0QWGJn4y3Q=-20260828100823</v>
      </c>
      <c r="D148" t="s">
        <v>377</v>
      </c>
      <c r="E148" t="s">
        <v>21</v>
      </c>
      <c r="F148" s="3">
        <v>46262.422488425924</v>
      </c>
      <c r="G148" s="3">
        <v>46262.485196759262</v>
      </c>
      <c r="H148" t="s">
        <v>70</v>
      </c>
      <c r="I148" t="s">
        <v>7</v>
      </c>
      <c r="K148" t="s">
        <v>67</v>
      </c>
      <c r="L148" s="10"/>
      <c r="N14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48" s="3"/>
      <c r="P148" s="3"/>
      <c r="Q148" s="3">
        <v>46262.485196759262</v>
      </c>
      <c r="R14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48" t="str">
        <f>IF(SCTR_Brokers[[#This Row],[FechaRecepcion]]="","",TEXT(SCTR_Brokers[[#This Row],[FechaRecepcion]],"mmmm")&amp;" "&amp;YEAR(SCTR_Brokers[[#This Row],[FechaRecepcion]]))</f>
        <v>agosto 2026</v>
      </c>
      <c r="U148">
        <f>IF(SCTR_Brokers[[#This Row],[Estado]]="FINALIZADO",1,0)</f>
        <v>1</v>
      </c>
      <c r="V148">
        <f>IF(SCTR_Brokers[[#This Row],[FechaRecepcion]]="","",IF(SCTR_Brokers[[#This Row],[Estado]]="FINALIZADO",0,1))</f>
        <v>0</v>
      </c>
      <c r="W148">
        <f ca="1">IF(AND(SCTR_Brokers[[#This Row],[Estado]]="FINALIZADO",SCTR_Brokers[[#This Row],[Plazo]]=LISTAS!$J$3),1,0)</f>
        <v>1</v>
      </c>
      <c r="X148">
        <f ca="1">IF(AND(SCTR_Brokers[[#This Row],[Estado]]="FINALIZADO",SCTR_Brokers[[#This Row],[Plazo]]=LISTAS!$J$4),1,0)</f>
        <v>0</v>
      </c>
      <c r="Y148">
        <f ca="1">IF(AND(SCTR_Brokers[[#This Row],[Estado]]&lt;&gt;"FINALIZADO",SCTR_Brokers[[#This Row],[Plazo]]=LISTAS!$J$4),1,0)</f>
        <v>0</v>
      </c>
      <c r="Z148">
        <f>IF(SCTR_Brokers[[#This Row],[Fecha_Solic_Informe]]="",0,1)</f>
        <v>0</v>
      </c>
      <c r="AA148">
        <f>IF(SCTR_Brokers[[#This Row],[Fecha_Informe]]="",0,1)</f>
        <v>0</v>
      </c>
      <c r="AB148">
        <f>IF(AND(SCTR_Brokers[[#This Row],[Fecha_Solic_Informe]]&lt;&gt;"",SCTR_Brokers[[#This Row],[Fecha_Informe]]=""),1,0)</f>
        <v>0</v>
      </c>
      <c r="AC14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49" spans="1:29" hidden="1">
      <c r="A149" t="s">
        <v>140</v>
      </c>
      <c r="C149" t="str">
        <f>IF(SCTR_Brokers[[#This Row],[FechaRecepcion]]="","",SCTR_Brokers[[#This Row],[ConversationId]]&amp;"-"&amp;TEXT(SCTR_Brokers[[#This Row],[FechaRecepcion]],"aaaammddhhmmss"))</f>
        <v>AAQkADdkNThjNzFkLWM0ZmMtNDJhYS04MDVlLTIwNzE4ZDI1Mzg4YgAQANgmCUHEJVVIljOU-AWYE_M=-20260828112206</v>
      </c>
      <c r="D149" t="s">
        <v>154</v>
      </c>
      <c r="E149" t="s">
        <v>23</v>
      </c>
      <c r="F149" s="3">
        <v>46262.473680555559</v>
      </c>
      <c r="G149" s="3">
        <v>46262.491342592592</v>
      </c>
      <c r="H149" t="s">
        <v>70</v>
      </c>
      <c r="I149" t="s">
        <v>7</v>
      </c>
      <c r="K149" t="s">
        <v>67</v>
      </c>
      <c r="L149" s="10"/>
      <c r="N14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49" s="3"/>
      <c r="P149" s="3"/>
      <c r="Q149" s="3">
        <v>46262.491342592592</v>
      </c>
      <c r="R14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49" t="str">
        <f>IF(SCTR_Brokers[[#This Row],[FechaRecepcion]]="","",TEXT(SCTR_Brokers[[#This Row],[FechaRecepcion]],"mmmm")&amp;" "&amp;YEAR(SCTR_Brokers[[#This Row],[FechaRecepcion]]))</f>
        <v>agosto 2026</v>
      </c>
      <c r="U149">
        <f>IF(SCTR_Brokers[[#This Row],[Estado]]="FINALIZADO",1,0)</f>
        <v>1</v>
      </c>
      <c r="V149">
        <f>IF(SCTR_Brokers[[#This Row],[FechaRecepcion]]="","",IF(SCTR_Brokers[[#This Row],[Estado]]="FINALIZADO",0,1))</f>
        <v>0</v>
      </c>
      <c r="W149">
        <f ca="1">IF(AND(SCTR_Brokers[[#This Row],[Estado]]="FINALIZADO",SCTR_Brokers[[#This Row],[Plazo]]=LISTAS!$J$3),1,0)</f>
        <v>1</v>
      </c>
      <c r="X149">
        <f ca="1">IF(AND(SCTR_Brokers[[#This Row],[Estado]]="FINALIZADO",SCTR_Brokers[[#This Row],[Plazo]]=LISTAS!$J$4),1,0)</f>
        <v>0</v>
      </c>
      <c r="Y149">
        <f ca="1">IF(AND(SCTR_Brokers[[#This Row],[Estado]]&lt;&gt;"FINALIZADO",SCTR_Brokers[[#This Row],[Plazo]]=LISTAS!$J$4),1,0)</f>
        <v>0</v>
      </c>
      <c r="Z149">
        <f>IF(SCTR_Brokers[[#This Row],[Fecha_Solic_Informe]]="",0,1)</f>
        <v>0</v>
      </c>
      <c r="AA149">
        <f>IF(SCTR_Brokers[[#This Row],[Fecha_Informe]]="",0,1)</f>
        <v>0</v>
      </c>
      <c r="AB149">
        <f>IF(AND(SCTR_Brokers[[#This Row],[Fecha_Solic_Informe]]&lt;&gt;"",SCTR_Brokers[[#This Row],[Fecha_Informe]]=""),1,0)</f>
        <v>0</v>
      </c>
      <c r="AC14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50" spans="1:29" hidden="1">
      <c r="A150" t="s">
        <v>349</v>
      </c>
      <c r="C150" t="str">
        <f>IF(SCTR_Brokers[[#This Row],[FechaRecepcion]]="","",SCTR_Brokers[[#This Row],[ConversationId]]&amp;"-"&amp;TEXT(SCTR_Brokers[[#This Row],[FechaRecepcion]],"aaaammddhhmmss"))</f>
        <v>AAQkADdkNThjNzFkLWM0ZmMtNDJhYS04MDVlLTIwNzE4ZDI1Mzg4YgAQAEDgKCXAvFZGnf2tGzURE04=-20260828112638</v>
      </c>
      <c r="D150" t="s">
        <v>378</v>
      </c>
      <c r="E150" t="s">
        <v>23</v>
      </c>
      <c r="F150" s="3">
        <v>46262.4768287037</v>
      </c>
      <c r="G150" s="3">
        <v>46262.491932870369</v>
      </c>
      <c r="H150" t="s">
        <v>70</v>
      </c>
      <c r="I150" t="s">
        <v>7</v>
      </c>
      <c r="K150" t="s">
        <v>67</v>
      </c>
      <c r="L150" s="10"/>
      <c r="N15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50" s="3"/>
      <c r="P150" s="3"/>
      <c r="Q150" s="3">
        <v>46262.491932870369</v>
      </c>
      <c r="R15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50" t="str">
        <f>IF(SCTR_Brokers[[#This Row],[FechaRecepcion]]="","",TEXT(SCTR_Brokers[[#This Row],[FechaRecepcion]],"mmmm")&amp;" "&amp;YEAR(SCTR_Brokers[[#This Row],[FechaRecepcion]]))</f>
        <v>agosto 2026</v>
      </c>
      <c r="U150">
        <f>IF(SCTR_Brokers[[#This Row],[Estado]]="FINALIZADO",1,0)</f>
        <v>1</v>
      </c>
      <c r="V150">
        <f>IF(SCTR_Brokers[[#This Row],[FechaRecepcion]]="","",IF(SCTR_Brokers[[#This Row],[Estado]]="FINALIZADO",0,1))</f>
        <v>0</v>
      </c>
      <c r="W150">
        <f ca="1">IF(AND(SCTR_Brokers[[#This Row],[Estado]]="FINALIZADO",SCTR_Brokers[[#This Row],[Plazo]]=LISTAS!$J$3),1,0)</f>
        <v>1</v>
      </c>
      <c r="X150">
        <f ca="1">IF(AND(SCTR_Brokers[[#This Row],[Estado]]="FINALIZADO",SCTR_Brokers[[#This Row],[Plazo]]=LISTAS!$J$4),1,0)</f>
        <v>0</v>
      </c>
      <c r="Y150">
        <f ca="1">IF(AND(SCTR_Brokers[[#This Row],[Estado]]&lt;&gt;"FINALIZADO",SCTR_Brokers[[#This Row],[Plazo]]=LISTAS!$J$4),1,0)</f>
        <v>0</v>
      </c>
      <c r="Z150">
        <f>IF(SCTR_Brokers[[#This Row],[Fecha_Solic_Informe]]="",0,1)</f>
        <v>0</v>
      </c>
      <c r="AA150">
        <f>IF(SCTR_Brokers[[#This Row],[Fecha_Informe]]="",0,1)</f>
        <v>0</v>
      </c>
      <c r="AB150">
        <f>IF(AND(SCTR_Brokers[[#This Row],[Fecha_Solic_Informe]]&lt;&gt;"",SCTR_Brokers[[#This Row],[Fecha_Informe]]=""),1,0)</f>
        <v>0</v>
      </c>
      <c r="AC15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51" spans="1:29" hidden="1">
      <c r="A151" t="s">
        <v>379</v>
      </c>
      <c r="C151" t="str">
        <f>IF(SCTR_Brokers[[#This Row],[FechaRecepcion]]="","",SCTR_Brokers[[#This Row],[ConversationId]]&amp;"-"&amp;TEXT(SCTR_Brokers[[#This Row],[FechaRecepcion]],"aaaammddhhmmss"))</f>
        <v>AAQkADdkNThjNzFkLWM0ZmMtNDJhYS04MDVlLTIwNzE4ZDI1Mzg4YgAQANB2nkYlSnhMk1K_Q0utgvg=-20260828113949</v>
      </c>
      <c r="D151" t="s">
        <v>380</v>
      </c>
      <c r="E151" t="s">
        <v>8</v>
      </c>
      <c r="F151" s="3">
        <v>46262.485983796294</v>
      </c>
      <c r="G151" s="3">
        <v>46262.492835648147</v>
      </c>
      <c r="H151" t="s">
        <v>70</v>
      </c>
      <c r="I151" t="s">
        <v>7</v>
      </c>
      <c r="K151" t="s">
        <v>67</v>
      </c>
      <c r="L151" s="10"/>
      <c r="N15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51" s="3"/>
      <c r="P151" s="3"/>
      <c r="Q151" s="3">
        <v>46262.492835648147</v>
      </c>
      <c r="R15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51" t="str">
        <f>IF(SCTR_Brokers[[#This Row],[FechaRecepcion]]="","",TEXT(SCTR_Brokers[[#This Row],[FechaRecepcion]],"mmmm")&amp;" "&amp;YEAR(SCTR_Brokers[[#This Row],[FechaRecepcion]]))</f>
        <v>agosto 2026</v>
      </c>
      <c r="U151">
        <f>IF(SCTR_Brokers[[#This Row],[Estado]]="FINALIZADO",1,0)</f>
        <v>1</v>
      </c>
      <c r="V151">
        <f>IF(SCTR_Brokers[[#This Row],[FechaRecepcion]]="","",IF(SCTR_Brokers[[#This Row],[Estado]]="FINALIZADO",0,1))</f>
        <v>0</v>
      </c>
      <c r="W151">
        <f ca="1">IF(AND(SCTR_Brokers[[#This Row],[Estado]]="FINALIZADO",SCTR_Brokers[[#This Row],[Plazo]]=LISTAS!$J$3),1,0)</f>
        <v>1</v>
      </c>
      <c r="X151">
        <f ca="1">IF(AND(SCTR_Brokers[[#This Row],[Estado]]="FINALIZADO",SCTR_Brokers[[#This Row],[Plazo]]=LISTAS!$J$4),1,0)</f>
        <v>0</v>
      </c>
      <c r="Y151">
        <f ca="1">IF(AND(SCTR_Brokers[[#This Row],[Estado]]&lt;&gt;"FINALIZADO",SCTR_Brokers[[#This Row],[Plazo]]=LISTAS!$J$4),1,0)</f>
        <v>0</v>
      </c>
      <c r="Z151">
        <f>IF(SCTR_Brokers[[#This Row],[Fecha_Solic_Informe]]="",0,1)</f>
        <v>0</v>
      </c>
      <c r="AA151">
        <f>IF(SCTR_Brokers[[#This Row],[Fecha_Informe]]="",0,1)</f>
        <v>0</v>
      </c>
      <c r="AB151">
        <f>IF(AND(SCTR_Brokers[[#This Row],[Fecha_Solic_Informe]]&lt;&gt;"",SCTR_Brokers[[#This Row],[Fecha_Informe]]=""),1,0)</f>
        <v>0</v>
      </c>
      <c r="AC15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52" spans="1:29" hidden="1">
      <c r="A152" t="s">
        <v>381</v>
      </c>
      <c r="C152" t="str">
        <f>IF(SCTR_Brokers[[#This Row],[FechaRecepcion]]="","",SCTR_Brokers[[#This Row],[ConversationId]]&amp;"-"&amp;TEXT(SCTR_Brokers[[#This Row],[FechaRecepcion]],"aaaammddhhmmss"))</f>
        <v>AAQkADdkNThjNzFkLWM0ZmMtNDJhYS04MDVlLTIwNzE4ZDI1Mzg4YgAQAM0uYDcK2UrxmzSTssZF6fY=-20260828122025</v>
      </c>
      <c r="D152" t="s">
        <v>382</v>
      </c>
      <c r="E152" t="s">
        <v>21</v>
      </c>
      <c r="F152" s="3">
        <v>46262.514178240737</v>
      </c>
      <c r="G152" s="3">
        <v>46262.600891203707</v>
      </c>
      <c r="H152" t="s">
        <v>269</v>
      </c>
      <c r="I152" t="s">
        <v>7</v>
      </c>
      <c r="J152" t="s">
        <v>270</v>
      </c>
      <c r="K152" t="s">
        <v>67</v>
      </c>
      <c r="L152" s="10"/>
      <c r="N15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52" s="3"/>
      <c r="P152" s="3"/>
      <c r="Q152" s="3">
        <v>46262.600891203707</v>
      </c>
      <c r="R15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52" t="str">
        <f>IF(SCTR_Brokers[[#This Row],[FechaRecepcion]]="","",TEXT(SCTR_Brokers[[#This Row],[FechaRecepcion]],"mmmm")&amp;" "&amp;YEAR(SCTR_Brokers[[#This Row],[FechaRecepcion]]))</f>
        <v>agosto 2026</v>
      </c>
      <c r="U152">
        <f>IF(SCTR_Brokers[[#This Row],[Estado]]="FINALIZADO",1,0)</f>
        <v>1</v>
      </c>
      <c r="V152">
        <f>IF(SCTR_Brokers[[#This Row],[FechaRecepcion]]="","",IF(SCTR_Brokers[[#This Row],[Estado]]="FINALIZADO",0,1))</f>
        <v>0</v>
      </c>
      <c r="W152">
        <f ca="1">IF(AND(SCTR_Brokers[[#This Row],[Estado]]="FINALIZADO",SCTR_Brokers[[#This Row],[Plazo]]=LISTAS!$J$3),1,0)</f>
        <v>1</v>
      </c>
      <c r="X152">
        <f ca="1">IF(AND(SCTR_Brokers[[#This Row],[Estado]]="FINALIZADO",SCTR_Brokers[[#This Row],[Plazo]]=LISTAS!$J$4),1,0)</f>
        <v>0</v>
      </c>
      <c r="Y152">
        <f ca="1">IF(AND(SCTR_Brokers[[#This Row],[Estado]]&lt;&gt;"FINALIZADO",SCTR_Brokers[[#This Row],[Plazo]]=LISTAS!$J$4),1,0)</f>
        <v>0</v>
      </c>
      <c r="Z152">
        <f>IF(SCTR_Brokers[[#This Row],[Fecha_Solic_Informe]]="",0,1)</f>
        <v>0</v>
      </c>
      <c r="AA152">
        <f>IF(SCTR_Brokers[[#This Row],[Fecha_Informe]]="",0,1)</f>
        <v>0</v>
      </c>
      <c r="AB152">
        <f>IF(AND(SCTR_Brokers[[#This Row],[Fecha_Solic_Informe]]&lt;&gt;"",SCTR_Brokers[[#This Row],[Fecha_Informe]]=""),1,0)</f>
        <v>0</v>
      </c>
      <c r="AC15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53" spans="1:29" hidden="1">
      <c r="A153" t="s">
        <v>383</v>
      </c>
      <c r="C153" t="str">
        <f>IF(SCTR_Brokers[[#This Row],[FechaRecepcion]]="","",SCTR_Brokers[[#This Row],[ConversationId]]&amp;"-"&amp;TEXT(SCTR_Brokers[[#This Row],[FechaRecepcion]],"aaaammddhhmmss"))</f>
        <v>AAQkADdkNThjNzFkLWM0ZmMtNDJhYS04MDVlLTIwNzE4ZDI1Mzg4YgAQADnEjVX9uXdDoV9QZJJ-YxY=-20260828142608</v>
      </c>
      <c r="D153" t="s">
        <v>384</v>
      </c>
      <c r="E153" t="s">
        <v>21</v>
      </c>
      <c r="F153" s="3">
        <v>46262.601481481484</v>
      </c>
      <c r="G153" s="3">
        <v>46265.346886574072</v>
      </c>
      <c r="H153" t="s">
        <v>70</v>
      </c>
      <c r="I153" t="s">
        <v>7</v>
      </c>
      <c r="K153" t="s">
        <v>67</v>
      </c>
      <c r="L153" s="10" t="s">
        <v>385</v>
      </c>
      <c r="N15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53" s="3"/>
      <c r="P153" s="3"/>
      <c r="Q153" s="3">
        <v>46265.346886574072</v>
      </c>
      <c r="R15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53" t="str">
        <f>IF(SCTR_Brokers[[#This Row],[FechaRecepcion]]="","",TEXT(SCTR_Brokers[[#This Row],[FechaRecepcion]],"mmmm")&amp;" "&amp;YEAR(SCTR_Brokers[[#This Row],[FechaRecepcion]]))</f>
        <v>agosto 2026</v>
      </c>
      <c r="U153">
        <f>IF(SCTR_Brokers[[#This Row],[Estado]]="FINALIZADO",1,0)</f>
        <v>1</v>
      </c>
      <c r="V153">
        <f>IF(SCTR_Brokers[[#This Row],[FechaRecepcion]]="","",IF(SCTR_Brokers[[#This Row],[Estado]]="FINALIZADO",0,1))</f>
        <v>0</v>
      </c>
      <c r="W153">
        <f ca="1">IF(AND(SCTR_Brokers[[#This Row],[Estado]]="FINALIZADO",SCTR_Brokers[[#This Row],[Plazo]]=LISTAS!$J$3),1,0)</f>
        <v>1</v>
      </c>
      <c r="X153">
        <f ca="1">IF(AND(SCTR_Brokers[[#This Row],[Estado]]="FINALIZADO",SCTR_Brokers[[#This Row],[Plazo]]=LISTAS!$J$4),1,0)</f>
        <v>0</v>
      </c>
      <c r="Y153">
        <f ca="1">IF(AND(SCTR_Brokers[[#This Row],[Estado]]&lt;&gt;"FINALIZADO",SCTR_Brokers[[#This Row],[Plazo]]=LISTAS!$J$4),1,0)</f>
        <v>0</v>
      </c>
      <c r="Z153">
        <f>IF(SCTR_Brokers[[#This Row],[Fecha_Solic_Informe]]="",0,1)</f>
        <v>0</v>
      </c>
      <c r="AA153">
        <f>IF(SCTR_Brokers[[#This Row],[Fecha_Informe]]="",0,1)</f>
        <v>0</v>
      </c>
      <c r="AB153">
        <f>IF(AND(SCTR_Brokers[[#This Row],[Fecha_Solic_Informe]]&lt;&gt;"",SCTR_Brokers[[#This Row],[Fecha_Informe]]=""),1,0)</f>
        <v>0</v>
      </c>
      <c r="AC15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54" spans="1:29" hidden="1">
      <c r="A154" t="s">
        <v>386</v>
      </c>
      <c r="C154" t="str">
        <f>IF(SCTR_Brokers[[#This Row],[FechaRecepcion]]="","",SCTR_Brokers[[#This Row],[ConversationId]]&amp;"-"&amp;TEXT(SCTR_Brokers[[#This Row],[FechaRecepcion]],"aaaammddhhmmss"))</f>
        <v>AAQkADdkNThjNzFkLWM0ZmMtNDJhYS04MDVlLTIwNzE4ZDI1Mzg4YgAQAKkQjKVfUEFVtzy-OtwqNXg=-20260828144641</v>
      </c>
      <c r="D154" t="s">
        <v>387</v>
      </c>
      <c r="E154" t="s">
        <v>8</v>
      </c>
      <c r="F154" s="3">
        <v>46262.615752314814</v>
      </c>
      <c r="G154" s="3">
        <v>46265.087546296294</v>
      </c>
      <c r="H154" t="s">
        <v>217</v>
      </c>
      <c r="I154" t="s">
        <v>7</v>
      </c>
      <c r="J154" t="s">
        <v>218</v>
      </c>
      <c r="K154" t="s">
        <v>67</v>
      </c>
      <c r="L154" s="10"/>
      <c r="N15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54" s="3"/>
      <c r="P154" s="3"/>
      <c r="Q154" s="3">
        <v>46265.087546296294</v>
      </c>
      <c r="R15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54" t="str">
        <f>IF(SCTR_Brokers[[#This Row],[FechaRecepcion]]="","",TEXT(SCTR_Brokers[[#This Row],[FechaRecepcion]],"mmmm")&amp;" "&amp;YEAR(SCTR_Brokers[[#This Row],[FechaRecepcion]]))</f>
        <v>agosto 2026</v>
      </c>
      <c r="U154">
        <f>IF(SCTR_Brokers[[#This Row],[Estado]]="FINALIZADO",1,0)</f>
        <v>1</v>
      </c>
      <c r="V154">
        <f>IF(SCTR_Brokers[[#This Row],[FechaRecepcion]]="","",IF(SCTR_Brokers[[#This Row],[Estado]]="FINALIZADO",0,1))</f>
        <v>0</v>
      </c>
      <c r="W154">
        <f ca="1">IF(AND(SCTR_Brokers[[#This Row],[Estado]]="FINALIZADO",SCTR_Brokers[[#This Row],[Plazo]]=LISTAS!$J$3),1,0)</f>
        <v>1</v>
      </c>
      <c r="X154">
        <f ca="1">IF(AND(SCTR_Brokers[[#This Row],[Estado]]="FINALIZADO",SCTR_Brokers[[#This Row],[Plazo]]=LISTAS!$J$4),1,0)</f>
        <v>0</v>
      </c>
      <c r="Y154">
        <f ca="1">IF(AND(SCTR_Brokers[[#This Row],[Estado]]&lt;&gt;"FINALIZADO",SCTR_Brokers[[#This Row],[Plazo]]=LISTAS!$J$4),1,0)</f>
        <v>0</v>
      </c>
      <c r="Z154">
        <f>IF(SCTR_Brokers[[#This Row],[Fecha_Solic_Informe]]="",0,1)</f>
        <v>0</v>
      </c>
      <c r="AA154">
        <f>IF(SCTR_Brokers[[#This Row],[Fecha_Informe]]="",0,1)</f>
        <v>0</v>
      </c>
      <c r="AB154">
        <f>IF(AND(SCTR_Brokers[[#This Row],[Fecha_Solic_Informe]]&lt;&gt;"",SCTR_Brokers[[#This Row],[Fecha_Informe]]=""),1,0)</f>
        <v>0</v>
      </c>
      <c r="AC15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55" spans="1:29" hidden="1">
      <c r="A155" t="s">
        <v>327</v>
      </c>
      <c r="C155" t="str">
        <f>IF(SCTR_Brokers[[#This Row],[FechaRecepcion]]="","",SCTR_Brokers[[#This Row],[ConversationId]]&amp;"-"&amp;TEXT(SCTR_Brokers[[#This Row],[FechaRecepcion]],"aaaammddhhmmss"))</f>
        <v>AAQkADdkNThjNzFkLWM0ZmMtNDJhYS04MDVlLTIwNzE4ZDI1Mzg4YgAQACDPXIvr2kiIpBltU6cbmpA=-20260828152253</v>
      </c>
      <c r="D155" t="s">
        <v>328</v>
      </c>
      <c r="E155" t="s">
        <v>20</v>
      </c>
      <c r="F155" s="3">
        <v>46262.6408912037</v>
      </c>
      <c r="G155" s="3">
        <v>46262.6408912037</v>
      </c>
      <c r="H155" t="s">
        <v>329</v>
      </c>
      <c r="I155" t="s">
        <v>7</v>
      </c>
      <c r="K155" t="s">
        <v>67</v>
      </c>
      <c r="L155" s="10"/>
      <c r="N15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55" s="3"/>
      <c r="P155" s="3"/>
      <c r="Q155" s="3">
        <v>46262.6408912037</v>
      </c>
      <c r="R15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55" t="str">
        <f>IF(SCTR_Brokers[[#This Row],[FechaRecepcion]]="","",TEXT(SCTR_Brokers[[#This Row],[FechaRecepcion]],"mmmm")&amp;" "&amp;YEAR(SCTR_Brokers[[#This Row],[FechaRecepcion]]))</f>
        <v>agosto 2026</v>
      </c>
      <c r="U155">
        <f>IF(SCTR_Brokers[[#This Row],[Estado]]="FINALIZADO",1,0)</f>
        <v>1</v>
      </c>
      <c r="V155">
        <f>IF(SCTR_Brokers[[#This Row],[FechaRecepcion]]="","",IF(SCTR_Brokers[[#This Row],[Estado]]="FINALIZADO",0,1))</f>
        <v>0</v>
      </c>
      <c r="W155">
        <f ca="1">IF(AND(SCTR_Brokers[[#This Row],[Estado]]="FINALIZADO",SCTR_Brokers[[#This Row],[Plazo]]=LISTAS!$J$3),1,0)</f>
        <v>1</v>
      </c>
      <c r="X155">
        <f ca="1">IF(AND(SCTR_Brokers[[#This Row],[Estado]]="FINALIZADO",SCTR_Brokers[[#This Row],[Plazo]]=LISTAS!$J$4),1,0)</f>
        <v>0</v>
      </c>
      <c r="Y155">
        <f ca="1">IF(AND(SCTR_Brokers[[#This Row],[Estado]]&lt;&gt;"FINALIZADO",SCTR_Brokers[[#This Row],[Plazo]]=LISTAS!$J$4),1,0)</f>
        <v>0</v>
      </c>
      <c r="Z155">
        <f>IF(SCTR_Brokers[[#This Row],[Fecha_Solic_Informe]]="",0,1)</f>
        <v>0</v>
      </c>
      <c r="AA155">
        <f>IF(SCTR_Brokers[[#This Row],[Fecha_Informe]]="",0,1)</f>
        <v>0</v>
      </c>
      <c r="AB155">
        <f>IF(AND(SCTR_Brokers[[#This Row],[Fecha_Solic_Informe]]&lt;&gt;"",SCTR_Brokers[[#This Row],[Fecha_Informe]]=""),1,0)</f>
        <v>0</v>
      </c>
      <c r="AC15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56" spans="1:29" hidden="1">
      <c r="A156" t="s">
        <v>388</v>
      </c>
      <c r="C156" t="str">
        <f>IF(SCTR_Brokers[[#This Row],[FechaRecepcion]]="","",SCTR_Brokers[[#This Row],[ConversationId]]&amp;"-"&amp;TEXT(SCTR_Brokers[[#This Row],[FechaRecepcion]],"aaaammddhhmmss"))</f>
        <v>AAQkADdkNThjNzFkLWM0ZmMtNDJhYS04MDVlLTIwNzE4ZDI1Mzg4YgAQACq-7aJT9u5NoKb3jSz_pCw=-20260828161928</v>
      </c>
      <c r="D156" t="s">
        <v>389</v>
      </c>
      <c r="E156" t="s">
        <v>20</v>
      </c>
      <c r="F156" s="3">
        <v>46262.680185185185</v>
      </c>
      <c r="G156" s="3">
        <v>46265.428379629629</v>
      </c>
      <c r="H156" t="s">
        <v>70</v>
      </c>
      <c r="I156" t="s">
        <v>7</v>
      </c>
      <c r="J156" t="s">
        <v>390</v>
      </c>
      <c r="K156" t="s">
        <v>138</v>
      </c>
      <c r="L156" s="10"/>
      <c r="N15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56" s="3">
        <v>46265.427083333336</v>
      </c>
      <c r="P156" s="3"/>
      <c r="Q156" s="3">
        <v>46265.428379629629</v>
      </c>
      <c r="R15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156" t="s">
        <v>164</v>
      </c>
      <c r="T156" t="str">
        <f>IF(SCTR_Brokers[[#This Row],[FechaRecepcion]]="","",TEXT(SCTR_Brokers[[#This Row],[FechaRecepcion]],"mmmm")&amp;" "&amp;YEAR(SCTR_Brokers[[#This Row],[FechaRecepcion]]))</f>
        <v>agosto 2026</v>
      </c>
      <c r="U156">
        <f>IF(SCTR_Brokers[[#This Row],[Estado]]="FINALIZADO",1,0)</f>
        <v>1</v>
      </c>
      <c r="V156">
        <f>IF(SCTR_Brokers[[#This Row],[FechaRecepcion]]="","",IF(SCTR_Brokers[[#This Row],[Estado]]="FINALIZADO",0,1))</f>
        <v>0</v>
      </c>
      <c r="W156">
        <f ca="1">IF(AND(SCTR_Brokers[[#This Row],[Estado]]="FINALIZADO",SCTR_Brokers[[#This Row],[Plazo]]=LISTAS!$J$3),1,0)</f>
        <v>1</v>
      </c>
      <c r="X156">
        <f ca="1">IF(AND(SCTR_Brokers[[#This Row],[Estado]]="FINALIZADO",SCTR_Brokers[[#This Row],[Plazo]]=LISTAS!$J$4),1,0)</f>
        <v>0</v>
      </c>
      <c r="Y156">
        <f ca="1">IF(AND(SCTR_Brokers[[#This Row],[Estado]]&lt;&gt;"FINALIZADO",SCTR_Brokers[[#This Row],[Plazo]]=LISTAS!$J$4),1,0)</f>
        <v>0</v>
      </c>
      <c r="Z156">
        <f>IF(SCTR_Brokers[[#This Row],[Fecha_Solic_Informe]]="",0,1)</f>
        <v>1</v>
      </c>
      <c r="AA156">
        <f>IF(SCTR_Brokers[[#This Row],[Fecha_Informe]]="",0,1)</f>
        <v>0</v>
      </c>
      <c r="AB156">
        <f>IF(AND(SCTR_Brokers[[#This Row],[Fecha_Solic_Informe]]&lt;&gt;"",SCTR_Brokers[[#This Row],[Fecha_Informe]]=""),1,0)</f>
        <v>1</v>
      </c>
      <c r="AC15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57" spans="1:29" hidden="1">
      <c r="A157" t="s">
        <v>349</v>
      </c>
      <c r="C157" t="str">
        <f>IF(SCTR_Brokers[[#This Row],[FechaRecepcion]]="","",SCTR_Brokers[[#This Row],[ConversationId]]&amp;"-"&amp;TEXT(SCTR_Brokers[[#This Row],[FechaRecepcion]],"aaaammddhhmmss"))</f>
        <v>AAQkADdkNThjNzFkLWM0ZmMtNDJhYS04MDVlLTIwNzE4ZDI1Mzg4YgAQAEDgKCXAvFZGnf2tGzURE04=-20260828164427</v>
      </c>
      <c r="D157" t="s">
        <v>378</v>
      </c>
      <c r="E157" t="s">
        <v>23</v>
      </c>
      <c r="F157" s="3">
        <v>46262.697534722225</v>
      </c>
      <c r="G157" s="3">
        <v>46265.350289351853</v>
      </c>
      <c r="H157" t="s">
        <v>70</v>
      </c>
      <c r="I157" t="s">
        <v>7</v>
      </c>
      <c r="K157" t="s">
        <v>67</v>
      </c>
      <c r="L157" s="10"/>
      <c r="N15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57" s="3"/>
      <c r="P157" s="3"/>
      <c r="Q157" s="3">
        <v>46265.350289351853</v>
      </c>
      <c r="R15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57" t="str">
        <f>IF(SCTR_Brokers[[#This Row],[FechaRecepcion]]="","",TEXT(SCTR_Brokers[[#This Row],[FechaRecepcion]],"mmmm")&amp;" "&amp;YEAR(SCTR_Brokers[[#This Row],[FechaRecepcion]]))</f>
        <v>agosto 2026</v>
      </c>
      <c r="U157">
        <f>IF(SCTR_Brokers[[#This Row],[Estado]]="FINALIZADO",1,0)</f>
        <v>1</v>
      </c>
      <c r="V157">
        <f>IF(SCTR_Brokers[[#This Row],[FechaRecepcion]]="","",IF(SCTR_Brokers[[#This Row],[Estado]]="FINALIZADO",0,1))</f>
        <v>0</v>
      </c>
      <c r="W157">
        <f ca="1">IF(AND(SCTR_Brokers[[#This Row],[Estado]]="FINALIZADO",SCTR_Brokers[[#This Row],[Plazo]]=LISTAS!$J$3),1,0)</f>
        <v>1</v>
      </c>
      <c r="X157">
        <f ca="1">IF(AND(SCTR_Brokers[[#This Row],[Estado]]="FINALIZADO",SCTR_Brokers[[#This Row],[Plazo]]=LISTAS!$J$4),1,0)</f>
        <v>0</v>
      </c>
      <c r="Y157">
        <f ca="1">IF(AND(SCTR_Brokers[[#This Row],[Estado]]&lt;&gt;"FINALIZADO",SCTR_Brokers[[#This Row],[Plazo]]=LISTAS!$J$4),1,0)</f>
        <v>0</v>
      </c>
      <c r="Z157">
        <f>IF(SCTR_Brokers[[#This Row],[Fecha_Solic_Informe]]="",0,1)</f>
        <v>0</v>
      </c>
      <c r="AA157">
        <f>IF(SCTR_Brokers[[#This Row],[Fecha_Informe]]="",0,1)</f>
        <v>0</v>
      </c>
      <c r="AB157">
        <f>IF(AND(SCTR_Brokers[[#This Row],[Fecha_Solic_Informe]]&lt;&gt;"",SCTR_Brokers[[#This Row],[Fecha_Informe]]=""),1,0)</f>
        <v>0</v>
      </c>
      <c r="AC15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58" spans="1:29" hidden="1">
      <c r="A158" t="s">
        <v>391</v>
      </c>
      <c r="C158" t="str">
        <f>IF(SCTR_Brokers[[#This Row],[FechaRecepcion]]="","",SCTR_Brokers[[#This Row],[ConversationId]]&amp;"-"&amp;TEXT(SCTR_Brokers[[#This Row],[FechaRecepcion]],"aaaammddhhmmss"))</f>
        <v>AAQkADdkNThjNzFkLWM0ZmMtNDJhYS04MDVlLTIwNzE4ZDI1Mzg4YgAQAD-vHkCL-El8nAlMeNePUIE=-20260828165618</v>
      </c>
      <c r="D158" t="s">
        <v>392</v>
      </c>
      <c r="E158" t="s">
        <v>23</v>
      </c>
      <c r="F158" s="3">
        <v>46262.705763888887</v>
      </c>
      <c r="G158" s="3">
        <v>46265.351307870369</v>
      </c>
      <c r="H158" t="s">
        <v>70</v>
      </c>
      <c r="I158" t="s">
        <v>7</v>
      </c>
      <c r="K158" t="s">
        <v>67</v>
      </c>
      <c r="L158" s="10"/>
      <c r="N15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58" s="3"/>
      <c r="P158" s="3"/>
      <c r="Q158" s="3">
        <v>46265.351307870369</v>
      </c>
      <c r="R15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58" t="str">
        <f>IF(SCTR_Brokers[[#This Row],[FechaRecepcion]]="","",TEXT(SCTR_Brokers[[#This Row],[FechaRecepcion]],"mmmm")&amp;" "&amp;YEAR(SCTR_Brokers[[#This Row],[FechaRecepcion]]))</f>
        <v>agosto 2026</v>
      </c>
      <c r="U158">
        <f>IF(SCTR_Brokers[[#This Row],[Estado]]="FINALIZADO",1,0)</f>
        <v>1</v>
      </c>
      <c r="V158">
        <f>IF(SCTR_Brokers[[#This Row],[FechaRecepcion]]="","",IF(SCTR_Brokers[[#This Row],[Estado]]="FINALIZADO",0,1))</f>
        <v>0</v>
      </c>
      <c r="W158">
        <f ca="1">IF(AND(SCTR_Brokers[[#This Row],[Estado]]="FINALIZADO",SCTR_Brokers[[#This Row],[Plazo]]=LISTAS!$J$3),1,0)</f>
        <v>1</v>
      </c>
      <c r="X158">
        <f ca="1">IF(AND(SCTR_Brokers[[#This Row],[Estado]]="FINALIZADO",SCTR_Brokers[[#This Row],[Plazo]]=LISTAS!$J$4),1,0)</f>
        <v>0</v>
      </c>
      <c r="Y158">
        <f ca="1">IF(AND(SCTR_Brokers[[#This Row],[Estado]]&lt;&gt;"FINALIZADO",SCTR_Brokers[[#This Row],[Plazo]]=LISTAS!$J$4),1,0)</f>
        <v>0</v>
      </c>
      <c r="Z158">
        <f>IF(SCTR_Brokers[[#This Row],[Fecha_Solic_Informe]]="",0,1)</f>
        <v>0</v>
      </c>
      <c r="AA158">
        <f>IF(SCTR_Brokers[[#This Row],[Fecha_Informe]]="",0,1)</f>
        <v>0</v>
      </c>
      <c r="AB158">
        <f>IF(AND(SCTR_Brokers[[#This Row],[Fecha_Solic_Informe]]&lt;&gt;"",SCTR_Brokers[[#This Row],[Fecha_Informe]]=""),1,0)</f>
        <v>0</v>
      </c>
      <c r="AC15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59" spans="1:29" hidden="1">
      <c r="A159" t="s">
        <v>393</v>
      </c>
      <c r="C159" t="str">
        <f>IF(SCTR_Brokers[[#This Row],[FechaRecepcion]]="","",SCTR_Brokers[[#This Row],[ConversationId]]&amp;"-"&amp;TEXT(SCTR_Brokers[[#This Row],[FechaRecepcion]],"aaaammddhhmmss"))</f>
        <v>AAQkADdkNThjNzFkLWM0ZmMtNDJhYS04MDVlLTIwNzE4ZDI1Mzg4YgAQABCclvyNQMROrKa74DD2ZPg=-20260831110158</v>
      </c>
      <c r="D159" t="s">
        <v>394</v>
      </c>
      <c r="E159" t="s">
        <v>21</v>
      </c>
      <c r="F159" s="3">
        <v>46265.459699074076</v>
      </c>
      <c r="G159" s="3">
        <v>46266.397824074076</v>
      </c>
      <c r="H159" t="s">
        <v>319</v>
      </c>
      <c r="I159" t="s">
        <v>7</v>
      </c>
      <c r="J159" t="s">
        <v>320</v>
      </c>
      <c r="K159" t="s">
        <v>67</v>
      </c>
      <c r="L159" s="10"/>
      <c r="N15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59" s="3"/>
      <c r="P159" s="3"/>
      <c r="Q159" s="3">
        <v>46266.397824074076</v>
      </c>
      <c r="R15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159" t="str">
        <f>IF(SCTR_Brokers[[#This Row],[FechaRecepcion]]="","",TEXT(SCTR_Brokers[[#This Row],[FechaRecepcion]],"mmmm")&amp;" "&amp;YEAR(SCTR_Brokers[[#This Row],[FechaRecepcion]]))</f>
        <v>agosto 2026</v>
      </c>
      <c r="U159">
        <f>IF(SCTR_Brokers[[#This Row],[Estado]]="FINALIZADO",1,0)</f>
        <v>1</v>
      </c>
      <c r="V159">
        <f>IF(SCTR_Brokers[[#This Row],[FechaRecepcion]]="","",IF(SCTR_Brokers[[#This Row],[Estado]]="FINALIZADO",0,1))</f>
        <v>0</v>
      </c>
      <c r="W159">
        <f ca="1">IF(AND(SCTR_Brokers[[#This Row],[Estado]]="FINALIZADO",SCTR_Brokers[[#This Row],[Plazo]]=LISTAS!$J$3),1,0)</f>
        <v>0</v>
      </c>
      <c r="X159">
        <f ca="1">IF(AND(SCTR_Brokers[[#This Row],[Estado]]="FINALIZADO",SCTR_Brokers[[#This Row],[Plazo]]=LISTAS!$J$4),1,0)</f>
        <v>1</v>
      </c>
      <c r="Y159">
        <f ca="1">IF(AND(SCTR_Brokers[[#This Row],[Estado]]&lt;&gt;"FINALIZADO",SCTR_Brokers[[#This Row],[Plazo]]=LISTAS!$J$4),1,0)</f>
        <v>0</v>
      </c>
      <c r="Z159">
        <f>IF(SCTR_Brokers[[#This Row],[Fecha_Solic_Informe]]="",0,1)</f>
        <v>0</v>
      </c>
      <c r="AA159">
        <f>IF(SCTR_Brokers[[#This Row],[Fecha_Informe]]="",0,1)</f>
        <v>0</v>
      </c>
      <c r="AB159">
        <f>IF(AND(SCTR_Brokers[[#This Row],[Fecha_Solic_Informe]]&lt;&gt;"",SCTR_Brokers[[#This Row],[Fecha_Informe]]=""),1,0)</f>
        <v>0</v>
      </c>
      <c r="AC15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60" spans="1:29" hidden="1">
      <c r="A160" t="s">
        <v>395</v>
      </c>
      <c r="C160" t="str">
        <f>IF(SCTR_Brokers[[#This Row],[FechaRecepcion]]="","",SCTR_Brokers[[#This Row],[ConversationId]]&amp;"-"&amp;TEXT(SCTR_Brokers[[#This Row],[FechaRecepcion]],"aaaammddhhmmss"))</f>
        <v>AAQkADdkNThjNzFkLWM0ZmMtNDJhYS04MDVlLTIwNzE4ZDI1Mzg4YgAQAGpPdvJG3TdPg9e-weUSVsY=-20260831110305</v>
      </c>
      <c r="D160" t="s">
        <v>396</v>
      </c>
      <c r="E160" t="s">
        <v>21</v>
      </c>
      <c r="F160" s="3">
        <v>46265.460474537038</v>
      </c>
      <c r="G160" s="3">
        <v>46265.501018518517</v>
      </c>
      <c r="H160" t="s">
        <v>70</v>
      </c>
      <c r="I160" t="s">
        <v>7</v>
      </c>
      <c r="K160" t="s">
        <v>67</v>
      </c>
      <c r="L160" s="10"/>
      <c r="N16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60" s="3"/>
      <c r="P160" s="3"/>
      <c r="Q160" s="3">
        <v>46265.501018518517</v>
      </c>
      <c r="R16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60" t="str">
        <f>IF(SCTR_Brokers[[#This Row],[FechaRecepcion]]="","",TEXT(SCTR_Brokers[[#This Row],[FechaRecepcion]],"mmmm")&amp;" "&amp;YEAR(SCTR_Brokers[[#This Row],[FechaRecepcion]]))</f>
        <v>agosto 2026</v>
      </c>
      <c r="U160">
        <f>IF(SCTR_Brokers[[#This Row],[Estado]]="FINALIZADO",1,0)</f>
        <v>1</v>
      </c>
      <c r="V160">
        <f>IF(SCTR_Brokers[[#This Row],[FechaRecepcion]]="","",IF(SCTR_Brokers[[#This Row],[Estado]]="FINALIZADO",0,1))</f>
        <v>0</v>
      </c>
      <c r="W160">
        <f ca="1">IF(AND(SCTR_Brokers[[#This Row],[Estado]]="FINALIZADO",SCTR_Brokers[[#This Row],[Plazo]]=LISTAS!$J$3),1,0)</f>
        <v>1</v>
      </c>
      <c r="X160">
        <f ca="1">IF(AND(SCTR_Brokers[[#This Row],[Estado]]="FINALIZADO",SCTR_Brokers[[#This Row],[Plazo]]=LISTAS!$J$4),1,0)</f>
        <v>0</v>
      </c>
      <c r="Y160">
        <f ca="1">IF(AND(SCTR_Brokers[[#This Row],[Estado]]&lt;&gt;"FINALIZADO",SCTR_Brokers[[#This Row],[Plazo]]=LISTAS!$J$4),1,0)</f>
        <v>0</v>
      </c>
      <c r="Z160">
        <f>IF(SCTR_Brokers[[#This Row],[Fecha_Solic_Informe]]="",0,1)</f>
        <v>0</v>
      </c>
      <c r="AA160">
        <f>IF(SCTR_Brokers[[#This Row],[Fecha_Informe]]="",0,1)</f>
        <v>0</v>
      </c>
      <c r="AB160">
        <f>IF(AND(SCTR_Brokers[[#This Row],[Fecha_Solic_Informe]]&lt;&gt;"",SCTR_Brokers[[#This Row],[Fecha_Informe]]=""),1,0)</f>
        <v>0</v>
      </c>
      <c r="AC16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61" spans="1:29" hidden="1">
      <c r="A161" t="s">
        <v>397</v>
      </c>
      <c r="C161" t="str">
        <f>IF(SCTR_Brokers[[#This Row],[FechaRecepcion]]="","",SCTR_Brokers[[#This Row],[ConversationId]]&amp;"-"&amp;TEXT(SCTR_Brokers[[#This Row],[FechaRecepcion]],"aaaammddhhmmss"))</f>
        <v>AAQkADdkNThjNzFkLWM0ZmMtNDJhYS04MDVlLTIwNzE4ZDI1Mzg4YgAQAD7HiLGBklpAiqHssG01_g8=-20260831110702</v>
      </c>
      <c r="D161" t="s">
        <v>398</v>
      </c>
      <c r="E161" t="s">
        <v>8</v>
      </c>
      <c r="F161" s="3">
        <v>46265.463217592594</v>
      </c>
      <c r="G161" s="3">
        <v>46265.762754629628</v>
      </c>
      <c r="H161" t="s">
        <v>70</v>
      </c>
      <c r="I161" t="s">
        <v>7</v>
      </c>
      <c r="K161" t="s">
        <v>67</v>
      </c>
      <c r="L161" s="10"/>
      <c r="N16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61" s="3"/>
      <c r="P161" s="3"/>
      <c r="Q161" s="3">
        <v>46265.762754629628</v>
      </c>
      <c r="R16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161" t="str">
        <f>IF(SCTR_Brokers[[#This Row],[FechaRecepcion]]="","",TEXT(SCTR_Brokers[[#This Row],[FechaRecepcion]],"mmmm")&amp;" "&amp;YEAR(SCTR_Brokers[[#This Row],[FechaRecepcion]]))</f>
        <v>agosto 2026</v>
      </c>
      <c r="U161">
        <f>IF(SCTR_Brokers[[#This Row],[Estado]]="FINALIZADO",1,0)</f>
        <v>1</v>
      </c>
      <c r="V161">
        <f>IF(SCTR_Brokers[[#This Row],[FechaRecepcion]]="","",IF(SCTR_Brokers[[#This Row],[Estado]]="FINALIZADO",0,1))</f>
        <v>0</v>
      </c>
      <c r="W161">
        <f ca="1">IF(AND(SCTR_Brokers[[#This Row],[Estado]]="FINALIZADO",SCTR_Brokers[[#This Row],[Plazo]]=LISTAS!$J$3),1,0)</f>
        <v>0</v>
      </c>
      <c r="X161">
        <f ca="1">IF(AND(SCTR_Brokers[[#This Row],[Estado]]="FINALIZADO",SCTR_Brokers[[#This Row],[Plazo]]=LISTAS!$J$4),1,0)</f>
        <v>1</v>
      </c>
      <c r="Y161">
        <f ca="1">IF(AND(SCTR_Brokers[[#This Row],[Estado]]&lt;&gt;"FINALIZADO",SCTR_Brokers[[#This Row],[Plazo]]=LISTAS!$J$4),1,0)</f>
        <v>0</v>
      </c>
      <c r="Z161">
        <f>IF(SCTR_Brokers[[#This Row],[Fecha_Solic_Informe]]="",0,1)</f>
        <v>0</v>
      </c>
      <c r="AA161">
        <f>IF(SCTR_Brokers[[#This Row],[Fecha_Informe]]="",0,1)</f>
        <v>0</v>
      </c>
      <c r="AB161">
        <f>IF(AND(SCTR_Brokers[[#This Row],[Fecha_Solic_Informe]]&lt;&gt;"",SCTR_Brokers[[#This Row],[Fecha_Informe]]=""),1,0)</f>
        <v>0</v>
      </c>
      <c r="AC16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62" spans="1:29" hidden="1">
      <c r="A162" t="s">
        <v>399</v>
      </c>
      <c r="C162" t="str">
        <f>IF(SCTR_Brokers[[#This Row],[FechaRecepcion]]="","",SCTR_Brokers[[#This Row],[ConversationId]]&amp;"-"&amp;TEXT(SCTR_Brokers[[#This Row],[FechaRecepcion]],"aaaammddhhmmss"))</f>
        <v>AAQkADdkNThjNzFkLWM0ZmMtNDJhYS04MDVlLTIwNzE4ZDI1Mzg4YgAQALt0ItrNSglDpUpIv8JYOGY=-20260831154543</v>
      </c>
      <c r="D162" t="s">
        <v>400</v>
      </c>
      <c r="E162" t="s">
        <v>20</v>
      </c>
      <c r="F162" s="3">
        <v>46265.656747685185</v>
      </c>
      <c r="G162" s="3">
        <v>46265.774143518516</v>
      </c>
      <c r="H162" t="s">
        <v>70</v>
      </c>
      <c r="I162" t="s">
        <v>7</v>
      </c>
      <c r="K162" t="s">
        <v>67</v>
      </c>
      <c r="L162" s="10"/>
      <c r="N16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62" s="3"/>
      <c r="P162" s="3"/>
      <c r="Q162" s="3">
        <v>46265.774143518516</v>
      </c>
      <c r="R16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62" t="str">
        <f>IF(SCTR_Brokers[[#This Row],[FechaRecepcion]]="","",TEXT(SCTR_Brokers[[#This Row],[FechaRecepcion]],"mmmm")&amp;" "&amp;YEAR(SCTR_Brokers[[#This Row],[FechaRecepcion]]))</f>
        <v>agosto 2026</v>
      </c>
      <c r="U162">
        <f>IF(SCTR_Brokers[[#This Row],[Estado]]="FINALIZADO",1,0)</f>
        <v>1</v>
      </c>
      <c r="V162">
        <f>IF(SCTR_Brokers[[#This Row],[FechaRecepcion]]="","",IF(SCTR_Brokers[[#This Row],[Estado]]="FINALIZADO",0,1))</f>
        <v>0</v>
      </c>
      <c r="W162">
        <f ca="1">IF(AND(SCTR_Brokers[[#This Row],[Estado]]="FINALIZADO",SCTR_Brokers[[#This Row],[Plazo]]=LISTAS!$J$3),1,0)</f>
        <v>1</v>
      </c>
      <c r="X162">
        <f ca="1">IF(AND(SCTR_Brokers[[#This Row],[Estado]]="FINALIZADO",SCTR_Brokers[[#This Row],[Plazo]]=LISTAS!$J$4),1,0)</f>
        <v>0</v>
      </c>
      <c r="Y162">
        <f ca="1">IF(AND(SCTR_Brokers[[#This Row],[Estado]]&lt;&gt;"FINALIZADO",SCTR_Brokers[[#This Row],[Plazo]]=LISTAS!$J$4),1,0)</f>
        <v>0</v>
      </c>
      <c r="Z162">
        <f>IF(SCTR_Brokers[[#This Row],[Fecha_Solic_Informe]]="",0,1)</f>
        <v>0</v>
      </c>
      <c r="AA162">
        <f>IF(SCTR_Brokers[[#This Row],[Fecha_Informe]]="",0,1)</f>
        <v>0</v>
      </c>
      <c r="AB162">
        <f>IF(AND(SCTR_Brokers[[#This Row],[Fecha_Solic_Informe]]&lt;&gt;"",SCTR_Brokers[[#This Row],[Fecha_Informe]]=""),1,0)</f>
        <v>0</v>
      </c>
      <c r="AC16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63" spans="1:29" hidden="1">
      <c r="A163" t="s">
        <v>401</v>
      </c>
      <c r="C163" t="str">
        <f>IF(SCTR_Brokers[[#This Row],[FechaRecepcion]]="","",SCTR_Brokers[[#This Row],[ConversationId]]&amp;"-"&amp;TEXT(SCTR_Brokers[[#This Row],[FechaRecepcion]],"aaaammddhhmmss"))</f>
        <v>AAQkADdkNThjNzFkLWM0ZmMtNDJhYS04MDVlLTIwNzE4ZDI1Mzg4YgAQAF5TYrAFT0v2jEeUCE1goYA=-20260831160533</v>
      </c>
      <c r="D163" t="s">
        <v>402</v>
      </c>
      <c r="E163" t="s">
        <v>23</v>
      </c>
      <c r="F163" s="3">
        <v>46265.670520833337</v>
      </c>
      <c r="G163" s="3">
        <v>46265.772766203707</v>
      </c>
      <c r="H163" t="s">
        <v>70</v>
      </c>
      <c r="I163" t="s">
        <v>7</v>
      </c>
      <c r="K163" t="s">
        <v>67</v>
      </c>
      <c r="L163" s="10"/>
      <c r="N16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63" s="3"/>
      <c r="P163" s="3"/>
      <c r="Q163" s="3">
        <v>46265.772766203707</v>
      </c>
      <c r="R16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63" t="str">
        <f>IF(SCTR_Brokers[[#This Row],[FechaRecepcion]]="","",TEXT(SCTR_Brokers[[#This Row],[FechaRecepcion]],"mmmm")&amp;" "&amp;YEAR(SCTR_Brokers[[#This Row],[FechaRecepcion]]))</f>
        <v>agosto 2026</v>
      </c>
      <c r="U163">
        <f>IF(SCTR_Brokers[[#This Row],[Estado]]="FINALIZADO",1,0)</f>
        <v>1</v>
      </c>
      <c r="V163">
        <f>IF(SCTR_Brokers[[#This Row],[FechaRecepcion]]="","",IF(SCTR_Brokers[[#This Row],[Estado]]="FINALIZADO",0,1))</f>
        <v>0</v>
      </c>
      <c r="W163">
        <f ca="1">IF(AND(SCTR_Brokers[[#This Row],[Estado]]="FINALIZADO",SCTR_Brokers[[#This Row],[Plazo]]=LISTAS!$J$3),1,0)</f>
        <v>1</v>
      </c>
      <c r="X163">
        <f ca="1">IF(AND(SCTR_Brokers[[#This Row],[Estado]]="FINALIZADO",SCTR_Brokers[[#This Row],[Plazo]]=LISTAS!$J$4),1,0)</f>
        <v>0</v>
      </c>
      <c r="Y163">
        <f ca="1">IF(AND(SCTR_Brokers[[#This Row],[Estado]]&lt;&gt;"FINALIZADO",SCTR_Brokers[[#This Row],[Plazo]]=LISTAS!$J$4),1,0)</f>
        <v>0</v>
      </c>
      <c r="Z163">
        <f>IF(SCTR_Brokers[[#This Row],[Fecha_Solic_Informe]]="",0,1)</f>
        <v>0</v>
      </c>
      <c r="AA163">
        <f>IF(SCTR_Brokers[[#This Row],[Fecha_Informe]]="",0,1)</f>
        <v>0</v>
      </c>
      <c r="AB163">
        <f>IF(AND(SCTR_Brokers[[#This Row],[Fecha_Solic_Informe]]&lt;&gt;"",SCTR_Brokers[[#This Row],[Fecha_Informe]]=""),1,0)</f>
        <v>0</v>
      </c>
      <c r="AC16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64" spans="1:29" hidden="1">
      <c r="A164" t="s">
        <v>403</v>
      </c>
      <c r="C164" t="str">
        <f>IF(SCTR_Brokers[[#This Row],[FechaRecepcion]]="","",SCTR_Brokers[[#This Row],[ConversationId]]&amp;"-"&amp;TEXT(SCTR_Brokers[[#This Row],[FechaRecepcion]],"aaaammddhhmmss"))</f>
        <v>AAQkADdkNThjNzFkLWM0ZmMtNDJhYS04MDVlLTIwNzE4ZDI1Mzg4YgAQAD9vFPYleL5CssY6fMGPZvI=-20260831170337</v>
      </c>
      <c r="D164" t="s">
        <v>404</v>
      </c>
      <c r="E164" t="s">
        <v>21</v>
      </c>
      <c r="F164" s="3">
        <v>46265.710844907408</v>
      </c>
      <c r="G164" s="3">
        <v>46265.780601851853</v>
      </c>
      <c r="H164" t="s">
        <v>183</v>
      </c>
      <c r="I164" t="s">
        <v>7</v>
      </c>
      <c r="J164" t="s">
        <v>184</v>
      </c>
      <c r="K164" t="s">
        <v>67</v>
      </c>
      <c r="L164" s="10"/>
      <c r="N16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64" s="3"/>
      <c r="P164" s="3"/>
      <c r="Q164" s="3">
        <v>46265.780601851853</v>
      </c>
      <c r="R16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64" t="str">
        <f>IF(SCTR_Brokers[[#This Row],[FechaRecepcion]]="","",TEXT(SCTR_Brokers[[#This Row],[FechaRecepcion]],"mmmm")&amp;" "&amp;YEAR(SCTR_Brokers[[#This Row],[FechaRecepcion]]))</f>
        <v>agosto 2026</v>
      </c>
      <c r="U164">
        <f>IF(SCTR_Brokers[[#This Row],[Estado]]="FINALIZADO",1,0)</f>
        <v>1</v>
      </c>
      <c r="V164">
        <f>IF(SCTR_Brokers[[#This Row],[FechaRecepcion]]="","",IF(SCTR_Brokers[[#This Row],[Estado]]="FINALIZADO",0,1))</f>
        <v>0</v>
      </c>
      <c r="W164">
        <f ca="1">IF(AND(SCTR_Brokers[[#This Row],[Estado]]="FINALIZADO",SCTR_Brokers[[#This Row],[Plazo]]=LISTAS!$J$3),1,0)</f>
        <v>1</v>
      </c>
      <c r="X164">
        <f ca="1">IF(AND(SCTR_Brokers[[#This Row],[Estado]]="FINALIZADO",SCTR_Brokers[[#This Row],[Plazo]]=LISTAS!$J$4),1,0)</f>
        <v>0</v>
      </c>
      <c r="Y164">
        <f ca="1">IF(AND(SCTR_Brokers[[#This Row],[Estado]]&lt;&gt;"FINALIZADO",SCTR_Brokers[[#This Row],[Plazo]]=LISTAS!$J$4),1,0)</f>
        <v>0</v>
      </c>
      <c r="Z164">
        <f>IF(SCTR_Brokers[[#This Row],[Fecha_Solic_Informe]]="",0,1)</f>
        <v>0</v>
      </c>
      <c r="AA164">
        <f>IF(SCTR_Brokers[[#This Row],[Fecha_Informe]]="",0,1)</f>
        <v>0</v>
      </c>
      <c r="AB164">
        <f>IF(AND(SCTR_Brokers[[#This Row],[Fecha_Solic_Informe]]&lt;&gt;"",SCTR_Brokers[[#This Row],[Fecha_Informe]]=""),1,0)</f>
        <v>0</v>
      </c>
      <c r="AC16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65" spans="1:29" hidden="1">
      <c r="A165" t="s">
        <v>405</v>
      </c>
      <c r="C165" t="str">
        <f>IF(SCTR_Brokers[[#This Row],[FechaRecepcion]]="","",SCTR_Brokers[[#This Row],[ConversationId]]&amp;"-"&amp;TEXT(SCTR_Brokers[[#This Row],[FechaRecepcion]],"aaaammddhhmmss"))</f>
        <v>AAQkADdkNThjNzFkLWM0ZmMtNDJhYS04MDVlLTIwNzE4ZDI1Mzg4YgAQAOTGaY4HCEpbg6ekS3HxCnI=-20260831171834</v>
      </c>
      <c r="D165" t="s">
        <v>406</v>
      </c>
      <c r="E165" t="s">
        <v>21</v>
      </c>
      <c r="F165" s="3">
        <v>46265.721226851849</v>
      </c>
      <c r="G165" s="3">
        <v>46265.768645833334</v>
      </c>
      <c r="H165" t="s">
        <v>70</v>
      </c>
      <c r="I165" t="s">
        <v>7</v>
      </c>
      <c r="K165" t="s">
        <v>67</v>
      </c>
      <c r="L165" s="10"/>
      <c r="N16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65" s="3"/>
      <c r="P165" s="3"/>
      <c r="Q165" s="3">
        <v>46265.768645833334</v>
      </c>
      <c r="R16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65" t="str">
        <f>IF(SCTR_Brokers[[#This Row],[FechaRecepcion]]="","",TEXT(SCTR_Brokers[[#This Row],[FechaRecepcion]],"mmmm")&amp;" "&amp;YEAR(SCTR_Brokers[[#This Row],[FechaRecepcion]]))</f>
        <v>agosto 2026</v>
      </c>
      <c r="U165">
        <f>IF(SCTR_Brokers[[#This Row],[Estado]]="FINALIZADO",1,0)</f>
        <v>1</v>
      </c>
      <c r="V165">
        <f>IF(SCTR_Brokers[[#This Row],[FechaRecepcion]]="","",IF(SCTR_Brokers[[#This Row],[Estado]]="FINALIZADO",0,1))</f>
        <v>0</v>
      </c>
      <c r="W165">
        <f ca="1">IF(AND(SCTR_Brokers[[#This Row],[Estado]]="FINALIZADO",SCTR_Brokers[[#This Row],[Plazo]]=LISTAS!$J$3),1,0)</f>
        <v>1</v>
      </c>
      <c r="X165">
        <f ca="1">IF(AND(SCTR_Brokers[[#This Row],[Estado]]="FINALIZADO",SCTR_Brokers[[#This Row],[Plazo]]=LISTAS!$J$4),1,0)</f>
        <v>0</v>
      </c>
      <c r="Y165">
        <f ca="1">IF(AND(SCTR_Brokers[[#This Row],[Estado]]&lt;&gt;"FINALIZADO",SCTR_Brokers[[#This Row],[Plazo]]=LISTAS!$J$4),1,0)</f>
        <v>0</v>
      </c>
      <c r="Z165">
        <f>IF(SCTR_Brokers[[#This Row],[Fecha_Solic_Informe]]="",0,1)</f>
        <v>0</v>
      </c>
      <c r="AA165">
        <f>IF(SCTR_Brokers[[#This Row],[Fecha_Informe]]="",0,1)</f>
        <v>0</v>
      </c>
      <c r="AB165">
        <f>IF(AND(SCTR_Brokers[[#This Row],[Fecha_Solic_Informe]]&lt;&gt;"",SCTR_Brokers[[#This Row],[Fecha_Informe]]=""),1,0)</f>
        <v>0</v>
      </c>
      <c r="AC16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66" spans="1:29" hidden="1">
      <c r="A166" t="s">
        <v>407</v>
      </c>
      <c r="C166" t="str">
        <f>IF(SCTR_Brokers[[#This Row],[FechaRecepcion]]="","",SCTR_Brokers[[#This Row],[ConversationId]]&amp;"-"&amp;TEXT(SCTR_Brokers[[#This Row],[FechaRecepcion]],"aaaammddhhmmss"))</f>
        <v>AAQkADdkNThjNzFkLWM0ZmMtNDJhYS04MDVlLTIwNzE4ZDI1Mzg4YgAQAIS6qsF3lkz1qDwufn5z_ZY=-20260831172013</v>
      </c>
      <c r="D166" t="s">
        <v>408</v>
      </c>
      <c r="E166" t="s">
        <v>14</v>
      </c>
      <c r="F166" s="3">
        <v>46265.722372685188</v>
      </c>
      <c r="G166" s="3">
        <v>46265.764664351853</v>
      </c>
      <c r="H166" t="s">
        <v>70</v>
      </c>
      <c r="I166" t="s">
        <v>7</v>
      </c>
      <c r="K166" t="s">
        <v>67</v>
      </c>
      <c r="L166" s="10"/>
      <c r="N16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66" s="3"/>
      <c r="P166" s="3"/>
      <c r="Q166" s="3">
        <v>46265.764664351853</v>
      </c>
      <c r="R16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66" t="str">
        <f>IF(SCTR_Brokers[[#This Row],[FechaRecepcion]]="","",TEXT(SCTR_Brokers[[#This Row],[FechaRecepcion]],"mmmm")&amp;" "&amp;YEAR(SCTR_Brokers[[#This Row],[FechaRecepcion]]))</f>
        <v>agosto 2026</v>
      </c>
      <c r="U166">
        <f>IF(SCTR_Brokers[[#This Row],[Estado]]="FINALIZADO",1,0)</f>
        <v>1</v>
      </c>
      <c r="V166">
        <f>IF(SCTR_Brokers[[#This Row],[FechaRecepcion]]="","",IF(SCTR_Brokers[[#This Row],[Estado]]="FINALIZADO",0,1))</f>
        <v>0</v>
      </c>
      <c r="W166">
        <f ca="1">IF(AND(SCTR_Brokers[[#This Row],[Estado]]="FINALIZADO",SCTR_Brokers[[#This Row],[Plazo]]=LISTAS!$J$3),1,0)</f>
        <v>1</v>
      </c>
      <c r="X166">
        <f ca="1">IF(AND(SCTR_Brokers[[#This Row],[Estado]]="FINALIZADO",SCTR_Brokers[[#This Row],[Plazo]]=LISTAS!$J$4),1,0)</f>
        <v>0</v>
      </c>
      <c r="Y166">
        <f ca="1">IF(AND(SCTR_Brokers[[#This Row],[Estado]]&lt;&gt;"FINALIZADO",SCTR_Brokers[[#This Row],[Plazo]]=LISTAS!$J$4),1,0)</f>
        <v>0</v>
      </c>
      <c r="Z166">
        <f>IF(SCTR_Brokers[[#This Row],[Fecha_Solic_Informe]]="",0,1)</f>
        <v>0</v>
      </c>
      <c r="AA166">
        <f>IF(SCTR_Brokers[[#This Row],[Fecha_Informe]]="",0,1)</f>
        <v>0</v>
      </c>
      <c r="AB166">
        <f>IF(AND(SCTR_Brokers[[#This Row],[Fecha_Solic_Informe]]&lt;&gt;"",SCTR_Brokers[[#This Row],[Fecha_Informe]]=""),1,0)</f>
        <v>0</v>
      </c>
      <c r="AC16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67" spans="1:29" hidden="1">
      <c r="A167" t="s">
        <v>409</v>
      </c>
      <c r="C167" t="str">
        <f>IF(SCTR_Brokers[[#This Row],[FechaRecepcion]]="","",SCTR_Brokers[[#This Row],[ConversationId]]&amp;"-"&amp;TEXT(SCTR_Brokers[[#This Row],[FechaRecepcion]],"aaaammddhhmmss"))</f>
        <v>AAQkADdkNThjNzFkLWM0ZmMtNDJhYS04MDVlLTIwNzE4ZDI1Mzg4YgAQAF1VA1wSOUmtoQlzWYPdd6g=-20260831181224</v>
      </c>
      <c r="D167" t="s">
        <v>410</v>
      </c>
      <c r="E167" t="s">
        <v>14</v>
      </c>
      <c r="F167" s="3">
        <v>46265.758611111109</v>
      </c>
      <c r="G167" s="3">
        <v>46265.76153935185</v>
      </c>
      <c r="H167" t="s">
        <v>70</v>
      </c>
      <c r="I167" t="s">
        <v>7</v>
      </c>
      <c r="K167" t="s">
        <v>67</v>
      </c>
      <c r="L167" s="10"/>
      <c r="N16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67" s="3"/>
      <c r="P167" s="3"/>
      <c r="Q167" s="3">
        <v>46265.76153935185</v>
      </c>
      <c r="R16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67" t="str">
        <f>IF(SCTR_Brokers[[#This Row],[FechaRecepcion]]="","",TEXT(SCTR_Brokers[[#This Row],[FechaRecepcion]],"mmmm")&amp;" "&amp;YEAR(SCTR_Brokers[[#This Row],[FechaRecepcion]]))</f>
        <v>agosto 2026</v>
      </c>
      <c r="U167">
        <f>IF(SCTR_Brokers[[#This Row],[Estado]]="FINALIZADO",1,0)</f>
        <v>1</v>
      </c>
      <c r="V167">
        <f>IF(SCTR_Brokers[[#This Row],[FechaRecepcion]]="","",IF(SCTR_Brokers[[#This Row],[Estado]]="FINALIZADO",0,1))</f>
        <v>0</v>
      </c>
      <c r="W167">
        <f ca="1">IF(AND(SCTR_Brokers[[#This Row],[Estado]]="FINALIZADO",SCTR_Brokers[[#This Row],[Plazo]]=LISTAS!$J$3),1,0)</f>
        <v>1</v>
      </c>
      <c r="X167">
        <f ca="1">IF(AND(SCTR_Brokers[[#This Row],[Estado]]="FINALIZADO",SCTR_Brokers[[#This Row],[Plazo]]=LISTAS!$J$4),1,0)</f>
        <v>0</v>
      </c>
      <c r="Y167">
        <f ca="1">IF(AND(SCTR_Brokers[[#This Row],[Estado]]&lt;&gt;"FINALIZADO",SCTR_Brokers[[#This Row],[Plazo]]=LISTAS!$J$4),1,0)</f>
        <v>0</v>
      </c>
      <c r="Z167">
        <f>IF(SCTR_Brokers[[#This Row],[Fecha_Solic_Informe]]="",0,1)</f>
        <v>0</v>
      </c>
      <c r="AA167">
        <f>IF(SCTR_Brokers[[#This Row],[Fecha_Informe]]="",0,1)</f>
        <v>0</v>
      </c>
      <c r="AB167">
        <f>IF(AND(SCTR_Brokers[[#This Row],[Fecha_Solic_Informe]]&lt;&gt;"",SCTR_Brokers[[#This Row],[Fecha_Informe]]=""),1,0)</f>
        <v>0</v>
      </c>
      <c r="AC16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68" spans="1:29" hidden="1">
      <c r="A168" t="s">
        <v>401</v>
      </c>
      <c r="C168" t="str">
        <f>IF(SCTR_Brokers[[#This Row],[FechaRecepcion]]="","",SCTR_Brokers[[#This Row],[ConversationId]]&amp;"-"&amp;TEXT(SCTR_Brokers[[#This Row],[FechaRecepcion]],"aaaammddhhmmss"))</f>
        <v>AAQkADdkNThjNzFkLWM0ZmMtNDJhYS04MDVlLTIwNzE4ZDI1Mzg4YgAQAF5TYrAFT0v2jEeUCE1goYA=-20260831224210</v>
      </c>
      <c r="D168" t="s">
        <v>411</v>
      </c>
      <c r="E168" t="s">
        <v>23</v>
      </c>
      <c r="F168" s="3">
        <v>46265.945949074077</v>
      </c>
      <c r="G168" s="3">
        <v>46265.945949074077</v>
      </c>
      <c r="H168" t="s">
        <v>325</v>
      </c>
      <c r="I168" t="s">
        <v>7</v>
      </c>
      <c r="K168" t="s">
        <v>67</v>
      </c>
      <c r="L168" s="10"/>
      <c r="N16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68" s="3"/>
      <c r="P168" s="3"/>
      <c r="Q168" s="3">
        <v>46265.772222222222</v>
      </c>
      <c r="R16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68" t="str">
        <f>IF(SCTR_Brokers[[#This Row],[FechaRecepcion]]="","",TEXT(SCTR_Brokers[[#This Row],[FechaRecepcion]],"mmmm")&amp;" "&amp;YEAR(SCTR_Brokers[[#This Row],[FechaRecepcion]]))</f>
        <v>agosto 2026</v>
      </c>
      <c r="U168">
        <f>IF(SCTR_Brokers[[#This Row],[Estado]]="FINALIZADO",1,0)</f>
        <v>1</v>
      </c>
      <c r="V168">
        <f>IF(SCTR_Brokers[[#This Row],[FechaRecepcion]]="","",IF(SCTR_Brokers[[#This Row],[Estado]]="FINALIZADO",0,1))</f>
        <v>0</v>
      </c>
      <c r="W168">
        <f ca="1">IF(AND(SCTR_Brokers[[#This Row],[Estado]]="FINALIZADO",SCTR_Brokers[[#This Row],[Plazo]]=LISTAS!$J$3),1,0)</f>
        <v>1</v>
      </c>
      <c r="X168">
        <f ca="1">IF(AND(SCTR_Brokers[[#This Row],[Estado]]="FINALIZADO",SCTR_Brokers[[#This Row],[Plazo]]=LISTAS!$J$4),1,0)</f>
        <v>0</v>
      </c>
      <c r="Y168">
        <f ca="1">IF(AND(SCTR_Brokers[[#This Row],[Estado]]&lt;&gt;"FINALIZADO",SCTR_Brokers[[#This Row],[Plazo]]=LISTAS!$J$4),1,0)</f>
        <v>0</v>
      </c>
      <c r="Z168">
        <f>IF(SCTR_Brokers[[#This Row],[Fecha_Solic_Informe]]="",0,1)</f>
        <v>0</v>
      </c>
      <c r="AA168">
        <f>IF(SCTR_Brokers[[#This Row],[Fecha_Informe]]="",0,1)</f>
        <v>0</v>
      </c>
      <c r="AB168">
        <f>IF(AND(SCTR_Brokers[[#This Row],[Fecha_Solic_Informe]]&lt;&gt;"",SCTR_Brokers[[#This Row],[Fecha_Informe]]=""),1,0)</f>
        <v>0</v>
      </c>
      <c r="AC16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69" spans="1:29" hidden="1">
      <c r="A169" t="s">
        <v>412</v>
      </c>
      <c r="C169" t="str">
        <f>IF(SCTR_Brokers[[#This Row],[FechaRecepcion]]="","",SCTR_Brokers[[#This Row],[ConversationId]]&amp;"-"&amp;TEXT(SCTR_Brokers[[#This Row],[FechaRecepcion]],"aaaammddhhmmss"))</f>
        <v>AAQkADdkNThjNzFkLWM0ZmMtNDJhYS04MDVlLTIwNzE4ZDI1Mzg4YgAQAD9TkNjnf_JDvAZg8RmmASg=-20260901083513</v>
      </c>
      <c r="D169" t="s">
        <v>413</v>
      </c>
      <c r="E169" t="s">
        <v>21</v>
      </c>
      <c r="F169" s="3">
        <v>46266.357789351852</v>
      </c>
      <c r="G169" s="3">
        <v>46266.360833333332</v>
      </c>
      <c r="H169" t="s">
        <v>70</v>
      </c>
      <c r="I169" t="s">
        <v>7</v>
      </c>
      <c r="K169" t="s">
        <v>67</v>
      </c>
      <c r="L169" s="10"/>
      <c r="N16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69" s="3"/>
      <c r="P169" s="3"/>
      <c r="Q169" s="3">
        <v>46266.360833333332</v>
      </c>
      <c r="R16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69" t="str">
        <f>IF(SCTR_Brokers[[#This Row],[FechaRecepcion]]="","",TEXT(SCTR_Brokers[[#This Row],[FechaRecepcion]],"mmmm")&amp;" "&amp;YEAR(SCTR_Brokers[[#This Row],[FechaRecepcion]]))</f>
        <v>septiembre 2026</v>
      </c>
      <c r="U169">
        <f>IF(SCTR_Brokers[[#This Row],[Estado]]="FINALIZADO",1,0)</f>
        <v>1</v>
      </c>
      <c r="V169">
        <f>IF(SCTR_Brokers[[#This Row],[FechaRecepcion]]="","",IF(SCTR_Brokers[[#This Row],[Estado]]="FINALIZADO",0,1))</f>
        <v>0</v>
      </c>
      <c r="W169">
        <f ca="1">IF(AND(SCTR_Brokers[[#This Row],[Estado]]="FINALIZADO",SCTR_Brokers[[#This Row],[Plazo]]=LISTAS!$J$3),1,0)</f>
        <v>1</v>
      </c>
      <c r="X169">
        <f ca="1">IF(AND(SCTR_Brokers[[#This Row],[Estado]]="FINALIZADO",SCTR_Brokers[[#This Row],[Plazo]]=LISTAS!$J$4),1,0)</f>
        <v>0</v>
      </c>
      <c r="Y169">
        <f ca="1">IF(AND(SCTR_Brokers[[#This Row],[Estado]]&lt;&gt;"FINALIZADO",SCTR_Brokers[[#This Row],[Plazo]]=LISTAS!$J$4),1,0)</f>
        <v>0</v>
      </c>
      <c r="Z169">
        <f>IF(SCTR_Brokers[[#This Row],[Fecha_Solic_Informe]]="",0,1)</f>
        <v>0</v>
      </c>
      <c r="AA169">
        <f>IF(SCTR_Brokers[[#This Row],[Fecha_Informe]]="",0,1)</f>
        <v>0</v>
      </c>
      <c r="AB169">
        <f>IF(AND(SCTR_Brokers[[#This Row],[Fecha_Solic_Informe]]&lt;&gt;"",SCTR_Brokers[[#This Row],[Fecha_Informe]]=""),1,0)</f>
        <v>0</v>
      </c>
      <c r="AC16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70" spans="1:29" hidden="1">
      <c r="A170" t="s">
        <v>298</v>
      </c>
      <c r="C170" t="str">
        <f>IF(SCTR_Brokers[[#This Row],[FechaRecepcion]]="","",SCTR_Brokers[[#This Row],[ConversationId]]&amp;"-"&amp;TEXT(SCTR_Brokers[[#This Row],[FechaRecepcion]],"aaaammddhhmmss"))</f>
        <v>AAQkADdkNThjNzFkLWM0ZmMtNDJhYS04MDVlLTIwNzE4ZDI1Mzg4YgAQAOwWHPTSdg1GiJ5gV4i-tF0=-20260901101317</v>
      </c>
      <c r="D170" t="s">
        <v>414</v>
      </c>
      <c r="E170" t="s">
        <v>14</v>
      </c>
      <c r="F170" s="3">
        <v>46266.425891203704</v>
      </c>
      <c r="G170" s="3">
        <v>46266.549560185187</v>
      </c>
      <c r="H170" t="s">
        <v>70</v>
      </c>
      <c r="I170" t="s">
        <v>7</v>
      </c>
      <c r="K170" t="s">
        <v>67</v>
      </c>
      <c r="L170" s="10"/>
      <c r="N17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70" s="3"/>
      <c r="P170" s="3"/>
      <c r="Q170" s="3">
        <v>46266.549560185187</v>
      </c>
      <c r="R17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70" t="str">
        <f>IF(SCTR_Brokers[[#This Row],[FechaRecepcion]]="","",TEXT(SCTR_Brokers[[#This Row],[FechaRecepcion]],"mmmm")&amp;" "&amp;YEAR(SCTR_Brokers[[#This Row],[FechaRecepcion]]))</f>
        <v>septiembre 2026</v>
      </c>
      <c r="U170">
        <f>IF(SCTR_Brokers[[#This Row],[Estado]]="FINALIZADO",1,0)</f>
        <v>1</v>
      </c>
      <c r="V170">
        <f>IF(SCTR_Brokers[[#This Row],[FechaRecepcion]]="","",IF(SCTR_Brokers[[#This Row],[Estado]]="FINALIZADO",0,1))</f>
        <v>0</v>
      </c>
      <c r="W170">
        <f ca="1">IF(AND(SCTR_Brokers[[#This Row],[Estado]]="FINALIZADO",SCTR_Brokers[[#This Row],[Plazo]]=LISTAS!$J$3),1,0)</f>
        <v>1</v>
      </c>
      <c r="X170">
        <f ca="1">IF(AND(SCTR_Brokers[[#This Row],[Estado]]="FINALIZADO",SCTR_Brokers[[#This Row],[Plazo]]=LISTAS!$J$4),1,0)</f>
        <v>0</v>
      </c>
      <c r="Y170">
        <f ca="1">IF(AND(SCTR_Brokers[[#This Row],[Estado]]&lt;&gt;"FINALIZADO",SCTR_Brokers[[#This Row],[Plazo]]=LISTAS!$J$4),1,0)</f>
        <v>0</v>
      </c>
      <c r="Z170">
        <f>IF(SCTR_Brokers[[#This Row],[Fecha_Solic_Informe]]="",0,1)</f>
        <v>0</v>
      </c>
      <c r="AA170">
        <f>IF(SCTR_Brokers[[#This Row],[Fecha_Informe]]="",0,1)</f>
        <v>0</v>
      </c>
      <c r="AB170">
        <f>IF(AND(SCTR_Brokers[[#This Row],[Fecha_Solic_Informe]]&lt;&gt;"",SCTR_Brokers[[#This Row],[Fecha_Informe]]=""),1,0)</f>
        <v>0</v>
      </c>
      <c r="AC17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71" spans="1:29" hidden="1">
      <c r="A171" t="s">
        <v>415</v>
      </c>
      <c r="C171" t="str">
        <f>IF(SCTR_Brokers[[#This Row],[FechaRecepcion]]="","",SCTR_Brokers[[#This Row],[ConversationId]]&amp;"-"&amp;TEXT(SCTR_Brokers[[#This Row],[FechaRecepcion]],"aaaammddhhmmss"))</f>
        <v>AAQkADdkNThjNzFkLWM0ZmMtNDJhYS04MDVlLTIwNzE4ZDI1Mzg4YgAQADZ4xggwshxLisKmK8dtqgo=-20260901104814</v>
      </c>
      <c r="D171" t="s">
        <v>416</v>
      </c>
      <c r="E171" t="s">
        <v>20</v>
      </c>
      <c r="F171" s="3">
        <v>46266.450162037036</v>
      </c>
      <c r="G171" s="3">
        <v>46266.460509259261</v>
      </c>
      <c r="H171" t="s">
        <v>70</v>
      </c>
      <c r="I171" t="s">
        <v>7</v>
      </c>
      <c r="K171" t="s">
        <v>67</v>
      </c>
      <c r="L171" s="10"/>
      <c r="N17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71" s="3"/>
      <c r="P171" s="3"/>
      <c r="Q171" s="3">
        <v>46266.460509259261</v>
      </c>
      <c r="R17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71" t="str">
        <f>IF(SCTR_Brokers[[#This Row],[FechaRecepcion]]="","",TEXT(SCTR_Brokers[[#This Row],[FechaRecepcion]],"mmmm")&amp;" "&amp;YEAR(SCTR_Brokers[[#This Row],[FechaRecepcion]]))</f>
        <v>septiembre 2026</v>
      </c>
      <c r="U171">
        <f>IF(SCTR_Brokers[[#This Row],[Estado]]="FINALIZADO",1,0)</f>
        <v>1</v>
      </c>
      <c r="V171">
        <f>IF(SCTR_Brokers[[#This Row],[FechaRecepcion]]="","",IF(SCTR_Brokers[[#This Row],[Estado]]="FINALIZADO",0,1))</f>
        <v>0</v>
      </c>
      <c r="W171">
        <f ca="1">IF(AND(SCTR_Brokers[[#This Row],[Estado]]="FINALIZADO",SCTR_Brokers[[#This Row],[Plazo]]=LISTAS!$J$3),1,0)</f>
        <v>1</v>
      </c>
      <c r="X171">
        <f ca="1">IF(AND(SCTR_Brokers[[#This Row],[Estado]]="FINALIZADO",SCTR_Brokers[[#This Row],[Plazo]]=LISTAS!$J$4),1,0)</f>
        <v>0</v>
      </c>
      <c r="Y171">
        <f ca="1">IF(AND(SCTR_Brokers[[#This Row],[Estado]]&lt;&gt;"FINALIZADO",SCTR_Brokers[[#This Row],[Plazo]]=LISTAS!$J$4),1,0)</f>
        <v>0</v>
      </c>
      <c r="Z171">
        <f>IF(SCTR_Brokers[[#This Row],[Fecha_Solic_Informe]]="",0,1)</f>
        <v>0</v>
      </c>
      <c r="AA171">
        <f>IF(SCTR_Brokers[[#This Row],[Fecha_Informe]]="",0,1)</f>
        <v>0</v>
      </c>
      <c r="AB171">
        <f>IF(AND(SCTR_Brokers[[#This Row],[Fecha_Solic_Informe]]&lt;&gt;"",SCTR_Brokers[[#This Row],[Fecha_Informe]]=""),1,0)</f>
        <v>0</v>
      </c>
      <c r="AC17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72" spans="1:29" hidden="1">
      <c r="A172" t="s">
        <v>417</v>
      </c>
      <c r="C172" t="str">
        <f>IF(SCTR_Brokers[[#This Row],[FechaRecepcion]]="","",SCTR_Brokers[[#This Row],[ConversationId]]&amp;"-"&amp;TEXT(SCTR_Brokers[[#This Row],[FechaRecepcion]],"aaaammddhhmmss"))</f>
        <v>AAQkADdkNThjNzFkLWM0ZmMtNDJhYS04MDVlLTIwNzE4ZDI1Mzg4YgAQAEoWSrtKSUmIkcubkqWjxnA=-20260901121418</v>
      </c>
      <c r="D172" t="s">
        <v>418</v>
      </c>
      <c r="E172" t="s">
        <v>14</v>
      </c>
      <c r="F172" s="3">
        <v>46266.509930555556</v>
      </c>
      <c r="G172" s="3">
        <v>46266.557847222219</v>
      </c>
      <c r="H172" t="s">
        <v>70</v>
      </c>
      <c r="I172" t="s">
        <v>7</v>
      </c>
      <c r="K172" t="s">
        <v>67</v>
      </c>
      <c r="L172" s="10"/>
      <c r="N17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72" s="3"/>
      <c r="P172" s="3"/>
      <c r="Q172" s="3">
        <v>46266.557847222219</v>
      </c>
      <c r="R17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72" t="str">
        <f>IF(SCTR_Brokers[[#This Row],[FechaRecepcion]]="","",TEXT(SCTR_Brokers[[#This Row],[FechaRecepcion]],"mmmm")&amp;" "&amp;YEAR(SCTR_Brokers[[#This Row],[FechaRecepcion]]))</f>
        <v>septiembre 2026</v>
      </c>
      <c r="U172">
        <f>IF(SCTR_Brokers[[#This Row],[Estado]]="FINALIZADO",1,0)</f>
        <v>1</v>
      </c>
      <c r="V172">
        <f>IF(SCTR_Brokers[[#This Row],[FechaRecepcion]]="","",IF(SCTR_Brokers[[#This Row],[Estado]]="FINALIZADO",0,1))</f>
        <v>0</v>
      </c>
      <c r="W172">
        <f ca="1">IF(AND(SCTR_Brokers[[#This Row],[Estado]]="FINALIZADO",SCTR_Brokers[[#This Row],[Plazo]]=LISTAS!$J$3),1,0)</f>
        <v>1</v>
      </c>
      <c r="X172">
        <f ca="1">IF(AND(SCTR_Brokers[[#This Row],[Estado]]="FINALIZADO",SCTR_Brokers[[#This Row],[Plazo]]=LISTAS!$J$4),1,0)</f>
        <v>0</v>
      </c>
      <c r="Y172">
        <f ca="1">IF(AND(SCTR_Brokers[[#This Row],[Estado]]&lt;&gt;"FINALIZADO",SCTR_Brokers[[#This Row],[Plazo]]=LISTAS!$J$4),1,0)</f>
        <v>0</v>
      </c>
      <c r="Z172">
        <f>IF(SCTR_Brokers[[#This Row],[Fecha_Solic_Informe]]="",0,1)</f>
        <v>0</v>
      </c>
      <c r="AA172">
        <f>IF(SCTR_Brokers[[#This Row],[Fecha_Informe]]="",0,1)</f>
        <v>0</v>
      </c>
      <c r="AB172">
        <f>IF(AND(SCTR_Brokers[[#This Row],[Fecha_Solic_Informe]]&lt;&gt;"",SCTR_Brokers[[#This Row],[Fecha_Informe]]=""),1,0)</f>
        <v>0</v>
      </c>
      <c r="AC17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73" spans="1:29" hidden="1">
      <c r="A173" t="s">
        <v>82</v>
      </c>
      <c r="C173" t="str">
        <f>IF(SCTR_Brokers[[#This Row],[FechaRecepcion]]="","",SCTR_Brokers[[#This Row],[ConversationId]]&amp;"-"&amp;TEXT(SCTR_Brokers[[#This Row],[FechaRecepcion]],"aaaammddhhmmss"))</f>
        <v>AAQkADdkNThjNzFkLWM0ZmMtNDJhYS04MDVlLTIwNzE4ZDI1Mzg4YgAQAEvkGJ0JTE4hpm6yW1eczK8=-20260901124005</v>
      </c>
      <c r="D173" t="s">
        <v>419</v>
      </c>
      <c r="E173" t="s">
        <v>20</v>
      </c>
      <c r="F173" s="3">
        <v>46266.52783564815</v>
      </c>
      <c r="G173" s="3">
        <v>46266.55164351852</v>
      </c>
      <c r="H173" t="s">
        <v>70</v>
      </c>
      <c r="I173" t="s">
        <v>7</v>
      </c>
      <c r="K173" t="s">
        <v>67</v>
      </c>
      <c r="L173" s="10"/>
      <c r="N17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73" s="3"/>
      <c r="P173" s="3"/>
      <c r="Q173" s="3">
        <v>46266.55164351852</v>
      </c>
      <c r="R17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73" t="str">
        <f>IF(SCTR_Brokers[[#This Row],[FechaRecepcion]]="","",TEXT(SCTR_Brokers[[#This Row],[FechaRecepcion]],"mmmm")&amp;" "&amp;YEAR(SCTR_Brokers[[#This Row],[FechaRecepcion]]))</f>
        <v>septiembre 2026</v>
      </c>
      <c r="U173">
        <f>IF(SCTR_Brokers[[#This Row],[Estado]]="FINALIZADO",1,0)</f>
        <v>1</v>
      </c>
      <c r="V173">
        <f>IF(SCTR_Brokers[[#This Row],[FechaRecepcion]]="","",IF(SCTR_Brokers[[#This Row],[Estado]]="FINALIZADO",0,1))</f>
        <v>0</v>
      </c>
      <c r="W173">
        <f ca="1">IF(AND(SCTR_Brokers[[#This Row],[Estado]]="FINALIZADO",SCTR_Brokers[[#This Row],[Plazo]]=LISTAS!$J$3),1,0)</f>
        <v>1</v>
      </c>
      <c r="X173">
        <f ca="1">IF(AND(SCTR_Brokers[[#This Row],[Estado]]="FINALIZADO",SCTR_Brokers[[#This Row],[Plazo]]=LISTAS!$J$4),1,0)</f>
        <v>0</v>
      </c>
      <c r="Y173">
        <f ca="1">IF(AND(SCTR_Brokers[[#This Row],[Estado]]&lt;&gt;"FINALIZADO",SCTR_Brokers[[#This Row],[Plazo]]=LISTAS!$J$4),1,0)</f>
        <v>0</v>
      </c>
      <c r="Z173">
        <f>IF(SCTR_Brokers[[#This Row],[Fecha_Solic_Informe]]="",0,1)</f>
        <v>0</v>
      </c>
      <c r="AA173">
        <f>IF(SCTR_Brokers[[#This Row],[Fecha_Informe]]="",0,1)</f>
        <v>0</v>
      </c>
      <c r="AB173">
        <f>IF(AND(SCTR_Brokers[[#This Row],[Fecha_Solic_Informe]]&lt;&gt;"",SCTR_Brokers[[#This Row],[Fecha_Informe]]=""),1,0)</f>
        <v>0</v>
      </c>
      <c r="AC17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74" spans="1:29" hidden="1">
      <c r="A174" t="s">
        <v>420</v>
      </c>
      <c r="C174" t="str">
        <f>IF(SCTR_Brokers[[#This Row],[FechaRecepcion]]="","",SCTR_Brokers[[#This Row],[ConversationId]]&amp;"-"&amp;TEXT(SCTR_Brokers[[#This Row],[FechaRecepcion]],"aaaammddhhmmss"))</f>
        <v>AAQkADdkNThjNzFkLWM0ZmMtNDJhYS04MDVlLTIwNzE4ZDI1Mzg4YgAQABaofakEBstGsrqtNS-JAyw=-20260901134633</v>
      </c>
      <c r="D174" t="s">
        <v>421</v>
      </c>
      <c r="E174" t="s">
        <v>14</v>
      </c>
      <c r="F174" s="3">
        <v>46266.573993055557</v>
      </c>
      <c r="G174" s="3">
        <v>46266.573993055557</v>
      </c>
      <c r="H174" t="s">
        <v>135</v>
      </c>
      <c r="I174" t="s">
        <v>7</v>
      </c>
      <c r="J174" t="s">
        <v>422</v>
      </c>
      <c r="K174" t="s">
        <v>67</v>
      </c>
      <c r="L174" s="10"/>
      <c r="N17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74" s="3"/>
      <c r="P174" s="3"/>
      <c r="Q174" s="3">
        <v>46266.573993055557</v>
      </c>
      <c r="R17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174" t="s">
        <v>164</v>
      </c>
      <c r="T174" t="str">
        <f>IF(SCTR_Brokers[[#This Row],[FechaRecepcion]]="","",TEXT(SCTR_Brokers[[#This Row],[FechaRecepcion]],"mmmm")&amp;" "&amp;YEAR(SCTR_Brokers[[#This Row],[FechaRecepcion]]))</f>
        <v>septiembre 2026</v>
      </c>
      <c r="U174">
        <f>IF(SCTR_Brokers[[#This Row],[Estado]]="FINALIZADO",1,0)</f>
        <v>1</v>
      </c>
      <c r="V174">
        <f>IF(SCTR_Brokers[[#This Row],[FechaRecepcion]]="","",IF(SCTR_Brokers[[#This Row],[Estado]]="FINALIZADO",0,1))</f>
        <v>0</v>
      </c>
      <c r="W174">
        <f ca="1">IF(AND(SCTR_Brokers[[#This Row],[Estado]]="FINALIZADO",SCTR_Brokers[[#This Row],[Plazo]]=LISTAS!$J$3),1,0)</f>
        <v>1</v>
      </c>
      <c r="X174">
        <f ca="1">IF(AND(SCTR_Brokers[[#This Row],[Estado]]="FINALIZADO",SCTR_Brokers[[#This Row],[Plazo]]=LISTAS!$J$4),1,0)</f>
        <v>0</v>
      </c>
      <c r="Y174">
        <f ca="1">IF(AND(SCTR_Brokers[[#This Row],[Estado]]&lt;&gt;"FINALIZADO",SCTR_Brokers[[#This Row],[Plazo]]=LISTAS!$J$4),1,0)</f>
        <v>0</v>
      </c>
      <c r="Z174">
        <f>IF(SCTR_Brokers[[#This Row],[Fecha_Solic_Informe]]="",0,1)</f>
        <v>0</v>
      </c>
      <c r="AA174">
        <f>IF(SCTR_Brokers[[#This Row],[Fecha_Informe]]="",0,1)</f>
        <v>0</v>
      </c>
      <c r="AB174">
        <f>IF(AND(SCTR_Brokers[[#This Row],[Fecha_Solic_Informe]]&lt;&gt;"",SCTR_Brokers[[#This Row],[Fecha_Informe]]=""),1,0)</f>
        <v>0</v>
      </c>
      <c r="AC17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75" spans="1:29" hidden="1">
      <c r="A175" t="s">
        <v>310</v>
      </c>
      <c r="C175" t="str">
        <f>IF(SCTR_Brokers[[#This Row],[FechaRecepcion]]="","",SCTR_Brokers[[#This Row],[ConversationId]]&amp;"-"&amp;TEXT(SCTR_Brokers[[#This Row],[FechaRecepcion]],"aaaammddhhmmss"))</f>
        <v>AAQkADdkNThjNzFkLWM0ZmMtNDJhYS04MDVlLTIwNzE4ZDI1Mzg4YgAQADLRiNpobEIxs3HAk4aqwdM=-20260901141830</v>
      </c>
      <c r="D175" t="s">
        <v>311</v>
      </c>
      <c r="E175" t="s">
        <v>21</v>
      </c>
      <c r="F175" s="3">
        <v>46266.596180555556</v>
      </c>
      <c r="G175" s="3">
        <v>46267.345729166664</v>
      </c>
      <c r="H175" t="s">
        <v>70</v>
      </c>
      <c r="I175" t="s">
        <v>7</v>
      </c>
      <c r="K175" t="s">
        <v>67</v>
      </c>
      <c r="L175" s="10"/>
      <c r="N17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75" s="3"/>
      <c r="P175" s="3"/>
      <c r="Q175" s="3">
        <v>46267.345729166664</v>
      </c>
      <c r="R17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75" t="str">
        <f>IF(SCTR_Brokers[[#This Row],[FechaRecepcion]]="","",TEXT(SCTR_Brokers[[#This Row],[FechaRecepcion]],"mmmm")&amp;" "&amp;YEAR(SCTR_Brokers[[#This Row],[FechaRecepcion]]))</f>
        <v>septiembre 2026</v>
      </c>
      <c r="U175">
        <f>IF(SCTR_Brokers[[#This Row],[Estado]]="FINALIZADO",1,0)</f>
        <v>1</v>
      </c>
      <c r="V175">
        <f>IF(SCTR_Brokers[[#This Row],[FechaRecepcion]]="","",IF(SCTR_Brokers[[#This Row],[Estado]]="FINALIZADO",0,1))</f>
        <v>0</v>
      </c>
      <c r="W175">
        <f ca="1">IF(AND(SCTR_Brokers[[#This Row],[Estado]]="FINALIZADO",SCTR_Brokers[[#This Row],[Plazo]]=LISTAS!$J$3),1,0)</f>
        <v>1</v>
      </c>
      <c r="X175">
        <f ca="1">IF(AND(SCTR_Brokers[[#This Row],[Estado]]="FINALIZADO",SCTR_Brokers[[#This Row],[Plazo]]=LISTAS!$J$4),1,0)</f>
        <v>0</v>
      </c>
      <c r="Y175">
        <f ca="1">IF(AND(SCTR_Brokers[[#This Row],[Estado]]&lt;&gt;"FINALIZADO",SCTR_Brokers[[#This Row],[Plazo]]=LISTAS!$J$4),1,0)</f>
        <v>0</v>
      </c>
      <c r="Z175">
        <f>IF(SCTR_Brokers[[#This Row],[Fecha_Solic_Informe]]="",0,1)</f>
        <v>0</v>
      </c>
      <c r="AA175">
        <f>IF(SCTR_Brokers[[#This Row],[Fecha_Informe]]="",0,1)</f>
        <v>0</v>
      </c>
      <c r="AB175">
        <f>IF(AND(SCTR_Brokers[[#This Row],[Fecha_Solic_Informe]]&lt;&gt;"",SCTR_Brokers[[#This Row],[Fecha_Informe]]=""),1,0)</f>
        <v>0</v>
      </c>
      <c r="AC17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76" spans="1:29" hidden="1">
      <c r="A176" t="s">
        <v>82</v>
      </c>
      <c r="C176" t="str">
        <f>IF(SCTR_Brokers[[#This Row],[FechaRecepcion]]="","",SCTR_Brokers[[#This Row],[ConversationId]]&amp;"-"&amp;TEXT(SCTR_Brokers[[#This Row],[FechaRecepcion]],"aaaammddhhmmss"))</f>
        <v>AAQkADdkNThjNzFkLWM0ZmMtNDJhYS04MDVlLTIwNzE4ZDI1Mzg4YgAQAEvkGJ0JTE4hpm6yW1eczK8=-20260901145445</v>
      </c>
      <c r="D176" t="s">
        <v>83</v>
      </c>
      <c r="E176" t="s">
        <v>20</v>
      </c>
      <c r="F176" s="3">
        <v>46266.621354166666</v>
      </c>
      <c r="G176" s="3">
        <v>46266.73578703704</v>
      </c>
      <c r="H176" t="s">
        <v>70</v>
      </c>
      <c r="I176" t="s">
        <v>7</v>
      </c>
      <c r="K176" t="s">
        <v>67</v>
      </c>
      <c r="L176" s="10"/>
      <c r="N17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76" s="3"/>
      <c r="P176" s="3"/>
      <c r="Q176" s="3">
        <v>46266.73578703704</v>
      </c>
      <c r="R17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76" t="str">
        <f>IF(SCTR_Brokers[[#This Row],[FechaRecepcion]]="","",TEXT(SCTR_Brokers[[#This Row],[FechaRecepcion]],"mmmm")&amp;" "&amp;YEAR(SCTR_Brokers[[#This Row],[FechaRecepcion]]))</f>
        <v>septiembre 2026</v>
      </c>
      <c r="U176">
        <f>IF(SCTR_Brokers[[#This Row],[Estado]]="FINALIZADO",1,0)</f>
        <v>1</v>
      </c>
      <c r="V176">
        <f>IF(SCTR_Brokers[[#This Row],[FechaRecepcion]]="","",IF(SCTR_Brokers[[#This Row],[Estado]]="FINALIZADO",0,1))</f>
        <v>0</v>
      </c>
      <c r="W176">
        <f ca="1">IF(AND(SCTR_Brokers[[#This Row],[Estado]]="FINALIZADO",SCTR_Brokers[[#This Row],[Plazo]]=LISTAS!$J$3),1,0)</f>
        <v>1</v>
      </c>
      <c r="X176">
        <f ca="1">IF(AND(SCTR_Brokers[[#This Row],[Estado]]="FINALIZADO",SCTR_Brokers[[#This Row],[Plazo]]=LISTAS!$J$4),1,0)</f>
        <v>0</v>
      </c>
      <c r="Y176">
        <f ca="1">IF(AND(SCTR_Brokers[[#This Row],[Estado]]&lt;&gt;"FINALIZADO",SCTR_Brokers[[#This Row],[Plazo]]=LISTAS!$J$4),1,0)</f>
        <v>0</v>
      </c>
      <c r="Z176">
        <f>IF(SCTR_Brokers[[#This Row],[Fecha_Solic_Informe]]="",0,1)</f>
        <v>0</v>
      </c>
      <c r="AA176">
        <f>IF(SCTR_Brokers[[#This Row],[Fecha_Informe]]="",0,1)</f>
        <v>0</v>
      </c>
      <c r="AB176">
        <f>IF(AND(SCTR_Brokers[[#This Row],[Fecha_Solic_Informe]]&lt;&gt;"",SCTR_Brokers[[#This Row],[Fecha_Informe]]=""),1,0)</f>
        <v>0</v>
      </c>
      <c r="AC17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77" spans="1:29" hidden="1">
      <c r="A177" t="s">
        <v>403</v>
      </c>
      <c r="C177" t="str">
        <f>IF(SCTR_Brokers[[#This Row],[FechaRecepcion]]="","",SCTR_Brokers[[#This Row],[ConversationId]]&amp;"-"&amp;TEXT(SCTR_Brokers[[#This Row],[FechaRecepcion]],"aaaammddhhmmss"))</f>
        <v>AAQkADdkNThjNzFkLWM0ZmMtNDJhYS04MDVlLTIwNzE4ZDI1Mzg4YgAQAD9vFPYleL5CssY6fMGPZvI=-20260901170746</v>
      </c>
      <c r="D177" t="s">
        <v>423</v>
      </c>
      <c r="E177" t="s">
        <v>21</v>
      </c>
      <c r="F177" s="3">
        <v>46266.713726851849</v>
      </c>
      <c r="G177" s="3">
        <v>46266.713726851849</v>
      </c>
      <c r="H177" t="s">
        <v>424</v>
      </c>
      <c r="I177" t="s">
        <v>7</v>
      </c>
      <c r="K177" t="s">
        <v>67</v>
      </c>
      <c r="L177" s="10"/>
      <c r="N17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77" s="3"/>
      <c r="P177" s="3"/>
      <c r="Q177" s="3">
        <v>46266.713726851849</v>
      </c>
      <c r="R17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77" t="str">
        <f>IF(SCTR_Brokers[[#This Row],[FechaRecepcion]]="","",TEXT(SCTR_Brokers[[#This Row],[FechaRecepcion]],"mmmm")&amp;" "&amp;YEAR(SCTR_Brokers[[#This Row],[FechaRecepcion]]))</f>
        <v>septiembre 2026</v>
      </c>
      <c r="U177">
        <f>IF(SCTR_Brokers[[#This Row],[Estado]]="FINALIZADO",1,0)</f>
        <v>1</v>
      </c>
      <c r="V177">
        <f>IF(SCTR_Brokers[[#This Row],[FechaRecepcion]]="","",IF(SCTR_Brokers[[#This Row],[Estado]]="FINALIZADO",0,1))</f>
        <v>0</v>
      </c>
      <c r="W177">
        <f ca="1">IF(AND(SCTR_Brokers[[#This Row],[Estado]]="FINALIZADO",SCTR_Brokers[[#This Row],[Plazo]]=LISTAS!$J$3),1,0)</f>
        <v>1</v>
      </c>
      <c r="X177">
        <f ca="1">IF(AND(SCTR_Brokers[[#This Row],[Estado]]="FINALIZADO",SCTR_Brokers[[#This Row],[Plazo]]=LISTAS!$J$4),1,0)</f>
        <v>0</v>
      </c>
      <c r="Y177">
        <f ca="1">IF(AND(SCTR_Brokers[[#This Row],[Estado]]&lt;&gt;"FINALIZADO",SCTR_Brokers[[#This Row],[Plazo]]=LISTAS!$J$4),1,0)</f>
        <v>0</v>
      </c>
      <c r="Z177">
        <f>IF(SCTR_Brokers[[#This Row],[Fecha_Solic_Informe]]="",0,1)</f>
        <v>0</v>
      </c>
      <c r="AA177">
        <f>IF(SCTR_Brokers[[#This Row],[Fecha_Informe]]="",0,1)</f>
        <v>0</v>
      </c>
      <c r="AB177">
        <f>IF(AND(SCTR_Brokers[[#This Row],[Fecha_Solic_Informe]]&lt;&gt;"",SCTR_Brokers[[#This Row],[Fecha_Informe]]=""),1,0)</f>
        <v>0</v>
      </c>
      <c r="AC17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78" spans="1:29" hidden="1">
      <c r="A178" t="s">
        <v>425</v>
      </c>
      <c r="C178" t="str">
        <f>IF(SCTR_Brokers[[#This Row],[FechaRecepcion]]="","",SCTR_Brokers[[#This Row],[ConversationId]]&amp;"-"&amp;TEXT(SCTR_Brokers[[#This Row],[FechaRecepcion]],"aaaammddhhmmss"))</f>
        <v>AAQkADdkNThjNzFkLWM0ZmMtNDJhYS04MDVlLTIwNzE4ZDI1Mzg4YgAQAPBrDTDv7V5Hoqet38dmUx8=-20260901170819</v>
      </c>
      <c r="D178" t="s">
        <v>426</v>
      </c>
      <c r="E178" t="s">
        <v>23</v>
      </c>
      <c r="F178" s="3">
        <v>46266.714108796295</v>
      </c>
      <c r="G178" s="3">
        <v>46266.739606481482</v>
      </c>
      <c r="H178" t="s">
        <v>70</v>
      </c>
      <c r="I178" t="s">
        <v>7</v>
      </c>
      <c r="K178" t="s">
        <v>67</v>
      </c>
      <c r="L178" s="10"/>
      <c r="N17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78" s="3"/>
      <c r="P178" s="3"/>
      <c r="Q178" s="3">
        <v>46266.739606481482</v>
      </c>
      <c r="R17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78" t="str">
        <f>IF(SCTR_Brokers[[#This Row],[FechaRecepcion]]="","",TEXT(SCTR_Brokers[[#This Row],[FechaRecepcion]],"mmmm")&amp;" "&amp;YEAR(SCTR_Brokers[[#This Row],[FechaRecepcion]]))</f>
        <v>septiembre 2026</v>
      </c>
      <c r="U178">
        <f>IF(SCTR_Brokers[[#This Row],[Estado]]="FINALIZADO",1,0)</f>
        <v>1</v>
      </c>
      <c r="V178">
        <f>IF(SCTR_Brokers[[#This Row],[FechaRecepcion]]="","",IF(SCTR_Brokers[[#This Row],[Estado]]="FINALIZADO",0,1))</f>
        <v>0</v>
      </c>
      <c r="W178">
        <f ca="1">IF(AND(SCTR_Brokers[[#This Row],[Estado]]="FINALIZADO",SCTR_Brokers[[#This Row],[Plazo]]=LISTAS!$J$3),1,0)</f>
        <v>1</v>
      </c>
      <c r="X178">
        <f ca="1">IF(AND(SCTR_Brokers[[#This Row],[Estado]]="FINALIZADO",SCTR_Brokers[[#This Row],[Plazo]]=LISTAS!$J$4),1,0)</f>
        <v>0</v>
      </c>
      <c r="Y178">
        <f ca="1">IF(AND(SCTR_Brokers[[#This Row],[Estado]]&lt;&gt;"FINALIZADO",SCTR_Brokers[[#This Row],[Plazo]]=LISTAS!$J$4),1,0)</f>
        <v>0</v>
      </c>
      <c r="Z178">
        <f>IF(SCTR_Brokers[[#This Row],[Fecha_Solic_Informe]]="",0,1)</f>
        <v>0</v>
      </c>
      <c r="AA178">
        <f>IF(SCTR_Brokers[[#This Row],[Fecha_Informe]]="",0,1)</f>
        <v>0</v>
      </c>
      <c r="AB178">
        <f>IF(AND(SCTR_Brokers[[#This Row],[Fecha_Solic_Informe]]&lt;&gt;"",SCTR_Brokers[[#This Row],[Fecha_Informe]]=""),1,0)</f>
        <v>0</v>
      </c>
      <c r="AC17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79" spans="1:29" hidden="1">
      <c r="A179" t="s">
        <v>427</v>
      </c>
      <c r="C179" t="str">
        <f>IF(SCTR_Brokers[[#This Row],[FechaRecepcion]]="","",SCTR_Brokers[[#This Row],[ConversationId]]&amp;"-"&amp;TEXT(SCTR_Brokers[[#This Row],[FechaRecepcion]],"aaaammddhhmmss"))</f>
        <v>AAQkADdkNThjNzFkLWM0ZmMtNDJhYS04MDVlLTIwNzE4ZDI1Mzg4YgAQAEVFCG6Ci2NGuYQ7GR-YX8E=-20260901172817</v>
      </c>
      <c r="D179" t="s">
        <v>428</v>
      </c>
      <c r="E179" t="s">
        <v>23</v>
      </c>
      <c r="F179" s="3">
        <v>46266.72797453704</v>
      </c>
      <c r="G179" s="3">
        <v>46267.338368055556</v>
      </c>
      <c r="H179" t="s">
        <v>70</v>
      </c>
      <c r="I179" t="s">
        <v>7</v>
      </c>
      <c r="J179" t="s">
        <v>429</v>
      </c>
      <c r="K179" t="s">
        <v>67</v>
      </c>
      <c r="L179" s="10" t="s">
        <v>430</v>
      </c>
      <c r="M179" t="s">
        <v>9</v>
      </c>
      <c r="N17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79" s="3">
        <v>46266.738935185182</v>
      </c>
      <c r="P179" s="3">
        <v>46266.856226851851</v>
      </c>
      <c r="Q179" s="3">
        <v>46267.338368055556</v>
      </c>
      <c r="R17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79" t="str">
        <f>IF(SCTR_Brokers[[#This Row],[FechaRecepcion]]="","",TEXT(SCTR_Brokers[[#This Row],[FechaRecepcion]],"mmmm")&amp;" "&amp;YEAR(SCTR_Brokers[[#This Row],[FechaRecepcion]]))</f>
        <v>septiembre 2026</v>
      </c>
      <c r="U179">
        <f>IF(SCTR_Brokers[[#This Row],[Estado]]="FINALIZADO",1,0)</f>
        <v>1</v>
      </c>
      <c r="V179">
        <f>IF(SCTR_Brokers[[#This Row],[FechaRecepcion]]="","",IF(SCTR_Brokers[[#This Row],[Estado]]="FINALIZADO",0,1))</f>
        <v>0</v>
      </c>
      <c r="W179">
        <f ca="1">IF(AND(SCTR_Brokers[[#This Row],[Estado]]="FINALIZADO",SCTR_Brokers[[#This Row],[Plazo]]=LISTAS!$J$3),1,0)</f>
        <v>1</v>
      </c>
      <c r="X179">
        <f ca="1">IF(AND(SCTR_Brokers[[#This Row],[Estado]]="FINALIZADO",SCTR_Brokers[[#This Row],[Plazo]]=LISTAS!$J$4),1,0)</f>
        <v>0</v>
      </c>
      <c r="Y179">
        <f ca="1">IF(AND(SCTR_Brokers[[#This Row],[Estado]]&lt;&gt;"FINALIZADO",SCTR_Brokers[[#This Row],[Plazo]]=LISTAS!$J$4),1,0)</f>
        <v>0</v>
      </c>
      <c r="Z179">
        <f>IF(SCTR_Brokers[[#This Row],[Fecha_Solic_Informe]]="",0,1)</f>
        <v>1</v>
      </c>
      <c r="AA179">
        <f>IF(SCTR_Brokers[[#This Row],[Fecha_Informe]]="",0,1)</f>
        <v>1</v>
      </c>
      <c r="AB179">
        <f>IF(AND(SCTR_Brokers[[#This Row],[Fecha_Solic_Informe]]&lt;&gt;"",SCTR_Brokers[[#This Row],[Fecha_Informe]]=""),1,0)</f>
        <v>0</v>
      </c>
      <c r="AC179">
        <f>IF(AND(SCTR_Brokers[[#This Row],[Fecha_Solic_Informe]]&lt;&gt;"",SCTR_Brokers[[#This Row],[Fecha_Informe]]&lt;&gt;""),ROUND((SCTR_Brokers[[#This Row],[Fecha_Informe]]-SCTR_Brokers[[#This Row],[Fecha_Solic_Informe]])*24,1),"")</f>
        <v>2.8</v>
      </c>
    </row>
    <row r="180" spans="1:29" hidden="1">
      <c r="A180" t="s">
        <v>431</v>
      </c>
      <c r="C180" t="str">
        <f>IF(SCTR_Brokers[[#This Row],[FechaRecepcion]]="","",SCTR_Brokers[[#This Row],[ConversationId]]&amp;"-"&amp;TEXT(SCTR_Brokers[[#This Row],[FechaRecepcion]],"aaaammddhhmmss"))</f>
        <v>AAQkADdkNThjNzFkLWM0ZmMtNDJhYS04MDVlLTIwNzE4ZDI1Mzg4YgAQAJ5HJcuwcoJBkcSbkszReiQ=-20260901230140</v>
      </c>
      <c r="D180" t="s">
        <v>432</v>
      </c>
      <c r="E180" t="s">
        <v>20</v>
      </c>
      <c r="F180" s="3">
        <v>46266.959490740737</v>
      </c>
      <c r="G180" s="3">
        <v>46267.333240740743</v>
      </c>
      <c r="H180" t="s">
        <v>70</v>
      </c>
      <c r="I180" t="s">
        <v>7</v>
      </c>
      <c r="K180" t="s">
        <v>67</v>
      </c>
      <c r="L180" s="10"/>
      <c r="N18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80" s="3"/>
      <c r="P180" s="3"/>
      <c r="Q180" s="3">
        <v>46267.333240740743</v>
      </c>
      <c r="R18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80" t="str">
        <f>IF(SCTR_Brokers[[#This Row],[FechaRecepcion]]="","",TEXT(SCTR_Brokers[[#This Row],[FechaRecepcion]],"mmmm")&amp;" "&amp;YEAR(SCTR_Brokers[[#This Row],[FechaRecepcion]]))</f>
        <v>septiembre 2026</v>
      </c>
      <c r="U180">
        <f>IF(SCTR_Brokers[[#This Row],[Estado]]="FINALIZADO",1,0)</f>
        <v>1</v>
      </c>
      <c r="V180">
        <f>IF(SCTR_Brokers[[#This Row],[FechaRecepcion]]="","",IF(SCTR_Brokers[[#This Row],[Estado]]="FINALIZADO",0,1))</f>
        <v>0</v>
      </c>
      <c r="W180">
        <f ca="1">IF(AND(SCTR_Brokers[[#This Row],[Estado]]="FINALIZADO",SCTR_Brokers[[#This Row],[Plazo]]=LISTAS!$J$3),1,0)</f>
        <v>1</v>
      </c>
      <c r="X180">
        <f ca="1">IF(AND(SCTR_Brokers[[#This Row],[Estado]]="FINALIZADO",SCTR_Brokers[[#This Row],[Plazo]]=LISTAS!$J$4),1,0)</f>
        <v>0</v>
      </c>
      <c r="Y180">
        <f ca="1">IF(AND(SCTR_Brokers[[#This Row],[Estado]]&lt;&gt;"FINALIZADO",SCTR_Brokers[[#This Row],[Plazo]]=LISTAS!$J$4),1,0)</f>
        <v>0</v>
      </c>
      <c r="Z180">
        <f>IF(SCTR_Brokers[[#This Row],[Fecha_Solic_Informe]]="",0,1)</f>
        <v>0</v>
      </c>
      <c r="AA180">
        <f>IF(SCTR_Brokers[[#This Row],[Fecha_Informe]]="",0,1)</f>
        <v>0</v>
      </c>
      <c r="AB180">
        <f>IF(AND(SCTR_Brokers[[#This Row],[Fecha_Solic_Informe]]&lt;&gt;"",SCTR_Brokers[[#This Row],[Fecha_Informe]]=""),1,0)</f>
        <v>0</v>
      </c>
      <c r="AC18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81" spans="1:29" hidden="1">
      <c r="A181" t="s">
        <v>361</v>
      </c>
      <c r="C181" t="str">
        <f>IF(SCTR_Brokers[[#This Row],[FechaRecepcion]]="","",SCTR_Brokers[[#This Row],[ConversationId]]&amp;"-"&amp;TEXT(SCTR_Brokers[[#This Row],[FechaRecepcion]],"aaaammddhhmmss"))</f>
        <v>AAQkADdkNThjNzFkLWM0ZmMtNDJhYS04MDVlLTIwNzE4ZDI1Mzg4YgAQAANWkzwtu0b-lk8PwzPntco=-20260902084134</v>
      </c>
      <c r="D181" t="s">
        <v>433</v>
      </c>
      <c r="E181" t="s">
        <v>8</v>
      </c>
      <c r="F181" s="3">
        <v>46267.362199074072</v>
      </c>
      <c r="G181" s="3">
        <v>46267.418819444443</v>
      </c>
      <c r="H181" t="s">
        <v>434</v>
      </c>
      <c r="I181" t="s">
        <v>7</v>
      </c>
      <c r="J181" t="s">
        <v>435</v>
      </c>
      <c r="K181" t="s">
        <v>67</v>
      </c>
      <c r="L181" s="10"/>
      <c r="N18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81" s="3"/>
      <c r="P181" s="3"/>
      <c r="Q181" s="3">
        <v>46267.418819444443</v>
      </c>
      <c r="R18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81" t="str">
        <f>IF(SCTR_Brokers[[#This Row],[FechaRecepcion]]="","",TEXT(SCTR_Brokers[[#This Row],[FechaRecepcion]],"mmmm")&amp;" "&amp;YEAR(SCTR_Brokers[[#This Row],[FechaRecepcion]]))</f>
        <v>septiembre 2026</v>
      </c>
      <c r="U181">
        <f>IF(SCTR_Brokers[[#This Row],[Estado]]="FINALIZADO",1,0)</f>
        <v>1</v>
      </c>
      <c r="V181">
        <f>IF(SCTR_Brokers[[#This Row],[FechaRecepcion]]="","",IF(SCTR_Brokers[[#This Row],[Estado]]="FINALIZADO",0,1))</f>
        <v>0</v>
      </c>
      <c r="W181">
        <f ca="1">IF(AND(SCTR_Brokers[[#This Row],[Estado]]="FINALIZADO",SCTR_Brokers[[#This Row],[Plazo]]=LISTAS!$J$3),1,0)</f>
        <v>1</v>
      </c>
      <c r="X181">
        <f ca="1">IF(AND(SCTR_Brokers[[#This Row],[Estado]]="FINALIZADO",SCTR_Brokers[[#This Row],[Plazo]]=LISTAS!$J$4),1,0)</f>
        <v>0</v>
      </c>
      <c r="Y181">
        <f ca="1">IF(AND(SCTR_Brokers[[#This Row],[Estado]]&lt;&gt;"FINALIZADO",SCTR_Brokers[[#This Row],[Plazo]]=LISTAS!$J$4),1,0)</f>
        <v>0</v>
      </c>
      <c r="Z181">
        <f>IF(SCTR_Brokers[[#This Row],[Fecha_Solic_Informe]]="",0,1)</f>
        <v>0</v>
      </c>
      <c r="AA181">
        <f>IF(SCTR_Brokers[[#This Row],[Fecha_Informe]]="",0,1)</f>
        <v>0</v>
      </c>
      <c r="AB181">
        <f>IF(AND(SCTR_Brokers[[#This Row],[Fecha_Solic_Informe]]&lt;&gt;"",SCTR_Brokers[[#This Row],[Fecha_Informe]]=""),1,0)</f>
        <v>0</v>
      </c>
      <c r="AC18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82" spans="1:29" hidden="1">
      <c r="A182" t="s">
        <v>431</v>
      </c>
      <c r="C182" t="str">
        <f>IF(SCTR_Brokers[[#This Row],[FechaRecepcion]]="","",SCTR_Brokers[[#This Row],[ConversationId]]&amp;"-"&amp;TEXT(SCTR_Brokers[[#This Row],[FechaRecepcion]],"aaaammddhhmmss"))</f>
        <v>AAQkADdkNThjNzFkLWM0ZmMtNDJhYS04MDVlLTIwNzE4ZDI1Mzg4YgAQAJ5HJcuwcoJBkcSbkszReiQ=-20260902092931</v>
      </c>
      <c r="D182" t="s">
        <v>432</v>
      </c>
      <c r="E182" t="s">
        <v>20</v>
      </c>
      <c r="F182" s="3">
        <v>46267.395497685182</v>
      </c>
      <c r="G182" s="3">
        <v>46267.397881944446</v>
      </c>
      <c r="H182" t="s">
        <v>70</v>
      </c>
      <c r="I182" t="s">
        <v>7</v>
      </c>
      <c r="K182" t="s">
        <v>67</v>
      </c>
      <c r="L182" s="10"/>
      <c r="N18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82" s="3"/>
      <c r="P182" s="3"/>
      <c r="Q182" s="3">
        <v>46267.397881944446</v>
      </c>
      <c r="R18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82" t="str">
        <f>IF(SCTR_Brokers[[#This Row],[FechaRecepcion]]="","",TEXT(SCTR_Brokers[[#This Row],[FechaRecepcion]],"mmmm")&amp;" "&amp;YEAR(SCTR_Brokers[[#This Row],[FechaRecepcion]]))</f>
        <v>septiembre 2026</v>
      </c>
      <c r="U182">
        <f>IF(SCTR_Brokers[[#This Row],[Estado]]="FINALIZADO",1,0)</f>
        <v>1</v>
      </c>
      <c r="V182">
        <f>IF(SCTR_Brokers[[#This Row],[FechaRecepcion]]="","",IF(SCTR_Brokers[[#This Row],[Estado]]="FINALIZADO",0,1))</f>
        <v>0</v>
      </c>
      <c r="W182">
        <f ca="1">IF(AND(SCTR_Brokers[[#This Row],[Estado]]="FINALIZADO",SCTR_Brokers[[#This Row],[Plazo]]=LISTAS!$J$3),1,0)</f>
        <v>1</v>
      </c>
      <c r="X182">
        <f ca="1">IF(AND(SCTR_Brokers[[#This Row],[Estado]]="FINALIZADO",SCTR_Brokers[[#This Row],[Plazo]]=LISTAS!$J$4),1,0)</f>
        <v>0</v>
      </c>
      <c r="Y182">
        <f ca="1">IF(AND(SCTR_Brokers[[#This Row],[Estado]]&lt;&gt;"FINALIZADO",SCTR_Brokers[[#This Row],[Plazo]]=LISTAS!$J$4),1,0)</f>
        <v>0</v>
      </c>
      <c r="Z182">
        <f>IF(SCTR_Brokers[[#This Row],[Fecha_Solic_Informe]]="",0,1)</f>
        <v>0</v>
      </c>
      <c r="AA182">
        <f>IF(SCTR_Brokers[[#This Row],[Fecha_Informe]]="",0,1)</f>
        <v>0</v>
      </c>
      <c r="AB182">
        <f>IF(AND(SCTR_Brokers[[#This Row],[Fecha_Solic_Informe]]&lt;&gt;"",SCTR_Brokers[[#This Row],[Fecha_Informe]]=""),1,0)</f>
        <v>0</v>
      </c>
      <c r="AC18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83" spans="1:29" hidden="1">
      <c r="A183" t="s">
        <v>415</v>
      </c>
      <c r="C183" t="str">
        <f>IF(SCTR_Brokers[[#This Row],[FechaRecepcion]]="","",SCTR_Brokers[[#This Row],[ConversationId]]&amp;"-"&amp;TEXT(SCTR_Brokers[[#This Row],[FechaRecepcion]],"aaaammddhhmmss"))</f>
        <v>AAQkADdkNThjNzFkLWM0ZmMtNDJhYS04MDVlLTIwNzE4ZDI1Mzg4YgAQADZ4xggwshxLisKmK8dtqgo=-20260902100018</v>
      </c>
      <c r="D183" t="s">
        <v>416</v>
      </c>
      <c r="E183" t="s">
        <v>20</v>
      </c>
      <c r="F183" s="3">
        <v>46267.416875000003</v>
      </c>
      <c r="G183" s="3">
        <v>46268.580254629633</v>
      </c>
      <c r="H183" t="s">
        <v>176</v>
      </c>
      <c r="I183" t="s">
        <v>7</v>
      </c>
      <c r="K183" t="s">
        <v>67</v>
      </c>
      <c r="L183" s="10"/>
      <c r="N18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83" s="3"/>
      <c r="P183" s="3"/>
      <c r="Q183" s="3">
        <v>46268.580254629633</v>
      </c>
      <c r="R18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183" t="str">
        <f>IF(SCTR_Brokers[[#This Row],[FechaRecepcion]]="","",TEXT(SCTR_Brokers[[#This Row],[FechaRecepcion]],"mmmm")&amp;" "&amp;YEAR(SCTR_Brokers[[#This Row],[FechaRecepcion]]))</f>
        <v>septiembre 2026</v>
      </c>
      <c r="U183">
        <f>IF(SCTR_Brokers[[#This Row],[Estado]]="FINALIZADO",1,0)</f>
        <v>1</v>
      </c>
      <c r="V183">
        <f>IF(SCTR_Brokers[[#This Row],[FechaRecepcion]]="","",IF(SCTR_Brokers[[#This Row],[Estado]]="FINALIZADO",0,1))</f>
        <v>0</v>
      </c>
      <c r="W183">
        <f ca="1">IF(AND(SCTR_Brokers[[#This Row],[Estado]]="FINALIZADO",SCTR_Brokers[[#This Row],[Plazo]]=LISTAS!$J$3),1,0)</f>
        <v>0</v>
      </c>
      <c r="X183">
        <f ca="1">IF(AND(SCTR_Brokers[[#This Row],[Estado]]="FINALIZADO",SCTR_Brokers[[#This Row],[Plazo]]=LISTAS!$J$4),1,0)</f>
        <v>1</v>
      </c>
      <c r="Y183">
        <f ca="1">IF(AND(SCTR_Brokers[[#This Row],[Estado]]&lt;&gt;"FINALIZADO",SCTR_Brokers[[#This Row],[Plazo]]=LISTAS!$J$4),1,0)</f>
        <v>0</v>
      </c>
      <c r="Z183">
        <f>IF(SCTR_Brokers[[#This Row],[Fecha_Solic_Informe]]="",0,1)</f>
        <v>0</v>
      </c>
      <c r="AA183">
        <f>IF(SCTR_Brokers[[#This Row],[Fecha_Informe]]="",0,1)</f>
        <v>0</v>
      </c>
      <c r="AB183">
        <f>IF(AND(SCTR_Brokers[[#This Row],[Fecha_Solic_Informe]]&lt;&gt;"",SCTR_Brokers[[#This Row],[Fecha_Informe]]=""),1,0)</f>
        <v>0</v>
      </c>
      <c r="AC18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84" spans="1:29" hidden="1">
      <c r="A184" t="s">
        <v>425</v>
      </c>
      <c r="C184" t="str">
        <f>IF(SCTR_Brokers[[#This Row],[FechaRecepcion]]="","",SCTR_Brokers[[#This Row],[ConversationId]]&amp;"-"&amp;TEXT(SCTR_Brokers[[#This Row],[FechaRecepcion]],"aaaammddhhmmss"))</f>
        <v>AAQkADdkNThjNzFkLWM0ZmMtNDJhYS04MDVlLTIwNzE4ZDI1Mzg4YgAQAPBrDTDv7V5Hoqet38dmUx8=-20260902100115</v>
      </c>
      <c r="D184" t="s">
        <v>436</v>
      </c>
      <c r="E184" t="s">
        <v>23</v>
      </c>
      <c r="F184" s="3">
        <v>46267.417534722219</v>
      </c>
      <c r="G184" s="3">
        <v>46267.509363425925</v>
      </c>
      <c r="H184" t="s">
        <v>70</v>
      </c>
      <c r="I184" t="s">
        <v>7</v>
      </c>
      <c r="K184" t="s">
        <v>67</v>
      </c>
      <c r="L184" s="10"/>
      <c r="M184" t="s">
        <v>16</v>
      </c>
      <c r="N18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84" s="3"/>
      <c r="P184" s="3"/>
      <c r="Q184" s="3">
        <v>46267.509363425925</v>
      </c>
      <c r="R18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84" t="str">
        <f>IF(SCTR_Brokers[[#This Row],[FechaRecepcion]]="","",TEXT(SCTR_Brokers[[#This Row],[FechaRecepcion]],"mmmm")&amp;" "&amp;YEAR(SCTR_Brokers[[#This Row],[FechaRecepcion]]))</f>
        <v>septiembre 2026</v>
      </c>
      <c r="U184">
        <f>IF(SCTR_Brokers[[#This Row],[Estado]]="FINALIZADO",1,0)</f>
        <v>1</v>
      </c>
      <c r="V184">
        <f>IF(SCTR_Brokers[[#This Row],[FechaRecepcion]]="","",IF(SCTR_Brokers[[#This Row],[Estado]]="FINALIZADO",0,1))</f>
        <v>0</v>
      </c>
      <c r="W184">
        <f ca="1">IF(AND(SCTR_Brokers[[#This Row],[Estado]]="FINALIZADO",SCTR_Brokers[[#This Row],[Plazo]]=LISTAS!$J$3),1,0)</f>
        <v>1</v>
      </c>
      <c r="X184">
        <f ca="1">IF(AND(SCTR_Brokers[[#This Row],[Estado]]="FINALIZADO",SCTR_Brokers[[#This Row],[Plazo]]=LISTAS!$J$4),1,0)</f>
        <v>0</v>
      </c>
      <c r="Y184">
        <f ca="1">IF(AND(SCTR_Brokers[[#This Row],[Estado]]&lt;&gt;"FINALIZADO",SCTR_Brokers[[#This Row],[Plazo]]=LISTAS!$J$4),1,0)</f>
        <v>0</v>
      </c>
      <c r="Z184">
        <f>IF(SCTR_Brokers[[#This Row],[Fecha_Solic_Informe]]="",0,1)</f>
        <v>0</v>
      </c>
      <c r="AA184">
        <f>IF(SCTR_Brokers[[#This Row],[Fecha_Informe]]="",0,1)</f>
        <v>0</v>
      </c>
      <c r="AB184">
        <f>IF(AND(SCTR_Brokers[[#This Row],[Fecha_Solic_Informe]]&lt;&gt;"",SCTR_Brokers[[#This Row],[Fecha_Informe]]=""),1,0)</f>
        <v>0</v>
      </c>
      <c r="AC18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85" spans="1:29" hidden="1">
      <c r="A185" t="s">
        <v>359</v>
      </c>
      <c r="C185" t="str">
        <f>IF(SCTR_Brokers[[#This Row],[FechaRecepcion]]="","",SCTR_Brokers[[#This Row],[ConversationId]]&amp;"-"&amp;TEXT(SCTR_Brokers[[#This Row],[FechaRecepcion]],"aaaammddhhmmss"))</f>
        <v>AAQkADdkNThjNzFkLWM0ZmMtNDJhYS04MDVlLTIwNzE4ZDI1Mzg4YgAQAAiyxkAUMAhAgDzz4OlHvHI=-20260902105409</v>
      </c>
      <c r="D185" t="s">
        <v>437</v>
      </c>
      <c r="E185" t="s">
        <v>14</v>
      </c>
      <c r="F185" s="3">
        <v>46267.454270833332</v>
      </c>
      <c r="G185" s="3">
        <v>46268.424953703703</v>
      </c>
      <c r="H185" t="s">
        <v>70</v>
      </c>
      <c r="I185" t="s">
        <v>7</v>
      </c>
      <c r="K185" t="s">
        <v>67</v>
      </c>
      <c r="L185" s="10"/>
      <c r="N18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85" s="3"/>
      <c r="P185" s="3"/>
      <c r="Q185" s="3">
        <v>46268.424953703703</v>
      </c>
      <c r="R18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185" t="str">
        <f>IF(SCTR_Brokers[[#This Row],[FechaRecepcion]]="","",TEXT(SCTR_Brokers[[#This Row],[FechaRecepcion]],"mmmm")&amp;" "&amp;YEAR(SCTR_Brokers[[#This Row],[FechaRecepcion]]))</f>
        <v>septiembre 2026</v>
      </c>
      <c r="U185">
        <f>IF(SCTR_Brokers[[#This Row],[Estado]]="FINALIZADO",1,0)</f>
        <v>1</v>
      </c>
      <c r="V185">
        <f>IF(SCTR_Brokers[[#This Row],[FechaRecepcion]]="","",IF(SCTR_Brokers[[#This Row],[Estado]]="FINALIZADO",0,1))</f>
        <v>0</v>
      </c>
      <c r="W185">
        <f ca="1">IF(AND(SCTR_Brokers[[#This Row],[Estado]]="FINALIZADO",SCTR_Brokers[[#This Row],[Plazo]]=LISTAS!$J$3),1,0)</f>
        <v>0</v>
      </c>
      <c r="X185">
        <f ca="1">IF(AND(SCTR_Brokers[[#This Row],[Estado]]="FINALIZADO",SCTR_Brokers[[#This Row],[Plazo]]=LISTAS!$J$4),1,0)</f>
        <v>1</v>
      </c>
      <c r="Y185">
        <f ca="1">IF(AND(SCTR_Brokers[[#This Row],[Estado]]&lt;&gt;"FINALIZADO",SCTR_Brokers[[#This Row],[Plazo]]=LISTAS!$J$4),1,0)</f>
        <v>0</v>
      </c>
      <c r="Z185">
        <f>IF(SCTR_Brokers[[#This Row],[Fecha_Solic_Informe]]="",0,1)</f>
        <v>0</v>
      </c>
      <c r="AA185">
        <f>IF(SCTR_Brokers[[#This Row],[Fecha_Informe]]="",0,1)</f>
        <v>0</v>
      </c>
      <c r="AB185">
        <f>IF(AND(SCTR_Brokers[[#This Row],[Fecha_Solic_Informe]]&lt;&gt;"",SCTR_Brokers[[#This Row],[Fecha_Informe]]=""),1,0)</f>
        <v>0</v>
      </c>
      <c r="AC18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86" spans="1:29" hidden="1">
      <c r="A186" t="s">
        <v>438</v>
      </c>
      <c r="C186" t="str">
        <f>IF(SCTR_Brokers[[#This Row],[FechaRecepcion]]="","",SCTR_Brokers[[#This Row],[ConversationId]]&amp;"-"&amp;TEXT(SCTR_Brokers[[#This Row],[FechaRecepcion]],"aaaammddhhmmss"))</f>
        <v>AAQkADdkNThjNzFkLWM0ZmMtNDJhYS04MDVlLTIwNzE4ZDI1Mzg4YgAQAErG4ld0tO1Bi0IHtoqoCk8=-20260902110555</v>
      </c>
      <c r="D186" t="s">
        <v>439</v>
      </c>
      <c r="E186" t="s">
        <v>21</v>
      </c>
      <c r="F186" s="3">
        <v>46267.462442129632</v>
      </c>
      <c r="G186" s="3">
        <v>46267.492303240739</v>
      </c>
      <c r="H186" t="s">
        <v>70</v>
      </c>
      <c r="I186" t="s">
        <v>7</v>
      </c>
      <c r="K186" t="s">
        <v>67</v>
      </c>
      <c r="L186" s="10"/>
      <c r="N18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86" s="3"/>
      <c r="P186" s="3"/>
      <c r="Q186" s="3">
        <v>46267.492303240739</v>
      </c>
      <c r="R18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86" t="str">
        <f>IF(SCTR_Brokers[[#This Row],[FechaRecepcion]]="","",TEXT(SCTR_Brokers[[#This Row],[FechaRecepcion]],"mmmm")&amp;" "&amp;YEAR(SCTR_Brokers[[#This Row],[FechaRecepcion]]))</f>
        <v>septiembre 2026</v>
      </c>
      <c r="U186">
        <f>IF(SCTR_Brokers[[#This Row],[Estado]]="FINALIZADO",1,0)</f>
        <v>1</v>
      </c>
      <c r="V186">
        <f>IF(SCTR_Brokers[[#This Row],[FechaRecepcion]]="","",IF(SCTR_Brokers[[#This Row],[Estado]]="FINALIZADO",0,1))</f>
        <v>0</v>
      </c>
      <c r="W186">
        <f ca="1">IF(AND(SCTR_Brokers[[#This Row],[Estado]]="FINALIZADO",SCTR_Brokers[[#This Row],[Plazo]]=LISTAS!$J$3),1,0)</f>
        <v>1</v>
      </c>
      <c r="X186">
        <f ca="1">IF(AND(SCTR_Brokers[[#This Row],[Estado]]="FINALIZADO",SCTR_Brokers[[#This Row],[Plazo]]=LISTAS!$J$4),1,0)</f>
        <v>0</v>
      </c>
      <c r="Y186">
        <f ca="1">IF(AND(SCTR_Brokers[[#This Row],[Estado]]&lt;&gt;"FINALIZADO",SCTR_Brokers[[#This Row],[Plazo]]=LISTAS!$J$4),1,0)</f>
        <v>0</v>
      </c>
      <c r="Z186">
        <f>IF(SCTR_Brokers[[#This Row],[Fecha_Solic_Informe]]="",0,1)</f>
        <v>0</v>
      </c>
      <c r="AA186">
        <f>IF(SCTR_Brokers[[#This Row],[Fecha_Informe]]="",0,1)</f>
        <v>0</v>
      </c>
      <c r="AB186">
        <f>IF(AND(SCTR_Brokers[[#This Row],[Fecha_Solic_Informe]]&lt;&gt;"",SCTR_Brokers[[#This Row],[Fecha_Informe]]=""),1,0)</f>
        <v>0</v>
      </c>
      <c r="AC18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87" spans="1:29" hidden="1">
      <c r="A187" t="s">
        <v>438</v>
      </c>
      <c r="C187" t="str">
        <f>IF(SCTR_Brokers[[#This Row],[FechaRecepcion]]="","",SCTR_Brokers[[#This Row],[ConversationId]]&amp;"-"&amp;TEXT(SCTR_Brokers[[#This Row],[FechaRecepcion]],"aaaammddhhmmss"))</f>
        <v>AAQkADdkNThjNzFkLWM0ZmMtNDJhYS04MDVlLTIwNzE4ZDI1Mzg4YgAQAErG4ld0tO1Bi0IHtoqoCk8=-20260902115055</v>
      </c>
      <c r="D187" t="s">
        <v>440</v>
      </c>
      <c r="E187" t="s">
        <v>21</v>
      </c>
      <c r="F187" s="3">
        <v>46267.493692129632</v>
      </c>
      <c r="G187" s="3">
        <v>46267.587754629632</v>
      </c>
      <c r="H187" t="s">
        <v>70</v>
      </c>
      <c r="I187" t="s">
        <v>7</v>
      </c>
      <c r="K187" t="s">
        <v>67</v>
      </c>
      <c r="L187" s="10"/>
      <c r="N18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87" s="3"/>
      <c r="P187" s="3"/>
      <c r="Q187" s="3">
        <v>46267.587754629632</v>
      </c>
      <c r="R18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87" t="str">
        <f>IF(SCTR_Brokers[[#This Row],[FechaRecepcion]]="","",TEXT(SCTR_Brokers[[#This Row],[FechaRecepcion]],"mmmm")&amp;" "&amp;YEAR(SCTR_Brokers[[#This Row],[FechaRecepcion]]))</f>
        <v>septiembre 2026</v>
      </c>
      <c r="U187">
        <f>IF(SCTR_Brokers[[#This Row],[Estado]]="FINALIZADO",1,0)</f>
        <v>1</v>
      </c>
      <c r="V187">
        <f>IF(SCTR_Brokers[[#This Row],[FechaRecepcion]]="","",IF(SCTR_Brokers[[#This Row],[Estado]]="FINALIZADO",0,1))</f>
        <v>0</v>
      </c>
      <c r="W187">
        <f ca="1">IF(AND(SCTR_Brokers[[#This Row],[Estado]]="FINALIZADO",SCTR_Brokers[[#This Row],[Plazo]]=LISTAS!$J$3),1,0)</f>
        <v>1</v>
      </c>
      <c r="X187">
        <f ca="1">IF(AND(SCTR_Brokers[[#This Row],[Estado]]="FINALIZADO",SCTR_Brokers[[#This Row],[Plazo]]=LISTAS!$J$4),1,0)</f>
        <v>0</v>
      </c>
      <c r="Y187">
        <f ca="1">IF(AND(SCTR_Brokers[[#This Row],[Estado]]&lt;&gt;"FINALIZADO",SCTR_Brokers[[#This Row],[Plazo]]=LISTAS!$J$4),1,0)</f>
        <v>0</v>
      </c>
      <c r="Z187">
        <f>IF(SCTR_Brokers[[#This Row],[Fecha_Solic_Informe]]="",0,1)</f>
        <v>0</v>
      </c>
      <c r="AA187">
        <f>IF(SCTR_Brokers[[#This Row],[Fecha_Informe]]="",0,1)</f>
        <v>0</v>
      </c>
      <c r="AB187">
        <f>IF(AND(SCTR_Brokers[[#This Row],[Fecha_Solic_Informe]]&lt;&gt;"",SCTR_Brokers[[#This Row],[Fecha_Informe]]=""),1,0)</f>
        <v>0</v>
      </c>
      <c r="AC18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88" spans="1:29" hidden="1">
      <c r="A188" t="s">
        <v>441</v>
      </c>
      <c r="C188" t="str">
        <f>IF(SCTR_Brokers[[#This Row],[FechaRecepcion]]="","",SCTR_Brokers[[#This Row],[ConversationId]]&amp;"-"&amp;TEXT(SCTR_Brokers[[#This Row],[FechaRecepcion]],"aaaammddhhmmss"))</f>
        <v>AAQkADdkNThjNzFkLWM0ZmMtNDJhYS04MDVlLTIwNzE4ZDI1Mzg4YgAQADdo0LV5q1RMiKOr_VtZv0c=-20260902121356</v>
      </c>
      <c r="D188" t="s">
        <v>442</v>
      </c>
      <c r="E188" t="s">
        <v>8</v>
      </c>
      <c r="F188" s="3">
        <v>46267.509675925925</v>
      </c>
      <c r="G188" s="3">
        <v>46268.428553240738</v>
      </c>
      <c r="H188" t="s">
        <v>70</v>
      </c>
      <c r="I188" t="s">
        <v>7</v>
      </c>
      <c r="K188" t="s">
        <v>67</v>
      </c>
      <c r="L188" s="10"/>
      <c r="N18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88" s="3"/>
      <c r="P188" s="3"/>
      <c r="Q188" s="3">
        <v>46268.428553240738</v>
      </c>
      <c r="R18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188" t="str">
        <f>IF(SCTR_Brokers[[#This Row],[FechaRecepcion]]="","",TEXT(SCTR_Brokers[[#This Row],[FechaRecepcion]],"mmmm")&amp;" "&amp;YEAR(SCTR_Brokers[[#This Row],[FechaRecepcion]]))</f>
        <v>septiembre 2026</v>
      </c>
      <c r="U188">
        <f>IF(SCTR_Brokers[[#This Row],[Estado]]="FINALIZADO",1,0)</f>
        <v>1</v>
      </c>
      <c r="V188">
        <f>IF(SCTR_Brokers[[#This Row],[FechaRecepcion]]="","",IF(SCTR_Brokers[[#This Row],[Estado]]="FINALIZADO",0,1))</f>
        <v>0</v>
      </c>
      <c r="W188">
        <f ca="1">IF(AND(SCTR_Brokers[[#This Row],[Estado]]="FINALIZADO",SCTR_Brokers[[#This Row],[Plazo]]=LISTAS!$J$3),1,0)</f>
        <v>0</v>
      </c>
      <c r="X188">
        <f ca="1">IF(AND(SCTR_Brokers[[#This Row],[Estado]]="FINALIZADO",SCTR_Brokers[[#This Row],[Plazo]]=LISTAS!$J$4),1,0)</f>
        <v>1</v>
      </c>
      <c r="Y188">
        <f ca="1">IF(AND(SCTR_Brokers[[#This Row],[Estado]]&lt;&gt;"FINALIZADO",SCTR_Brokers[[#This Row],[Plazo]]=LISTAS!$J$4),1,0)</f>
        <v>0</v>
      </c>
      <c r="Z188">
        <f>IF(SCTR_Brokers[[#This Row],[Fecha_Solic_Informe]]="",0,1)</f>
        <v>0</v>
      </c>
      <c r="AA188">
        <f>IF(SCTR_Brokers[[#This Row],[Fecha_Informe]]="",0,1)</f>
        <v>0</v>
      </c>
      <c r="AB188">
        <f>IF(AND(SCTR_Brokers[[#This Row],[Fecha_Solic_Informe]]&lt;&gt;"",SCTR_Brokers[[#This Row],[Fecha_Informe]]=""),1,0)</f>
        <v>0</v>
      </c>
      <c r="AC18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89" spans="1:29" hidden="1">
      <c r="A189" t="s">
        <v>438</v>
      </c>
      <c r="C189" t="str">
        <f>IF(SCTR_Brokers[[#This Row],[FechaRecepcion]]="","",SCTR_Brokers[[#This Row],[ConversationId]]&amp;"-"&amp;TEXT(SCTR_Brokers[[#This Row],[FechaRecepcion]],"aaaammddhhmmss"))</f>
        <v>AAQkADdkNThjNzFkLWM0ZmMtNDJhYS04MDVlLTIwNzE4ZDI1Mzg4YgAQAErG4ld0tO1Bi0IHtoqoCk8=-20260902142525</v>
      </c>
      <c r="D189" t="s">
        <v>440</v>
      </c>
      <c r="E189" t="s">
        <v>21</v>
      </c>
      <c r="F189" s="3">
        <v>46267.600983796299</v>
      </c>
      <c r="G189" s="3">
        <v>46267.600983796299</v>
      </c>
      <c r="H189" t="s">
        <v>443</v>
      </c>
      <c r="I189" t="s">
        <v>7</v>
      </c>
      <c r="K189" t="s">
        <v>67</v>
      </c>
      <c r="L189" s="10"/>
      <c r="N18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89" s="3"/>
      <c r="P189" s="3"/>
      <c r="Q189" s="3">
        <v>46267.624594907407</v>
      </c>
      <c r="R18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89" t="str">
        <f>IF(SCTR_Brokers[[#This Row],[FechaRecepcion]]="","",TEXT(SCTR_Brokers[[#This Row],[FechaRecepcion]],"mmmm")&amp;" "&amp;YEAR(SCTR_Brokers[[#This Row],[FechaRecepcion]]))</f>
        <v>septiembre 2026</v>
      </c>
      <c r="U189">
        <f>IF(SCTR_Brokers[[#This Row],[Estado]]="FINALIZADO",1,0)</f>
        <v>1</v>
      </c>
      <c r="V189">
        <f>IF(SCTR_Brokers[[#This Row],[FechaRecepcion]]="","",IF(SCTR_Brokers[[#This Row],[Estado]]="FINALIZADO",0,1))</f>
        <v>0</v>
      </c>
      <c r="W189">
        <f ca="1">IF(AND(SCTR_Brokers[[#This Row],[Estado]]="FINALIZADO",SCTR_Brokers[[#This Row],[Plazo]]=LISTAS!$J$3),1,0)</f>
        <v>1</v>
      </c>
      <c r="X189">
        <f ca="1">IF(AND(SCTR_Brokers[[#This Row],[Estado]]="FINALIZADO",SCTR_Brokers[[#This Row],[Plazo]]=LISTAS!$J$4),1,0)</f>
        <v>0</v>
      </c>
      <c r="Y189">
        <f ca="1">IF(AND(SCTR_Brokers[[#This Row],[Estado]]&lt;&gt;"FINALIZADO",SCTR_Brokers[[#This Row],[Plazo]]=LISTAS!$J$4),1,0)</f>
        <v>0</v>
      </c>
      <c r="Z189">
        <f>IF(SCTR_Brokers[[#This Row],[Fecha_Solic_Informe]]="",0,1)</f>
        <v>0</v>
      </c>
      <c r="AA189">
        <f>IF(SCTR_Brokers[[#This Row],[Fecha_Informe]]="",0,1)</f>
        <v>0</v>
      </c>
      <c r="AB189">
        <f>IF(AND(SCTR_Brokers[[#This Row],[Fecha_Solic_Informe]]&lt;&gt;"",SCTR_Brokers[[#This Row],[Fecha_Informe]]=""),1,0)</f>
        <v>0</v>
      </c>
      <c r="AC18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90" spans="1:29" hidden="1">
      <c r="A190" t="s">
        <v>444</v>
      </c>
      <c r="C190" t="str">
        <f>IF(SCTR_Brokers[[#This Row],[FechaRecepcion]]="","",SCTR_Brokers[[#This Row],[ConversationId]]&amp;"-"&amp;TEXT(SCTR_Brokers[[#This Row],[FechaRecepcion]],"aaaammddhhmmss"))</f>
        <v>AAQkADdkNThjNzFkLWM0ZmMtNDJhYS04MDVlLTIwNzE4ZDI1Mzg4YgAQAG6w3D2gNbNPnZTazA6X2lM=-20260902154401</v>
      </c>
      <c r="D190" t="s">
        <v>445</v>
      </c>
      <c r="E190" t="s">
        <v>8</v>
      </c>
      <c r="F190" s="3">
        <v>46267.65556712963</v>
      </c>
      <c r="G190" s="3">
        <v>46268.43273148148</v>
      </c>
      <c r="H190" t="s">
        <v>70</v>
      </c>
      <c r="I190" t="s">
        <v>7</v>
      </c>
      <c r="K190" t="s">
        <v>67</v>
      </c>
      <c r="L190" s="10"/>
      <c r="N19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90" s="3"/>
      <c r="P190" s="3"/>
      <c r="Q190" s="3">
        <v>46268.43273148148</v>
      </c>
      <c r="R19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90" t="str">
        <f>IF(SCTR_Brokers[[#This Row],[FechaRecepcion]]="","",TEXT(SCTR_Brokers[[#This Row],[FechaRecepcion]],"mmmm")&amp;" "&amp;YEAR(SCTR_Brokers[[#This Row],[FechaRecepcion]]))</f>
        <v>septiembre 2026</v>
      </c>
      <c r="U190">
        <f>IF(SCTR_Brokers[[#This Row],[Estado]]="FINALIZADO",1,0)</f>
        <v>1</v>
      </c>
      <c r="V190">
        <f>IF(SCTR_Brokers[[#This Row],[FechaRecepcion]]="","",IF(SCTR_Brokers[[#This Row],[Estado]]="FINALIZADO",0,1))</f>
        <v>0</v>
      </c>
      <c r="W190">
        <f ca="1">IF(AND(SCTR_Brokers[[#This Row],[Estado]]="FINALIZADO",SCTR_Brokers[[#This Row],[Plazo]]=LISTAS!$J$3),1,0)</f>
        <v>1</v>
      </c>
      <c r="X190">
        <f ca="1">IF(AND(SCTR_Brokers[[#This Row],[Estado]]="FINALIZADO",SCTR_Brokers[[#This Row],[Plazo]]=LISTAS!$J$4),1,0)</f>
        <v>0</v>
      </c>
      <c r="Y190">
        <f ca="1">IF(AND(SCTR_Brokers[[#This Row],[Estado]]&lt;&gt;"FINALIZADO",SCTR_Brokers[[#This Row],[Plazo]]=LISTAS!$J$4),1,0)</f>
        <v>0</v>
      </c>
      <c r="Z190">
        <f>IF(SCTR_Brokers[[#This Row],[Fecha_Solic_Informe]]="",0,1)</f>
        <v>0</v>
      </c>
      <c r="AA190">
        <f>IF(SCTR_Brokers[[#This Row],[Fecha_Informe]]="",0,1)</f>
        <v>0</v>
      </c>
      <c r="AB190">
        <f>IF(AND(SCTR_Brokers[[#This Row],[Fecha_Solic_Informe]]&lt;&gt;"",SCTR_Brokers[[#This Row],[Fecha_Informe]]=""),1,0)</f>
        <v>0</v>
      </c>
      <c r="AC19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91" spans="1:29" hidden="1">
      <c r="A191" t="s">
        <v>446</v>
      </c>
      <c r="C191" t="str">
        <f>IF(SCTR_Brokers[[#This Row],[FechaRecepcion]]="","",SCTR_Brokers[[#This Row],[ConversationId]]&amp;"-"&amp;TEXT(SCTR_Brokers[[#This Row],[FechaRecepcion]],"aaaammddhhmmss"))</f>
        <v>AAQkADdkNThjNzFkLWM0ZmMtNDJhYS04MDVlLTIwNzE4ZDI1Mzg4YgAQAD0AzB96KDFFthrFQpSfjMs=-20260902160450</v>
      </c>
      <c r="D191" t="s">
        <v>447</v>
      </c>
      <c r="E191" t="s">
        <v>23</v>
      </c>
      <c r="F191" s="3">
        <v>46267.670023148145</v>
      </c>
      <c r="G191" s="3">
        <v>46267.670023148145</v>
      </c>
      <c r="H191" t="s">
        <v>325</v>
      </c>
      <c r="I191" t="s">
        <v>7</v>
      </c>
      <c r="K191" t="s">
        <v>67</v>
      </c>
      <c r="L191" s="10"/>
      <c r="N19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91" s="3"/>
      <c r="P191" s="3"/>
      <c r="Q191" s="3">
        <v>46268.438773148147</v>
      </c>
      <c r="R19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91" t="str">
        <f>IF(SCTR_Brokers[[#This Row],[FechaRecepcion]]="","",TEXT(SCTR_Brokers[[#This Row],[FechaRecepcion]],"mmmm")&amp;" "&amp;YEAR(SCTR_Brokers[[#This Row],[FechaRecepcion]]))</f>
        <v>septiembre 2026</v>
      </c>
      <c r="U191">
        <f>IF(SCTR_Brokers[[#This Row],[Estado]]="FINALIZADO",1,0)</f>
        <v>1</v>
      </c>
      <c r="V191">
        <f>IF(SCTR_Brokers[[#This Row],[FechaRecepcion]]="","",IF(SCTR_Brokers[[#This Row],[Estado]]="FINALIZADO",0,1))</f>
        <v>0</v>
      </c>
      <c r="W191">
        <f ca="1">IF(AND(SCTR_Brokers[[#This Row],[Estado]]="FINALIZADO",SCTR_Brokers[[#This Row],[Plazo]]=LISTAS!$J$3),1,0)</f>
        <v>1</v>
      </c>
      <c r="X191">
        <f ca="1">IF(AND(SCTR_Brokers[[#This Row],[Estado]]="FINALIZADO",SCTR_Brokers[[#This Row],[Plazo]]=LISTAS!$J$4),1,0)</f>
        <v>0</v>
      </c>
      <c r="Y191">
        <f ca="1">IF(AND(SCTR_Brokers[[#This Row],[Estado]]&lt;&gt;"FINALIZADO",SCTR_Brokers[[#This Row],[Plazo]]=LISTAS!$J$4),1,0)</f>
        <v>0</v>
      </c>
      <c r="Z191">
        <f>IF(SCTR_Brokers[[#This Row],[Fecha_Solic_Informe]]="",0,1)</f>
        <v>0</v>
      </c>
      <c r="AA191">
        <f>IF(SCTR_Brokers[[#This Row],[Fecha_Informe]]="",0,1)</f>
        <v>0</v>
      </c>
      <c r="AB191">
        <f>IF(AND(SCTR_Brokers[[#This Row],[Fecha_Solic_Informe]]&lt;&gt;"",SCTR_Brokers[[#This Row],[Fecha_Informe]]=""),1,0)</f>
        <v>0</v>
      </c>
      <c r="AC19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92" spans="1:29" hidden="1">
      <c r="A192" t="s">
        <v>448</v>
      </c>
      <c r="C192" t="str">
        <f>IF(SCTR_Brokers[[#This Row],[FechaRecepcion]]="","",SCTR_Brokers[[#This Row],[ConversationId]]&amp;"-"&amp;TEXT(SCTR_Brokers[[#This Row],[FechaRecepcion]],"aaaammddhhmmss"))</f>
        <v>AAQkADdkNThjNzFkLWM0ZmMtNDJhYS04MDVlLTIwNzE4ZDI1Mzg4YgAQAJqQhLs-76FHu2KhHodLdLk=-20260902161831</v>
      </c>
      <c r="D192" t="s">
        <v>449</v>
      </c>
      <c r="E192" t="s">
        <v>23</v>
      </c>
      <c r="F192" s="3">
        <v>46267.679525462961</v>
      </c>
      <c r="G192" s="3">
        <v>46268.443518518521</v>
      </c>
      <c r="H192" t="s">
        <v>70</v>
      </c>
      <c r="I192" t="s">
        <v>7</v>
      </c>
      <c r="K192" t="s">
        <v>67</v>
      </c>
      <c r="L192" s="10"/>
      <c r="N19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92" s="3"/>
      <c r="P192" s="3"/>
      <c r="Q192" s="3">
        <v>46268.443518518521</v>
      </c>
      <c r="R19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92" t="str">
        <f>IF(SCTR_Brokers[[#This Row],[FechaRecepcion]]="","",TEXT(SCTR_Brokers[[#This Row],[FechaRecepcion]],"mmmm")&amp;" "&amp;YEAR(SCTR_Brokers[[#This Row],[FechaRecepcion]]))</f>
        <v>septiembre 2026</v>
      </c>
      <c r="U192">
        <f>IF(SCTR_Brokers[[#This Row],[Estado]]="FINALIZADO",1,0)</f>
        <v>1</v>
      </c>
      <c r="V192">
        <f>IF(SCTR_Brokers[[#This Row],[FechaRecepcion]]="","",IF(SCTR_Brokers[[#This Row],[Estado]]="FINALIZADO",0,1))</f>
        <v>0</v>
      </c>
      <c r="W192">
        <f ca="1">IF(AND(SCTR_Brokers[[#This Row],[Estado]]="FINALIZADO",SCTR_Brokers[[#This Row],[Plazo]]=LISTAS!$J$3),1,0)</f>
        <v>1</v>
      </c>
      <c r="X192">
        <f ca="1">IF(AND(SCTR_Brokers[[#This Row],[Estado]]="FINALIZADO",SCTR_Brokers[[#This Row],[Plazo]]=LISTAS!$J$4),1,0)</f>
        <v>0</v>
      </c>
      <c r="Y192">
        <f ca="1">IF(AND(SCTR_Brokers[[#This Row],[Estado]]&lt;&gt;"FINALIZADO",SCTR_Brokers[[#This Row],[Plazo]]=LISTAS!$J$4),1,0)</f>
        <v>0</v>
      </c>
      <c r="Z192">
        <f>IF(SCTR_Brokers[[#This Row],[Fecha_Solic_Informe]]="",0,1)</f>
        <v>0</v>
      </c>
      <c r="AA192">
        <f>IF(SCTR_Brokers[[#This Row],[Fecha_Informe]]="",0,1)</f>
        <v>0</v>
      </c>
      <c r="AB192">
        <f>IF(AND(SCTR_Brokers[[#This Row],[Fecha_Solic_Informe]]&lt;&gt;"",SCTR_Brokers[[#This Row],[Fecha_Informe]]=""),1,0)</f>
        <v>0</v>
      </c>
      <c r="AC19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93" spans="1:29" hidden="1">
      <c r="A193" t="s">
        <v>450</v>
      </c>
      <c r="C193" t="str">
        <f>IF(SCTR_Brokers[[#This Row],[FechaRecepcion]]="","",SCTR_Brokers[[#This Row],[ConversationId]]&amp;"-"&amp;TEXT(SCTR_Brokers[[#This Row],[FechaRecepcion]],"aaaammddhhmmss"))</f>
        <v>AAQkADdkNThjNzFkLWM0ZmMtNDJhYS04MDVlLTIwNzE4ZDI1Mzg4YgAQAMe4upz_WkNAvkcWisgk9s4=-20260902171133</v>
      </c>
      <c r="D193" t="s">
        <v>451</v>
      </c>
      <c r="E193" t="s">
        <v>20</v>
      </c>
      <c r="F193" s="3">
        <v>46267.716354166667</v>
      </c>
      <c r="G193" s="3">
        <v>46267.821643518517</v>
      </c>
      <c r="H193" t="s">
        <v>70</v>
      </c>
      <c r="I193" t="s">
        <v>7</v>
      </c>
      <c r="K193" t="s">
        <v>67</v>
      </c>
      <c r="L193" s="10"/>
      <c r="N19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93" s="3"/>
      <c r="P193" s="3"/>
      <c r="Q193" s="3">
        <v>46267.821643518517</v>
      </c>
      <c r="R19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93" t="str">
        <f>IF(SCTR_Brokers[[#This Row],[FechaRecepcion]]="","",TEXT(SCTR_Brokers[[#This Row],[FechaRecepcion]],"mmmm")&amp;" "&amp;YEAR(SCTR_Brokers[[#This Row],[FechaRecepcion]]))</f>
        <v>septiembre 2026</v>
      </c>
      <c r="U193">
        <f>IF(SCTR_Brokers[[#This Row],[Estado]]="FINALIZADO",1,0)</f>
        <v>1</v>
      </c>
      <c r="V193">
        <f>IF(SCTR_Brokers[[#This Row],[FechaRecepcion]]="","",IF(SCTR_Brokers[[#This Row],[Estado]]="FINALIZADO",0,1))</f>
        <v>0</v>
      </c>
      <c r="W193">
        <f ca="1">IF(AND(SCTR_Brokers[[#This Row],[Estado]]="FINALIZADO",SCTR_Brokers[[#This Row],[Plazo]]=LISTAS!$J$3),1,0)</f>
        <v>1</v>
      </c>
      <c r="X193">
        <f ca="1">IF(AND(SCTR_Brokers[[#This Row],[Estado]]="FINALIZADO",SCTR_Brokers[[#This Row],[Plazo]]=LISTAS!$J$4),1,0)</f>
        <v>0</v>
      </c>
      <c r="Y193">
        <f ca="1">IF(AND(SCTR_Brokers[[#This Row],[Estado]]&lt;&gt;"FINALIZADO",SCTR_Brokers[[#This Row],[Plazo]]=LISTAS!$J$4),1,0)</f>
        <v>0</v>
      </c>
      <c r="Z193">
        <f>IF(SCTR_Brokers[[#This Row],[Fecha_Solic_Informe]]="",0,1)</f>
        <v>0</v>
      </c>
      <c r="AA193">
        <f>IF(SCTR_Brokers[[#This Row],[Fecha_Informe]]="",0,1)</f>
        <v>0</v>
      </c>
      <c r="AB193">
        <f>IF(AND(SCTR_Brokers[[#This Row],[Fecha_Solic_Informe]]&lt;&gt;"",SCTR_Brokers[[#This Row],[Fecha_Informe]]=""),1,0)</f>
        <v>0</v>
      </c>
      <c r="AC19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94" spans="1:29" hidden="1">
      <c r="A194" t="s">
        <v>403</v>
      </c>
      <c r="C194" t="str">
        <f>IF(SCTR_Brokers[[#This Row],[FechaRecepcion]]="","",SCTR_Brokers[[#This Row],[ConversationId]]&amp;"-"&amp;TEXT(SCTR_Brokers[[#This Row],[FechaRecepcion]],"aaaammddhhmmss"))</f>
        <v>AAQkADdkNThjNzFkLWM0ZmMtNDJhYS04MDVlLTIwNzE4ZDI1Mzg4YgAQAD9vFPYleL5CssY6fMGPZvI=-20260902174045</v>
      </c>
      <c r="D194" t="s">
        <v>452</v>
      </c>
      <c r="E194" t="s">
        <v>21</v>
      </c>
      <c r="F194" s="3">
        <v>46267.736631944441</v>
      </c>
      <c r="G194" s="3">
        <v>46267.736631944441</v>
      </c>
      <c r="H194" t="s">
        <v>424</v>
      </c>
      <c r="I194" t="s">
        <v>7</v>
      </c>
      <c r="K194" t="s">
        <v>67</v>
      </c>
      <c r="L194" s="10"/>
      <c r="N19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94" s="3"/>
      <c r="P194" s="3"/>
      <c r="Q194" s="3">
        <v>46267.736631944441</v>
      </c>
      <c r="R19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94" t="str">
        <f>IF(SCTR_Brokers[[#This Row],[FechaRecepcion]]="","",TEXT(SCTR_Brokers[[#This Row],[FechaRecepcion]],"mmmm")&amp;" "&amp;YEAR(SCTR_Brokers[[#This Row],[FechaRecepcion]]))</f>
        <v>septiembre 2026</v>
      </c>
      <c r="U194">
        <f>IF(SCTR_Brokers[[#This Row],[Estado]]="FINALIZADO",1,0)</f>
        <v>1</v>
      </c>
      <c r="V194">
        <f>IF(SCTR_Brokers[[#This Row],[FechaRecepcion]]="","",IF(SCTR_Brokers[[#This Row],[Estado]]="FINALIZADO",0,1))</f>
        <v>0</v>
      </c>
      <c r="W194">
        <f ca="1">IF(AND(SCTR_Brokers[[#This Row],[Estado]]="FINALIZADO",SCTR_Brokers[[#This Row],[Plazo]]=LISTAS!$J$3),1,0)</f>
        <v>1</v>
      </c>
      <c r="X194">
        <f ca="1">IF(AND(SCTR_Brokers[[#This Row],[Estado]]="FINALIZADO",SCTR_Brokers[[#This Row],[Plazo]]=LISTAS!$J$4),1,0)</f>
        <v>0</v>
      </c>
      <c r="Y194">
        <f ca="1">IF(AND(SCTR_Brokers[[#This Row],[Estado]]&lt;&gt;"FINALIZADO",SCTR_Brokers[[#This Row],[Plazo]]=LISTAS!$J$4),1,0)</f>
        <v>0</v>
      </c>
      <c r="Z194">
        <f>IF(SCTR_Brokers[[#This Row],[Fecha_Solic_Informe]]="",0,1)</f>
        <v>0</v>
      </c>
      <c r="AA194">
        <f>IF(SCTR_Brokers[[#This Row],[Fecha_Informe]]="",0,1)</f>
        <v>0</v>
      </c>
      <c r="AB194">
        <f>IF(AND(SCTR_Brokers[[#This Row],[Fecha_Solic_Informe]]&lt;&gt;"",SCTR_Brokers[[#This Row],[Fecha_Informe]]=""),1,0)</f>
        <v>0</v>
      </c>
      <c r="AC19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95" spans="1:29" hidden="1">
      <c r="A195" t="s">
        <v>453</v>
      </c>
      <c r="C195" t="str">
        <f>IF(SCTR_Brokers[[#This Row],[FechaRecepcion]]="","",SCTR_Brokers[[#This Row],[ConversationId]]&amp;"-"&amp;TEXT(SCTR_Brokers[[#This Row],[FechaRecepcion]],"aaaammddhhmmss"))</f>
        <v>AAQkADdkNThjNzFkLWM0ZmMtNDJhYS04MDVlLTIwNzE4ZDI1Mzg4YgAQACF6rX5WJq1EpLCfqXldyJA=-20260902210048</v>
      </c>
      <c r="D195" t="s">
        <v>454</v>
      </c>
      <c r="E195" t="s">
        <v>21</v>
      </c>
      <c r="F195" s="3">
        <v>46267.875555555554</v>
      </c>
      <c r="G195" s="3">
        <v>46267.875555555554</v>
      </c>
      <c r="H195" t="s">
        <v>455</v>
      </c>
      <c r="I195" t="s">
        <v>7</v>
      </c>
      <c r="K195" t="s">
        <v>67</v>
      </c>
      <c r="L195" s="10"/>
      <c r="N19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95" s="3"/>
      <c r="P195" s="3"/>
      <c r="Q195" s="3">
        <v>46267.875555555554</v>
      </c>
      <c r="R19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95" t="str">
        <f>IF(SCTR_Brokers[[#This Row],[FechaRecepcion]]="","",TEXT(SCTR_Brokers[[#This Row],[FechaRecepcion]],"mmmm")&amp;" "&amp;YEAR(SCTR_Brokers[[#This Row],[FechaRecepcion]]))</f>
        <v>septiembre 2026</v>
      </c>
      <c r="U195">
        <f>IF(SCTR_Brokers[[#This Row],[Estado]]="FINALIZADO",1,0)</f>
        <v>1</v>
      </c>
      <c r="V195">
        <f>IF(SCTR_Brokers[[#This Row],[FechaRecepcion]]="","",IF(SCTR_Brokers[[#This Row],[Estado]]="FINALIZADO",0,1))</f>
        <v>0</v>
      </c>
      <c r="W195">
        <f ca="1">IF(AND(SCTR_Brokers[[#This Row],[Estado]]="FINALIZADO",SCTR_Brokers[[#This Row],[Plazo]]=LISTAS!$J$3),1,0)</f>
        <v>1</v>
      </c>
      <c r="X195">
        <f ca="1">IF(AND(SCTR_Brokers[[#This Row],[Estado]]="FINALIZADO",SCTR_Brokers[[#This Row],[Plazo]]=LISTAS!$J$4),1,0)</f>
        <v>0</v>
      </c>
      <c r="Y195">
        <f ca="1">IF(AND(SCTR_Brokers[[#This Row],[Estado]]&lt;&gt;"FINALIZADO",SCTR_Brokers[[#This Row],[Plazo]]=LISTAS!$J$4),1,0)</f>
        <v>0</v>
      </c>
      <c r="Z195">
        <f>IF(SCTR_Brokers[[#This Row],[Fecha_Solic_Informe]]="",0,1)</f>
        <v>0</v>
      </c>
      <c r="AA195">
        <f>IF(SCTR_Brokers[[#This Row],[Fecha_Informe]]="",0,1)</f>
        <v>0</v>
      </c>
      <c r="AB195">
        <f>IF(AND(SCTR_Brokers[[#This Row],[Fecha_Solic_Informe]]&lt;&gt;"",SCTR_Brokers[[#This Row],[Fecha_Informe]]=""),1,0)</f>
        <v>0</v>
      </c>
      <c r="AC19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96" spans="1:29" hidden="1">
      <c r="A196" t="s">
        <v>456</v>
      </c>
      <c r="C196" t="str">
        <f>IF(SCTR_Brokers[[#This Row],[FechaRecepcion]]="","",SCTR_Brokers[[#This Row],[ConversationId]]&amp;"-"&amp;TEXT(SCTR_Brokers[[#This Row],[FechaRecepcion]],"aaaammddhhmmss"))</f>
        <v>AAQkADdkNThjNzFkLWM0ZmMtNDJhYS04MDVlLTIwNzE4ZDI1Mzg4YgAQAItG9DZxuvNNgGVYOXkwnEY=-20260902210134</v>
      </c>
      <c r="D196" t="s">
        <v>457</v>
      </c>
      <c r="E196" t="s">
        <v>21</v>
      </c>
      <c r="F196" s="3">
        <v>46267.876087962963</v>
      </c>
      <c r="G196" s="3">
        <v>46267.876087962963</v>
      </c>
      <c r="H196" t="s">
        <v>455</v>
      </c>
      <c r="I196" t="s">
        <v>7</v>
      </c>
      <c r="K196" t="s">
        <v>67</v>
      </c>
      <c r="L196" s="10"/>
      <c r="N19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96" s="3"/>
      <c r="P196" s="3"/>
      <c r="Q196" s="3">
        <v>46267.876087962963</v>
      </c>
      <c r="R19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96" t="str">
        <f>IF(SCTR_Brokers[[#This Row],[FechaRecepcion]]="","",TEXT(SCTR_Brokers[[#This Row],[FechaRecepcion]],"mmmm")&amp;" "&amp;YEAR(SCTR_Brokers[[#This Row],[FechaRecepcion]]))</f>
        <v>septiembre 2026</v>
      </c>
      <c r="U196">
        <f>IF(SCTR_Brokers[[#This Row],[Estado]]="FINALIZADO",1,0)</f>
        <v>1</v>
      </c>
      <c r="V196">
        <f>IF(SCTR_Brokers[[#This Row],[FechaRecepcion]]="","",IF(SCTR_Brokers[[#This Row],[Estado]]="FINALIZADO",0,1))</f>
        <v>0</v>
      </c>
      <c r="W196">
        <f ca="1">IF(AND(SCTR_Brokers[[#This Row],[Estado]]="FINALIZADO",SCTR_Brokers[[#This Row],[Plazo]]=LISTAS!$J$3),1,0)</f>
        <v>1</v>
      </c>
      <c r="X196">
        <f ca="1">IF(AND(SCTR_Brokers[[#This Row],[Estado]]="FINALIZADO",SCTR_Brokers[[#This Row],[Plazo]]=LISTAS!$J$4),1,0)</f>
        <v>0</v>
      </c>
      <c r="Y196">
        <f ca="1">IF(AND(SCTR_Brokers[[#This Row],[Estado]]&lt;&gt;"FINALIZADO",SCTR_Brokers[[#This Row],[Plazo]]=LISTAS!$J$4),1,0)</f>
        <v>0</v>
      </c>
      <c r="Z196">
        <f>IF(SCTR_Brokers[[#This Row],[Fecha_Solic_Informe]]="",0,1)</f>
        <v>0</v>
      </c>
      <c r="AA196">
        <f>IF(SCTR_Brokers[[#This Row],[Fecha_Informe]]="",0,1)</f>
        <v>0</v>
      </c>
      <c r="AB196">
        <f>IF(AND(SCTR_Brokers[[#This Row],[Fecha_Solic_Informe]]&lt;&gt;"",SCTR_Brokers[[#This Row],[Fecha_Informe]]=""),1,0)</f>
        <v>0</v>
      </c>
      <c r="AC19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97" spans="1:29" hidden="1">
      <c r="A197" t="s">
        <v>458</v>
      </c>
      <c r="C197" t="str">
        <f>IF(SCTR_Brokers[[#This Row],[FechaRecepcion]]="","",SCTR_Brokers[[#This Row],[ConversationId]]&amp;"-"&amp;TEXT(SCTR_Brokers[[#This Row],[FechaRecepcion]],"aaaammddhhmmss"))</f>
        <v>AAQkADdkNThjNzFkLWM0ZmMtNDJhYS04MDVlLTIwNzE4ZDI1Mzg4YgAQAIZ3MdLKXUGbkVplmRxTUG0=-20260903101615</v>
      </c>
      <c r="D197" t="s">
        <v>459</v>
      </c>
      <c r="E197" t="s">
        <v>21</v>
      </c>
      <c r="F197" s="3">
        <v>46268.427951388891</v>
      </c>
      <c r="G197" s="3">
        <v>46268.447337962964</v>
      </c>
      <c r="H197" t="s">
        <v>70</v>
      </c>
      <c r="I197" t="s">
        <v>7</v>
      </c>
      <c r="K197" t="s">
        <v>67</v>
      </c>
      <c r="L197" s="10"/>
      <c r="N19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97" s="3"/>
      <c r="P197" s="3"/>
      <c r="Q197" s="3">
        <v>46268.447337962964</v>
      </c>
      <c r="R19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97" t="str">
        <f>IF(SCTR_Brokers[[#This Row],[FechaRecepcion]]="","",TEXT(SCTR_Brokers[[#This Row],[FechaRecepcion]],"mmmm")&amp;" "&amp;YEAR(SCTR_Brokers[[#This Row],[FechaRecepcion]]))</f>
        <v>septiembre 2026</v>
      </c>
      <c r="U197">
        <f>IF(SCTR_Brokers[[#This Row],[Estado]]="FINALIZADO",1,0)</f>
        <v>1</v>
      </c>
      <c r="V197">
        <f>IF(SCTR_Brokers[[#This Row],[FechaRecepcion]]="","",IF(SCTR_Brokers[[#This Row],[Estado]]="FINALIZADO",0,1))</f>
        <v>0</v>
      </c>
      <c r="W197">
        <f ca="1">IF(AND(SCTR_Brokers[[#This Row],[Estado]]="FINALIZADO",SCTR_Brokers[[#This Row],[Plazo]]=LISTAS!$J$3),1,0)</f>
        <v>1</v>
      </c>
      <c r="X197">
        <f ca="1">IF(AND(SCTR_Brokers[[#This Row],[Estado]]="FINALIZADO",SCTR_Brokers[[#This Row],[Plazo]]=LISTAS!$J$4),1,0)</f>
        <v>0</v>
      </c>
      <c r="Y197">
        <f ca="1">IF(AND(SCTR_Brokers[[#This Row],[Estado]]&lt;&gt;"FINALIZADO",SCTR_Brokers[[#This Row],[Plazo]]=LISTAS!$J$4),1,0)</f>
        <v>0</v>
      </c>
      <c r="Z197">
        <f>IF(SCTR_Brokers[[#This Row],[Fecha_Solic_Informe]]="",0,1)</f>
        <v>0</v>
      </c>
      <c r="AA197">
        <f>IF(SCTR_Brokers[[#This Row],[Fecha_Informe]]="",0,1)</f>
        <v>0</v>
      </c>
      <c r="AB197">
        <f>IF(AND(SCTR_Brokers[[#This Row],[Fecha_Solic_Informe]]&lt;&gt;"",SCTR_Brokers[[#This Row],[Fecha_Informe]]=""),1,0)</f>
        <v>0</v>
      </c>
      <c r="AC19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98" spans="1:29" hidden="1">
      <c r="A198" t="s">
        <v>441</v>
      </c>
      <c r="C198" t="str">
        <f>IF(SCTR_Brokers[[#This Row],[FechaRecepcion]]="","",SCTR_Brokers[[#This Row],[ConversationId]]&amp;"-"&amp;TEXT(SCTR_Brokers[[#This Row],[FechaRecepcion]],"aaaammddhhmmss"))</f>
        <v>AAQkADdkNThjNzFkLWM0ZmMtNDJhYS04MDVlLTIwNzE4ZDI1Mzg4YgAQADdo0LV5q1RMiKOr_VtZv0c=-20260903104338</v>
      </c>
      <c r="D198" t="s">
        <v>460</v>
      </c>
      <c r="E198" t="s">
        <v>8</v>
      </c>
      <c r="F198" s="3">
        <v>46268.446967592594</v>
      </c>
      <c r="G198" s="3">
        <v>46268.588206018518</v>
      </c>
      <c r="H198" t="s">
        <v>217</v>
      </c>
      <c r="I198" t="s">
        <v>7</v>
      </c>
      <c r="K198" t="s">
        <v>67</v>
      </c>
      <c r="L198" s="10"/>
      <c r="N19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98" s="3"/>
      <c r="P198" s="3"/>
      <c r="Q198" s="3">
        <v>46268.588206018518</v>
      </c>
      <c r="R19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98" t="str">
        <f>IF(SCTR_Brokers[[#This Row],[FechaRecepcion]]="","",TEXT(SCTR_Brokers[[#This Row],[FechaRecepcion]],"mmmm")&amp;" "&amp;YEAR(SCTR_Brokers[[#This Row],[FechaRecepcion]]))</f>
        <v>septiembre 2026</v>
      </c>
      <c r="U198">
        <f>IF(SCTR_Brokers[[#This Row],[Estado]]="FINALIZADO",1,0)</f>
        <v>1</v>
      </c>
      <c r="V198">
        <f>IF(SCTR_Brokers[[#This Row],[FechaRecepcion]]="","",IF(SCTR_Brokers[[#This Row],[Estado]]="FINALIZADO",0,1))</f>
        <v>0</v>
      </c>
      <c r="W198">
        <f ca="1">IF(AND(SCTR_Brokers[[#This Row],[Estado]]="FINALIZADO",SCTR_Brokers[[#This Row],[Plazo]]=LISTAS!$J$3),1,0)</f>
        <v>1</v>
      </c>
      <c r="X198">
        <f ca="1">IF(AND(SCTR_Brokers[[#This Row],[Estado]]="FINALIZADO",SCTR_Brokers[[#This Row],[Plazo]]=LISTAS!$J$4),1,0)</f>
        <v>0</v>
      </c>
      <c r="Y198">
        <f ca="1">IF(AND(SCTR_Brokers[[#This Row],[Estado]]&lt;&gt;"FINALIZADO",SCTR_Brokers[[#This Row],[Plazo]]=LISTAS!$J$4),1,0)</f>
        <v>0</v>
      </c>
      <c r="Z198">
        <f>IF(SCTR_Brokers[[#This Row],[Fecha_Solic_Informe]]="",0,1)</f>
        <v>0</v>
      </c>
      <c r="AA198">
        <f>IF(SCTR_Brokers[[#This Row],[Fecha_Informe]]="",0,1)</f>
        <v>0</v>
      </c>
      <c r="AB198">
        <f>IF(AND(SCTR_Brokers[[#This Row],[Fecha_Solic_Informe]]&lt;&gt;"",SCTR_Brokers[[#This Row],[Fecha_Informe]]=""),1,0)</f>
        <v>0</v>
      </c>
      <c r="AC19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199" spans="1:29" hidden="1">
      <c r="A199" t="s">
        <v>74</v>
      </c>
      <c r="C199" t="str">
        <f>IF(SCTR_Brokers[[#This Row],[FechaRecepcion]]="","",SCTR_Brokers[[#This Row],[ConversationId]]&amp;"-"&amp;TEXT(SCTR_Brokers[[#This Row],[FechaRecepcion]],"aaaammddhhmmss"))</f>
        <v>AAQkADdkNThjNzFkLWM0ZmMtNDJhYS04MDVlLTIwNzE4ZDI1Mzg4YgAQAO6d2gmjtd5Kpw0zInaJXh8=-20260903121055</v>
      </c>
      <c r="D199" t="s">
        <v>318</v>
      </c>
      <c r="E199" t="s">
        <v>21</v>
      </c>
      <c r="F199" s="3">
        <v>46268.507581018515</v>
      </c>
      <c r="G199" s="3">
        <v>46268.568553240744</v>
      </c>
      <c r="H199" t="s">
        <v>176</v>
      </c>
      <c r="I199" t="s">
        <v>7</v>
      </c>
      <c r="K199" t="s">
        <v>67</v>
      </c>
      <c r="L199" s="10"/>
      <c r="N19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199" s="3"/>
      <c r="P199" s="3"/>
      <c r="Q199" s="3">
        <v>46268.568553240744</v>
      </c>
      <c r="R19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199" t="str">
        <f>IF(SCTR_Brokers[[#This Row],[FechaRecepcion]]="","",TEXT(SCTR_Brokers[[#This Row],[FechaRecepcion]],"mmmm")&amp;" "&amp;YEAR(SCTR_Brokers[[#This Row],[FechaRecepcion]]))</f>
        <v>septiembre 2026</v>
      </c>
      <c r="U199">
        <f>IF(SCTR_Brokers[[#This Row],[Estado]]="FINALIZADO",1,0)</f>
        <v>1</v>
      </c>
      <c r="V199">
        <f>IF(SCTR_Brokers[[#This Row],[FechaRecepcion]]="","",IF(SCTR_Brokers[[#This Row],[Estado]]="FINALIZADO",0,1))</f>
        <v>0</v>
      </c>
      <c r="W199">
        <f ca="1">IF(AND(SCTR_Brokers[[#This Row],[Estado]]="FINALIZADO",SCTR_Brokers[[#This Row],[Plazo]]=LISTAS!$J$3),1,0)</f>
        <v>1</v>
      </c>
      <c r="X199">
        <f ca="1">IF(AND(SCTR_Brokers[[#This Row],[Estado]]="FINALIZADO",SCTR_Brokers[[#This Row],[Plazo]]=LISTAS!$J$4),1,0)</f>
        <v>0</v>
      </c>
      <c r="Y199">
        <f ca="1">IF(AND(SCTR_Brokers[[#This Row],[Estado]]&lt;&gt;"FINALIZADO",SCTR_Brokers[[#This Row],[Plazo]]=LISTAS!$J$4),1,0)</f>
        <v>0</v>
      </c>
      <c r="Z199">
        <f>IF(SCTR_Brokers[[#This Row],[Fecha_Solic_Informe]]="",0,1)</f>
        <v>0</v>
      </c>
      <c r="AA199">
        <f>IF(SCTR_Brokers[[#This Row],[Fecha_Informe]]="",0,1)</f>
        <v>0</v>
      </c>
      <c r="AB199">
        <f>IF(AND(SCTR_Brokers[[#This Row],[Fecha_Solic_Informe]]&lt;&gt;"",SCTR_Brokers[[#This Row],[Fecha_Informe]]=""),1,0)</f>
        <v>0</v>
      </c>
      <c r="AC19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00" spans="1:29" hidden="1">
      <c r="A200" t="s">
        <v>461</v>
      </c>
      <c r="C200" t="str">
        <f>IF(SCTR_Brokers[[#This Row],[FechaRecepcion]]="","",SCTR_Brokers[[#This Row],[ConversationId]]&amp;"-"&amp;TEXT(SCTR_Brokers[[#This Row],[FechaRecepcion]],"aaaammddhhmmss"))</f>
        <v>AAQkADdkNThjNzFkLWM0ZmMtNDJhYS04MDVlLTIwNzE4ZDI1Mzg4YgAQABHD39fv0whMvImTtEImWSs=-20260903121537</v>
      </c>
      <c r="D200" t="s">
        <v>462</v>
      </c>
      <c r="E200" t="s">
        <v>21</v>
      </c>
      <c r="F200" s="3">
        <v>46268.510844907411</v>
      </c>
      <c r="G200" s="3">
        <v>46268.738923611112</v>
      </c>
      <c r="H200" t="s">
        <v>70</v>
      </c>
      <c r="I200" t="s">
        <v>7</v>
      </c>
      <c r="K200" t="s">
        <v>67</v>
      </c>
      <c r="L200" s="10"/>
      <c r="N20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00" s="3"/>
      <c r="P200" s="3"/>
      <c r="Q200" s="3">
        <v>46268.738923611112</v>
      </c>
      <c r="R20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00" t="str">
        <f>IF(SCTR_Brokers[[#This Row],[FechaRecepcion]]="","",TEXT(SCTR_Brokers[[#This Row],[FechaRecepcion]],"mmmm")&amp;" "&amp;YEAR(SCTR_Brokers[[#This Row],[FechaRecepcion]]))</f>
        <v>septiembre 2026</v>
      </c>
      <c r="U200">
        <f>IF(SCTR_Brokers[[#This Row],[Estado]]="FINALIZADO",1,0)</f>
        <v>1</v>
      </c>
      <c r="V200">
        <f>IF(SCTR_Brokers[[#This Row],[FechaRecepcion]]="","",IF(SCTR_Brokers[[#This Row],[Estado]]="FINALIZADO",0,1))</f>
        <v>0</v>
      </c>
      <c r="W200">
        <f ca="1">IF(AND(SCTR_Brokers[[#This Row],[Estado]]="FINALIZADO",SCTR_Brokers[[#This Row],[Plazo]]=LISTAS!$J$3),1,0)</f>
        <v>1</v>
      </c>
      <c r="X200">
        <f ca="1">IF(AND(SCTR_Brokers[[#This Row],[Estado]]="FINALIZADO",SCTR_Brokers[[#This Row],[Plazo]]=LISTAS!$J$4),1,0)</f>
        <v>0</v>
      </c>
      <c r="Y200">
        <f ca="1">IF(AND(SCTR_Brokers[[#This Row],[Estado]]&lt;&gt;"FINALIZADO",SCTR_Brokers[[#This Row],[Plazo]]=LISTAS!$J$4),1,0)</f>
        <v>0</v>
      </c>
      <c r="Z200">
        <f>IF(SCTR_Brokers[[#This Row],[Fecha_Solic_Informe]]="",0,1)</f>
        <v>0</v>
      </c>
      <c r="AA200">
        <f>IF(SCTR_Brokers[[#This Row],[Fecha_Informe]]="",0,1)</f>
        <v>0</v>
      </c>
      <c r="AB200">
        <f>IF(AND(SCTR_Brokers[[#This Row],[Fecha_Solic_Informe]]&lt;&gt;"",SCTR_Brokers[[#This Row],[Fecha_Informe]]=""),1,0)</f>
        <v>0</v>
      </c>
      <c r="AC20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01" spans="1:29" hidden="1">
      <c r="A201" t="s">
        <v>463</v>
      </c>
      <c r="C201" t="str">
        <f>IF(SCTR_Brokers[[#This Row],[FechaRecepcion]]="","",SCTR_Brokers[[#This Row],[ConversationId]]&amp;"-"&amp;TEXT(SCTR_Brokers[[#This Row],[FechaRecepcion]],"aaaammddhhmmss"))</f>
        <v>AAQkADdkNThjNzFkLWM0ZmMtNDJhYS04MDVlLTIwNzE4ZDI1Mzg4YgAQAKAJADw_LSBIhqGy05dBpN8=-20260903122723</v>
      </c>
      <c r="D201" t="s">
        <v>464</v>
      </c>
      <c r="E201" t="s">
        <v>20</v>
      </c>
      <c r="F201" s="3">
        <v>46268.519016203703</v>
      </c>
      <c r="G201" s="3">
        <v>46268.737118055556</v>
      </c>
      <c r="H201" t="s">
        <v>70</v>
      </c>
      <c r="I201" t="s">
        <v>7</v>
      </c>
      <c r="K201" t="s">
        <v>138</v>
      </c>
      <c r="L201" s="10" t="s">
        <v>465</v>
      </c>
      <c r="N20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01" s="3">
        <v>46268.600740740738</v>
      </c>
      <c r="P201" s="3"/>
      <c r="Q201" s="3">
        <v>46268.737118055556</v>
      </c>
      <c r="R20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01" t="str">
        <f>IF(SCTR_Brokers[[#This Row],[FechaRecepcion]]="","",TEXT(SCTR_Brokers[[#This Row],[FechaRecepcion]],"mmmm")&amp;" "&amp;YEAR(SCTR_Brokers[[#This Row],[FechaRecepcion]]))</f>
        <v>septiembre 2026</v>
      </c>
      <c r="U201">
        <f>IF(SCTR_Brokers[[#This Row],[Estado]]="FINALIZADO",1,0)</f>
        <v>1</v>
      </c>
      <c r="V201">
        <f>IF(SCTR_Brokers[[#This Row],[FechaRecepcion]]="","",IF(SCTR_Brokers[[#This Row],[Estado]]="FINALIZADO",0,1))</f>
        <v>0</v>
      </c>
      <c r="W201">
        <f ca="1">IF(AND(SCTR_Brokers[[#This Row],[Estado]]="FINALIZADO",SCTR_Brokers[[#This Row],[Plazo]]=LISTAS!$J$3),1,0)</f>
        <v>1</v>
      </c>
      <c r="X201">
        <f ca="1">IF(AND(SCTR_Brokers[[#This Row],[Estado]]="FINALIZADO",SCTR_Brokers[[#This Row],[Plazo]]=LISTAS!$J$4),1,0)</f>
        <v>0</v>
      </c>
      <c r="Y201">
        <f ca="1">IF(AND(SCTR_Brokers[[#This Row],[Estado]]&lt;&gt;"FINALIZADO",SCTR_Brokers[[#This Row],[Plazo]]=LISTAS!$J$4),1,0)</f>
        <v>0</v>
      </c>
      <c r="Z201">
        <f>IF(SCTR_Brokers[[#This Row],[Fecha_Solic_Informe]]="",0,1)</f>
        <v>1</v>
      </c>
      <c r="AA201">
        <f>IF(SCTR_Brokers[[#This Row],[Fecha_Informe]]="",0,1)</f>
        <v>0</v>
      </c>
      <c r="AB201">
        <f>IF(AND(SCTR_Brokers[[#This Row],[Fecha_Solic_Informe]]&lt;&gt;"",SCTR_Brokers[[#This Row],[Fecha_Informe]]=""),1,0)</f>
        <v>1</v>
      </c>
      <c r="AC20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02" spans="1:29" hidden="1">
      <c r="A202" t="s">
        <v>466</v>
      </c>
      <c r="C202" t="str">
        <f>IF(SCTR_Brokers[[#This Row],[FechaRecepcion]]="","",SCTR_Brokers[[#This Row],[ConversationId]]&amp;"-"&amp;TEXT(SCTR_Brokers[[#This Row],[FechaRecepcion]],"aaaammddhhmmss"))</f>
        <v>AAQkADdkNThjNzFkLWM0ZmMtNDJhYS04MDVlLTIwNzE4ZDI1Mzg4YgAQAPQaH1meyvZGo0f5Xnx0gqk=-20260903154239</v>
      </c>
      <c r="D202" t="s">
        <v>467</v>
      </c>
      <c r="E202" t="s">
        <v>21</v>
      </c>
      <c r="F202" s="3">
        <v>46268.654618055552</v>
      </c>
      <c r="G202" s="3">
        <v>46268.835578703707</v>
      </c>
      <c r="H202" t="s">
        <v>468</v>
      </c>
      <c r="I202" t="s">
        <v>7</v>
      </c>
      <c r="K202" t="s">
        <v>67</v>
      </c>
      <c r="L202" s="10"/>
      <c r="N20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02" s="3"/>
      <c r="P202" s="3"/>
      <c r="Q202" s="3">
        <v>46268.835578703707</v>
      </c>
      <c r="R20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02" t="str">
        <f>IF(SCTR_Brokers[[#This Row],[FechaRecepcion]]="","",TEXT(SCTR_Brokers[[#This Row],[FechaRecepcion]],"mmmm")&amp;" "&amp;YEAR(SCTR_Brokers[[#This Row],[FechaRecepcion]]))</f>
        <v>septiembre 2026</v>
      </c>
      <c r="U202">
        <f>IF(SCTR_Brokers[[#This Row],[Estado]]="FINALIZADO",1,0)</f>
        <v>1</v>
      </c>
      <c r="V202">
        <f>IF(SCTR_Brokers[[#This Row],[FechaRecepcion]]="","",IF(SCTR_Brokers[[#This Row],[Estado]]="FINALIZADO",0,1))</f>
        <v>0</v>
      </c>
      <c r="W202">
        <f ca="1">IF(AND(SCTR_Brokers[[#This Row],[Estado]]="FINALIZADO",SCTR_Brokers[[#This Row],[Plazo]]=LISTAS!$J$3),1,0)</f>
        <v>1</v>
      </c>
      <c r="X202">
        <f ca="1">IF(AND(SCTR_Brokers[[#This Row],[Estado]]="FINALIZADO",SCTR_Brokers[[#This Row],[Plazo]]=LISTAS!$J$4),1,0)</f>
        <v>0</v>
      </c>
      <c r="Y202">
        <f ca="1">IF(AND(SCTR_Brokers[[#This Row],[Estado]]&lt;&gt;"FINALIZADO",SCTR_Brokers[[#This Row],[Plazo]]=LISTAS!$J$4),1,0)</f>
        <v>0</v>
      </c>
      <c r="Z202">
        <f>IF(SCTR_Brokers[[#This Row],[Fecha_Solic_Informe]]="",0,1)</f>
        <v>0</v>
      </c>
      <c r="AA202">
        <f>IF(SCTR_Brokers[[#This Row],[Fecha_Informe]]="",0,1)</f>
        <v>0</v>
      </c>
      <c r="AB202">
        <f>IF(AND(SCTR_Brokers[[#This Row],[Fecha_Solic_Informe]]&lt;&gt;"",SCTR_Brokers[[#This Row],[Fecha_Informe]]=""),1,0)</f>
        <v>0</v>
      </c>
      <c r="AC20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03" spans="1:29" hidden="1">
      <c r="A203" t="s">
        <v>469</v>
      </c>
      <c r="C203" t="str">
        <f>IF(SCTR_Brokers[[#This Row],[FechaRecepcion]]="","",SCTR_Brokers[[#This Row],[ConversationId]]&amp;"-"&amp;TEXT(SCTR_Brokers[[#This Row],[FechaRecepcion]],"aaaammddhhmmss"))</f>
        <v>AAQkADdkNThjNzFkLWM0ZmMtNDJhYS04MDVlLTIwNzE4ZDI1Mzg4YgAQABG6GMv-GyNMhNd_2KIVSGk=-20260903162202</v>
      </c>
      <c r="D203" t="s">
        <v>470</v>
      </c>
      <c r="E203" t="s">
        <v>20</v>
      </c>
      <c r="F203" s="3">
        <v>46268.681967592594</v>
      </c>
      <c r="G203" s="3">
        <v>46268.729444444441</v>
      </c>
      <c r="H203" t="s">
        <v>70</v>
      </c>
      <c r="I203" t="s">
        <v>7</v>
      </c>
      <c r="K203" t="s">
        <v>67</v>
      </c>
      <c r="L203" s="10"/>
      <c r="N20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03" s="3"/>
      <c r="P203" s="3"/>
      <c r="Q203" s="3">
        <v>46268.729444444441</v>
      </c>
      <c r="R20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03" t="str">
        <f>IF(SCTR_Brokers[[#This Row],[FechaRecepcion]]="","",TEXT(SCTR_Brokers[[#This Row],[FechaRecepcion]],"mmmm")&amp;" "&amp;YEAR(SCTR_Brokers[[#This Row],[FechaRecepcion]]))</f>
        <v>septiembre 2026</v>
      </c>
      <c r="U203">
        <f>IF(SCTR_Brokers[[#This Row],[Estado]]="FINALIZADO",1,0)</f>
        <v>1</v>
      </c>
      <c r="V203">
        <f>IF(SCTR_Brokers[[#This Row],[FechaRecepcion]]="","",IF(SCTR_Brokers[[#This Row],[Estado]]="FINALIZADO",0,1))</f>
        <v>0</v>
      </c>
      <c r="W203">
        <f ca="1">IF(AND(SCTR_Brokers[[#This Row],[Estado]]="FINALIZADO",SCTR_Brokers[[#This Row],[Plazo]]=LISTAS!$J$3),1,0)</f>
        <v>1</v>
      </c>
      <c r="X203">
        <f ca="1">IF(AND(SCTR_Brokers[[#This Row],[Estado]]="FINALIZADO",SCTR_Brokers[[#This Row],[Plazo]]=LISTAS!$J$4),1,0)</f>
        <v>0</v>
      </c>
      <c r="Y203">
        <f ca="1">IF(AND(SCTR_Brokers[[#This Row],[Estado]]&lt;&gt;"FINALIZADO",SCTR_Brokers[[#This Row],[Plazo]]=LISTAS!$J$4),1,0)</f>
        <v>0</v>
      </c>
      <c r="Z203">
        <f>IF(SCTR_Brokers[[#This Row],[Fecha_Solic_Informe]]="",0,1)</f>
        <v>0</v>
      </c>
      <c r="AA203">
        <f>IF(SCTR_Brokers[[#This Row],[Fecha_Informe]]="",0,1)</f>
        <v>0</v>
      </c>
      <c r="AB203">
        <f>IF(AND(SCTR_Brokers[[#This Row],[Fecha_Solic_Informe]]&lt;&gt;"",SCTR_Brokers[[#This Row],[Fecha_Informe]]=""),1,0)</f>
        <v>0</v>
      </c>
      <c r="AC20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04" spans="1:29" hidden="1">
      <c r="A204" t="s">
        <v>471</v>
      </c>
      <c r="C204" t="str">
        <f>IF(SCTR_Brokers[[#This Row],[FechaRecepcion]]="","",SCTR_Brokers[[#This Row],[ConversationId]]&amp;"-"&amp;TEXT(SCTR_Brokers[[#This Row],[FechaRecepcion]],"aaaammddhhmmss"))</f>
        <v>AAQkADdkNThjNzFkLWM0ZmMtNDJhYS04MDVlLTIwNzE4ZDI1Mzg4YgAQAGtNwAktYUHmnu7yIG1TVbU=-20260903165733</v>
      </c>
      <c r="D204" t="s">
        <v>472</v>
      </c>
      <c r="E204" t="s">
        <v>8</v>
      </c>
      <c r="F204" s="3">
        <v>46268.706631944442</v>
      </c>
      <c r="G204" s="3">
        <v>46268.724629629629</v>
      </c>
      <c r="H204" t="s">
        <v>70</v>
      </c>
      <c r="I204" t="s">
        <v>7</v>
      </c>
      <c r="K204" t="s">
        <v>67</v>
      </c>
      <c r="L204" s="10"/>
      <c r="N20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04" s="3"/>
      <c r="P204" s="3"/>
      <c r="Q204" s="3">
        <v>46268.724629629629</v>
      </c>
      <c r="R20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04" t="str">
        <f>IF(SCTR_Brokers[[#This Row],[FechaRecepcion]]="","",TEXT(SCTR_Brokers[[#This Row],[FechaRecepcion]],"mmmm")&amp;" "&amp;YEAR(SCTR_Brokers[[#This Row],[FechaRecepcion]]))</f>
        <v>septiembre 2026</v>
      </c>
      <c r="U204">
        <f>IF(SCTR_Brokers[[#This Row],[Estado]]="FINALIZADO",1,0)</f>
        <v>1</v>
      </c>
      <c r="V204">
        <f>IF(SCTR_Brokers[[#This Row],[FechaRecepcion]]="","",IF(SCTR_Brokers[[#This Row],[Estado]]="FINALIZADO",0,1))</f>
        <v>0</v>
      </c>
      <c r="W204">
        <f ca="1">IF(AND(SCTR_Brokers[[#This Row],[Estado]]="FINALIZADO",SCTR_Brokers[[#This Row],[Plazo]]=LISTAS!$J$3),1,0)</f>
        <v>1</v>
      </c>
      <c r="X204">
        <f ca="1">IF(AND(SCTR_Brokers[[#This Row],[Estado]]="FINALIZADO",SCTR_Brokers[[#This Row],[Plazo]]=LISTAS!$J$4),1,0)</f>
        <v>0</v>
      </c>
      <c r="Y204">
        <f ca="1">IF(AND(SCTR_Brokers[[#This Row],[Estado]]&lt;&gt;"FINALIZADO",SCTR_Brokers[[#This Row],[Plazo]]=LISTAS!$J$4),1,0)</f>
        <v>0</v>
      </c>
      <c r="Z204">
        <f>IF(SCTR_Brokers[[#This Row],[Fecha_Solic_Informe]]="",0,1)</f>
        <v>0</v>
      </c>
      <c r="AA204">
        <f>IF(SCTR_Brokers[[#This Row],[Fecha_Informe]]="",0,1)</f>
        <v>0</v>
      </c>
      <c r="AB204">
        <f>IF(AND(SCTR_Brokers[[#This Row],[Fecha_Solic_Informe]]&lt;&gt;"",SCTR_Brokers[[#This Row],[Fecha_Informe]]=""),1,0)</f>
        <v>0</v>
      </c>
      <c r="AC20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05" spans="1:29" hidden="1">
      <c r="A205" t="s">
        <v>473</v>
      </c>
      <c r="C205" t="str">
        <f>IF(SCTR_Brokers[[#This Row],[FechaRecepcion]]="","",SCTR_Brokers[[#This Row],[ConversationId]]&amp;"-"&amp;TEXT(SCTR_Brokers[[#This Row],[FechaRecepcion]],"aaaammddhhmmss"))</f>
        <v>AAQkADdkNThjNzFkLWM0ZmMtNDJhYS04MDVlLTIwNzE4ZDI1Mzg4YgAQADQsjhL9dcBFqvwCSqG765E=-20260903165850</v>
      </c>
      <c r="D205" t="s">
        <v>474</v>
      </c>
      <c r="E205" t="s">
        <v>8</v>
      </c>
      <c r="F205" s="3">
        <v>46268.70752314815</v>
      </c>
      <c r="G205" s="3">
        <v>46268.721504629626</v>
      </c>
      <c r="H205" t="s">
        <v>70</v>
      </c>
      <c r="I205" t="s">
        <v>7</v>
      </c>
      <c r="K205" t="s">
        <v>67</v>
      </c>
      <c r="L205" s="10"/>
      <c r="N20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05" s="3"/>
      <c r="P205" s="3"/>
      <c r="Q205" s="3">
        <v>46268.721504629626</v>
      </c>
      <c r="R20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05" t="str">
        <f>IF(SCTR_Brokers[[#This Row],[FechaRecepcion]]="","",TEXT(SCTR_Brokers[[#This Row],[FechaRecepcion]],"mmmm")&amp;" "&amp;YEAR(SCTR_Brokers[[#This Row],[FechaRecepcion]]))</f>
        <v>septiembre 2026</v>
      </c>
      <c r="U205">
        <f>IF(SCTR_Brokers[[#This Row],[Estado]]="FINALIZADO",1,0)</f>
        <v>1</v>
      </c>
      <c r="V205">
        <f>IF(SCTR_Brokers[[#This Row],[FechaRecepcion]]="","",IF(SCTR_Brokers[[#This Row],[Estado]]="FINALIZADO",0,1))</f>
        <v>0</v>
      </c>
      <c r="W205">
        <f ca="1">IF(AND(SCTR_Brokers[[#This Row],[Estado]]="FINALIZADO",SCTR_Brokers[[#This Row],[Plazo]]=LISTAS!$J$3),1,0)</f>
        <v>1</v>
      </c>
      <c r="X205">
        <f ca="1">IF(AND(SCTR_Brokers[[#This Row],[Estado]]="FINALIZADO",SCTR_Brokers[[#This Row],[Plazo]]=LISTAS!$J$4),1,0)</f>
        <v>0</v>
      </c>
      <c r="Y205">
        <f ca="1">IF(AND(SCTR_Brokers[[#This Row],[Estado]]&lt;&gt;"FINALIZADO",SCTR_Brokers[[#This Row],[Plazo]]=LISTAS!$J$4),1,0)</f>
        <v>0</v>
      </c>
      <c r="Z205">
        <f>IF(SCTR_Brokers[[#This Row],[Fecha_Solic_Informe]]="",0,1)</f>
        <v>0</v>
      </c>
      <c r="AA205">
        <f>IF(SCTR_Brokers[[#This Row],[Fecha_Informe]]="",0,1)</f>
        <v>0</v>
      </c>
      <c r="AB205">
        <f>IF(AND(SCTR_Brokers[[#This Row],[Fecha_Solic_Informe]]&lt;&gt;"",SCTR_Brokers[[#This Row],[Fecha_Informe]]=""),1,0)</f>
        <v>0</v>
      </c>
      <c r="AC20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06" spans="1:29" hidden="1">
      <c r="A206" t="s">
        <v>475</v>
      </c>
      <c r="C206" t="str">
        <f>IF(SCTR_Brokers[[#This Row],[FechaRecepcion]]="","",SCTR_Brokers[[#This Row],[ConversationId]]&amp;"-"&amp;TEXT(SCTR_Brokers[[#This Row],[FechaRecepcion]],"aaaammddhhmmss"))</f>
        <v>AAQkADdkNThjNzFkLWM0ZmMtNDJhYS04MDVlLTIwNzE4ZDI1Mzg4YgAQAEeYr9Zj7OFNmqa8aXqfeLA=-20260903170403</v>
      </c>
      <c r="D206" t="s">
        <v>476</v>
      </c>
      <c r="E206" t="s">
        <v>21</v>
      </c>
      <c r="F206" s="3">
        <v>46268.711145833331</v>
      </c>
      <c r="G206" s="3">
        <v>46272.688136574077</v>
      </c>
      <c r="H206" t="s">
        <v>70</v>
      </c>
      <c r="I206" t="s">
        <v>7</v>
      </c>
      <c r="K206" t="s">
        <v>67</v>
      </c>
      <c r="L206" s="10"/>
      <c r="N20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06" s="3"/>
      <c r="P206" s="3"/>
      <c r="Q206" s="3">
        <v>46272.688136574077</v>
      </c>
      <c r="R20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206" t="str">
        <f>IF(SCTR_Brokers[[#This Row],[FechaRecepcion]]="","",TEXT(SCTR_Brokers[[#This Row],[FechaRecepcion]],"mmmm")&amp;" "&amp;YEAR(SCTR_Brokers[[#This Row],[FechaRecepcion]]))</f>
        <v>septiembre 2026</v>
      </c>
      <c r="U206">
        <f>IF(SCTR_Brokers[[#This Row],[Estado]]="FINALIZADO",1,0)</f>
        <v>1</v>
      </c>
      <c r="V206">
        <f>IF(SCTR_Brokers[[#This Row],[FechaRecepcion]]="","",IF(SCTR_Brokers[[#This Row],[Estado]]="FINALIZADO",0,1))</f>
        <v>0</v>
      </c>
      <c r="W206">
        <f ca="1">IF(AND(SCTR_Brokers[[#This Row],[Estado]]="FINALIZADO",SCTR_Brokers[[#This Row],[Plazo]]=LISTAS!$J$3),1,0)</f>
        <v>0</v>
      </c>
      <c r="X206">
        <f ca="1">IF(AND(SCTR_Brokers[[#This Row],[Estado]]="FINALIZADO",SCTR_Brokers[[#This Row],[Plazo]]=LISTAS!$J$4),1,0)</f>
        <v>1</v>
      </c>
      <c r="Y206">
        <f ca="1">IF(AND(SCTR_Brokers[[#This Row],[Estado]]&lt;&gt;"FINALIZADO",SCTR_Brokers[[#This Row],[Plazo]]=LISTAS!$J$4),1,0)</f>
        <v>0</v>
      </c>
      <c r="Z206">
        <f>IF(SCTR_Brokers[[#This Row],[Fecha_Solic_Informe]]="",0,1)</f>
        <v>0</v>
      </c>
      <c r="AA206">
        <f>IF(SCTR_Brokers[[#This Row],[Fecha_Informe]]="",0,1)</f>
        <v>0</v>
      </c>
      <c r="AB206">
        <f>IF(AND(SCTR_Brokers[[#This Row],[Fecha_Solic_Informe]]&lt;&gt;"",SCTR_Brokers[[#This Row],[Fecha_Informe]]=""),1,0)</f>
        <v>0</v>
      </c>
      <c r="AC20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07" spans="1:29" hidden="1">
      <c r="A207" t="s">
        <v>444</v>
      </c>
      <c r="C207" t="str">
        <f>IF(SCTR_Brokers[[#This Row],[FechaRecepcion]]="","",SCTR_Brokers[[#This Row],[ConversationId]]&amp;"-"&amp;TEXT(SCTR_Brokers[[#This Row],[FechaRecepcion]],"aaaammddhhmmss"))</f>
        <v>AAQkADdkNThjNzFkLWM0ZmMtNDJhYS04MDVlLTIwNzE4ZDI1Mzg4YgAQAG6w3D2gNbNPnZTazA6X2lM=-20260903171930</v>
      </c>
      <c r="D207" t="s">
        <v>477</v>
      </c>
      <c r="E207" t="s">
        <v>8</v>
      </c>
      <c r="F207" s="3">
        <v>46268.721875000003</v>
      </c>
      <c r="G207" s="3">
        <v>46268.721875000003</v>
      </c>
      <c r="H207" t="s">
        <v>478</v>
      </c>
      <c r="I207" t="s">
        <v>7</v>
      </c>
      <c r="K207" t="s">
        <v>67</v>
      </c>
      <c r="L207" s="10"/>
      <c r="N20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07" s="3"/>
      <c r="P207" s="3"/>
      <c r="Q207" s="3">
        <v>46268.721875000003</v>
      </c>
      <c r="R20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07" t="str">
        <f>IF(SCTR_Brokers[[#This Row],[FechaRecepcion]]="","",TEXT(SCTR_Brokers[[#This Row],[FechaRecepcion]],"mmmm")&amp;" "&amp;YEAR(SCTR_Brokers[[#This Row],[FechaRecepcion]]))</f>
        <v>septiembre 2026</v>
      </c>
      <c r="U207">
        <f>IF(SCTR_Brokers[[#This Row],[Estado]]="FINALIZADO",1,0)</f>
        <v>1</v>
      </c>
      <c r="V207">
        <f>IF(SCTR_Brokers[[#This Row],[FechaRecepcion]]="","",IF(SCTR_Brokers[[#This Row],[Estado]]="FINALIZADO",0,1))</f>
        <v>0</v>
      </c>
      <c r="W207">
        <f ca="1">IF(AND(SCTR_Brokers[[#This Row],[Estado]]="FINALIZADO",SCTR_Brokers[[#This Row],[Plazo]]=LISTAS!$J$3),1,0)</f>
        <v>1</v>
      </c>
      <c r="X207">
        <f ca="1">IF(AND(SCTR_Brokers[[#This Row],[Estado]]="FINALIZADO",SCTR_Brokers[[#This Row],[Plazo]]=LISTAS!$J$4),1,0)</f>
        <v>0</v>
      </c>
      <c r="Y207">
        <f ca="1">IF(AND(SCTR_Brokers[[#This Row],[Estado]]&lt;&gt;"FINALIZADO",SCTR_Brokers[[#This Row],[Plazo]]=LISTAS!$J$4),1,0)</f>
        <v>0</v>
      </c>
      <c r="Z207">
        <f>IF(SCTR_Brokers[[#This Row],[Fecha_Solic_Informe]]="",0,1)</f>
        <v>0</v>
      </c>
      <c r="AA207">
        <f>IF(SCTR_Brokers[[#This Row],[Fecha_Informe]]="",0,1)</f>
        <v>0</v>
      </c>
      <c r="AB207">
        <f>IF(AND(SCTR_Brokers[[#This Row],[Fecha_Solic_Informe]]&lt;&gt;"",SCTR_Brokers[[#This Row],[Fecha_Informe]]=""),1,0)</f>
        <v>0</v>
      </c>
      <c r="AC20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08" spans="1:29" hidden="1">
      <c r="A208" t="s">
        <v>479</v>
      </c>
      <c r="C208" t="str">
        <f>IF(SCTR_Brokers[[#This Row],[FechaRecepcion]]="","",SCTR_Brokers[[#This Row],[ConversationId]]&amp;"-"&amp;TEXT(SCTR_Brokers[[#This Row],[FechaRecepcion]],"aaaammddhhmmss"))</f>
        <v>AAQkADdkNThjNzFkLWM0ZmMtNDJhYS04MDVlLTIwNzE4ZDI1Mzg4YgAQAOt8cCQ7UUuwlPiXtNXPlUg=-20260903184212</v>
      </c>
      <c r="D208" t="s">
        <v>480</v>
      </c>
      <c r="E208" t="s">
        <v>21</v>
      </c>
      <c r="F208" s="3">
        <v>46268.779305555552</v>
      </c>
      <c r="G208" s="3">
        <v>46272.653819444444</v>
      </c>
      <c r="H208" t="s">
        <v>70</v>
      </c>
      <c r="I208" t="s">
        <v>7</v>
      </c>
      <c r="K208" t="s">
        <v>67</v>
      </c>
      <c r="L208" s="10"/>
      <c r="N20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08" s="3"/>
      <c r="P208" s="3"/>
      <c r="Q208" s="3">
        <v>46272.653819444444</v>
      </c>
      <c r="R20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208" t="str">
        <f>IF(SCTR_Brokers[[#This Row],[FechaRecepcion]]="","",TEXT(SCTR_Brokers[[#This Row],[FechaRecepcion]],"mmmm")&amp;" "&amp;YEAR(SCTR_Brokers[[#This Row],[FechaRecepcion]]))</f>
        <v>septiembre 2026</v>
      </c>
      <c r="U208">
        <f>IF(SCTR_Brokers[[#This Row],[Estado]]="FINALIZADO",1,0)</f>
        <v>1</v>
      </c>
      <c r="V208">
        <f>IF(SCTR_Brokers[[#This Row],[FechaRecepcion]]="","",IF(SCTR_Brokers[[#This Row],[Estado]]="FINALIZADO",0,1))</f>
        <v>0</v>
      </c>
      <c r="W208">
        <f ca="1">IF(AND(SCTR_Brokers[[#This Row],[Estado]]="FINALIZADO",SCTR_Brokers[[#This Row],[Plazo]]=LISTAS!$J$3),1,0)</f>
        <v>0</v>
      </c>
      <c r="X208">
        <f ca="1">IF(AND(SCTR_Brokers[[#This Row],[Estado]]="FINALIZADO",SCTR_Brokers[[#This Row],[Plazo]]=LISTAS!$J$4),1,0)</f>
        <v>1</v>
      </c>
      <c r="Y208">
        <f ca="1">IF(AND(SCTR_Brokers[[#This Row],[Estado]]&lt;&gt;"FINALIZADO",SCTR_Brokers[[#This Row],[Plazo]]=LISTAS!$J$4),1,0)</f>
        <v>0</v>
      </c>
      <c r="Z208">
        <f>IF(SCTR_Brokers[[#This Row],[Fecha_Solic_Informe]]="",0,1)</f>
        <v>0</v>
      </c>
      <c r="AA208">
        <f>IF(SCTR_Brokers[[#This Row],[Fecha_Informe]]="",0,1)</f>
        <v>0</v>
      </c>
      <c r="AB208">
        <f>IF(AND(SCTR_Brokers[[#This Row],[Fecha_Solic_Informe]]&lt;&gt;"",SCTR_Brokers[[#This Row],[Fecha_Informe]]=""),1,0)</f>
        <v>0</v>
      </c>
      <c r="AC20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09" spans="1:29" hidden="1">
      <c r="A209" t="s">
        <v>481</v>
      </c>
      <c r="C209" t="str">
        <f>IF(SCTR_Brokers[[#This Row],[FechaRecepcion]]="","",SCTR_Brokers[[#This Row],[ConversationId]]&amp;"-"&amp;TEXT(SCTR_Brokers[[#This Row],[FechaRecepcion]],"aaaammddhhmmss"))</f>
        <v>AAQkADdkNThjNzFkLWM0ZmMtNDJhYS04MDVlLTIwNzE4ZDI1Mzg4YgAQAKOlIEes1sJBlRgnbeYI-Rc=-20260903191404</v>
      </c>
      <c r="D209" t="s">
        <v>482</v>
      </c>
      <c r="E209" t="s">
        <v>20</v>
      </c>
      <c r="F209" s="3">
        <v>46268.801435185182</v>
      </c>
      <c r="G209" s="3">
        <v>46269.730196759258</v>
      </c>
      <c r="H209" t="s">
        <v>319</v>
      </c>
      <c r="I209" t="s">
        <v>7</v>
      </c>
      <c r="J209" t="s">
        <v>320</v>
      </c>
      <c r="K209" t="s">
        <v>67</v>
      </c>
      <c r="L209" s="10"/>
      <c r="N20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09" s="3"/>
      <c r="P209" s="3"/>
      <c r="Q209" s="3">
        <v>46269.730196759258</v>
      </c>
      <c r="R20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09" t="str">
        <f>IF(SCTR_Brokers[[#This Row],[FechaRecepcion]]="","",TEXT(SCTR_Brokers[[#This Row],[FechaRecepcion]],"mmmm")&amp;" "&amp;YEAR(SCTR_Brokers[[#This Row],[FechaRecepcion]]))</f>
        <v>septiembre 2026</v>
      </c>
      <c r="U209">
        <f>IF(SCTR_Brokers[[#This Row],[Estado]]="FINALIZADO",1,0)</f>
        <v>1</v>
      </c>
      <c r="V209">
        <f>IF(SCTR_Brokers[[#This Row],[FechaRecepcion]]="","",IF(SCTR_Brokers[[#This Row],[Estado]]="FINALIZADO",0,1))</f>
        <v>0</v>
      </c>
      <c r="W209">
        <f ca="1">IF(AND(SCTR_Brokers[[#This Row],[Estado]]="FINALIZADO",SCTR_Brokers[[#This Row],[Plazo]]=LISTAS!$J$3),1,0)</f>
        <v>1</v>
      </c>
      <c r="X209">
        <f ca="1">IF(AND(SCTR_Brokers[[#This Row],[Estado]]="FINALIZADO",SCTR_Brokers[[#This Row],[Plazo]]=LISTAS!$J$4),1,0)</f>
        <v>0</v>
      </c>
      <c r="Y209">
        <f ca="1">IF(AND(SCTR_Brokers[[#This Row],[Estado]]&lt;&gt;"FINALIZADO",SCTR_Brokers[[#This Row],[Plazo]]=LISTAS!$J$4),1,0)</f>
        <v>0</v>
      </c>
      <c r="Z209">
        <f>IF(SCTR_Brokers[[#This Row],[Fecha_Solic_Informe]]="",0,1)</f>
        <v>0</v>
      </c>
      <c r="AA209">
        <f>IF(SCTR_Brokers[[#This Row],[Fecha_Informe]]="",0,1)</f>
        <v>0</v>
      </c>
      <c r="AB209">
        <f>IF(AND(SCTR_Brokers[[#This Row],[Fecha_Solic_Informe]]&lt;&gt;"",SCTR_Brokers[[#This Row],[Fecha_Informe]]=""),1,0)</f>
        <v>0</v>
      </c>
      <c r="AC20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10" spans="1:29" hidden="1">
      <c r="A210" t="s">
        <v>483</v>
      </c>
      <c r="C210" t="str">
        <f>IF(SCTR_Brokers[[#This Row],[FechaRecepcion]]="","",SCTR_Brokers[[#This Row],[ConversationId]]&amp;"-"&amp;TEXT(SCTR_Brokers[[#This Row],[FechaRecepcion]],"aaaammddhhmmss"))</f>
        <v>AAQkADdkNThjNzFkLWM0ZmMtNDJhYS04MDVlLTIwNzE4ZDI1Mzg4YgAQAK4lXYAAO0Xdm2-xy0nn2Xg=-20260904101529</v>
      </c>
      <c r="D210" t="s">
        <v>484</v>
      </c>
      <c r="E210" t="s">
        <v>21</v>
      </c>
      <c r="F210" s="3">
        <v>46269.427418981482</v>
      </c>
      <c r="G210" s="3">
        <v>46272.666412037041</v>
      </c>
      <c r="H210" t="s">
        <v>70</v>
      </c>
      <c r="I210" t="s">
        <v>7</v>
      </c>
      <c r="K210" t="s">
        <v>138</v>
      </c>
      <c r="L210" s="10" t="s">
        <v>485</v>
      </c>
      <c r="N21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10" s="3">
        <v>46272.666412037041</v>
      </c>
      <c r="P210" s="3"/>
      <c r="Q210" s="3"/>
      <c r="R21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210" t="str">
        <f>IF(SCTR_Brokers[[#This Row],[FechaRecepcion]]="","",TEXT(SCTR_Brokers[[#This Row],[FechaRecepcion]],"mmmm")&amp;" "&amp;YEAR(SCTR_Brokers[[#This Row],[FechaRecepcion]]))</f>
        <v>septiembre 2026</v>
      </c>
      <c r="U210">
        <f>IF(SCTR_Brokers[[#This Row],[Estado]]="FINALIZADO",1,0)</f>
        <v>1</v>
      </c>
      <c r="V210">
        <f>IF(SCTR_Brokers[[#This Row],[FechaRecepcion]]="","",IF(SCTR_Brokers[[#This Row],[Estado]]="FINALIZADO",0,1))</f>
        <v>0</v>
      </c>
      <c r="W210">
        <f ca="1">IF(AND(SCTR_Brokers[[#This Row],[Estado]]="FINALIZADO",SCTR_Brokers[[#This Row],[Plazo]]=LISTAS!$J$3),1,0)</f>
        <v>0</v>
      </c>
      <c r="X210">
        <f ca="1">IF(AND(SCTR_Brokers[[#This Row],[Estado]]="FINALIZADO",SCTR_Brokers[[#This Row],[Plazo]]=LISTAS!$J$4),1,0)</f>
        <v>1</v>
      </c>
      <c r="Y210">
        <f ca="1">IF(AND(SCTR_Brokers[[#This Row],[Estado]]&lt;&gt;"FINALIZADO",SCTR_Brokers[[#This Row],[Plazo]]=LISTAS!$J$4),1,0)</f>
        <v>0</v>
      </c>
      <c r="Z210">
        <f>IF(SCTR_Brokers[[#This Row],[Fecha_Solic_Informe]]="",0,1)</f>
        <v>1</v>
      </c>
      <c r="AA210">
        <f>IF(SCTR_Brokers[[#This Row],[Fecha_Informe]]="",0,1)</f>
        <v>0</v>
      </c>
      <c r="AB210">
        <f>IF(AND(SCTR_Brokers[[#This Row],[Fecha_Solic_Informe]]&lt;&gt;"",SCTR_Brokers[[#This Row],[Fecha_Informe]]=""),1,0)</f>
        <v>1</v>
      </c>
      <c r="AC21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11" spans="1:29" hidden="1">
      <c r="A211" t="s">
        <v>444</v>
      </c>
      <c r="C211" t="str">
        <f>IF(SCTR_Brokers[[#This Row],[FechaRecepcion]]="","",SCTR_Brokers[[#This Row],[ConversationId]]&amp;"-"&amp;TEXT(SCTR_Brokers[[#This Row],[FechaRecepcion]],"aaaammddhhmmss"))</f>
        <v>AAQkADdkNThjNzFkLWM0ZmMtNDJhYS04MDVlLTIwNzE4ZDI1Mzg4YgAQAG6w3D2gNbNPnZTazA6X2lM=-20260904113355</v>
      </c>
      <c r="D211" t="s">
        <v>477</v>
      </c>
      <c r="E211" t="s">
        <v>8</v>
      </c>
      <c r="F211" s="3">
        <v>46269.481886574074</v>
      </c>
      <c r="G211" s="3">
        <v>46269.58898148148</v>
      </c>
      <c r="H211" t="s">
        <v>217</v>
      </c>
      <c r="I211" t="s">
        <v>7</v>
      </c>
      <c r="J211" t="s">
        <v>218</v>
      </c>
      <c r="K211" t="s">
        <v>67</v>
      </c>
      <c r="L211" s="10"/>
      <c r="N21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11" s="3"/>
      <c r="P211" s="3"/>
      <c r="Q211" s="3">
        <v>46269.58898148148</v>
      </c>
      <c r="R21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11" t="str">
        <f>IF(SCTR_Brokers[[#This Row],[FechaRecepcion]]="","",TEXT(SCTR_Brokers[[#This Row],[FechaRecepcion]],"mmmm")&amp;" "&amp;YEAR(SCTR_Brokers[[#This Row],[FechaRecepcion]]))</f>
        <v>septiembre 2026</v>
      </c>
      <c r="U211">
        <f>IF(SCTR_Brokers[[#This Row],[Estado]]="FINALIZADO",1,0)</f>
        <v>1</v>
      </c>
      <c r="V211">
        <f>IF(SCTR_Brokers[[#This Row],[FechaRecepcion]]="","",IF(SCTR_Brokers[[#This Row],[Estado]]="FINALIZADO",0,1))</f>
        <v>0</v>
      </c>
      <c r="W211">
        <f ca="1">IF(AND(SCTR_Brokers[[#This Row],[Estado]]="FINALIZADO",SCTR_Brokers[[#This Row],[Plazo]]=LISTAS!$J$3),1,0)</f>
        <v>1</v>
      </c>
      <c r="X211">
        <f ca="1">IF(AND(SCTR_Brokers[[#This Row],[Estado]]="FINALIZADO",SCTR_Brokers[[#This Row],[Plazo]]=LISTAS!$J$4),1,0)</f>
        <v>0</v>
      </c>
      <c r="Y211">
        <f ca="1">IF(AND(SCTR_Brokers[[#This Row],[Estado]]&lt;&gt;"FINALIZADO",SCTR_Brokers[[#This Row],[Plazo]]=LISTAS!$J$4),1,0)</f>
        <v>0</v>
      </c>
      <c r="Z211">
        <f>IF(SCTR_Brokers[[#This Row],[Fecha_Solic_Informe]]="",0,1)</f>
        <v>0</v>
      </c>
      <c r="AA211">
        <f>IF(SCTR_Brokers[[#This Row],[Fecha_Informe]]="",0,1)</f>
        <v>0</v>
      </c>
      <c r="AB211">
        <f>IF(AND(SCTR_Brokers[[#This Row],[Fecha_Solic_Informe]]&lt;&gt;"",SCTR_Brokers[[#This Row],[Fecha_Informe]]=""),1,0)</f>
        <v>0</v>
      </c>
      <c r="AC21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12" spans="1:29" hidden="1">
      <c r="A212" t="s">
        <v>486</v>
      </c>
      <c r="C212" t="str">
        <f>IF(SCTR_Brokers[[#This Row],[FechaRecepcion]]="","",SCTR_Brokers[[#This Row],[ConversationId]]&amp;"-"&amp;TEXT(SCTR_Brokers[[#This Row],[FechaRecepcion]],"aaaammddhhmmss"))</f>
        <v>AAQkADdkNThjNzFkLWM0ZmMtNDJhYS04MDVlLTIwNzE4ZDI1Mzg4YgAQAGEzBaL9HU0vu0mdV6Av77w=-20260904114718</v>
      </c>
      <c r="D212" t="s">
        <v>487</v>
      </c>
      <c r="E212" t="s">
        <v>8</v>
      </c>
      <c r="F212" s="3">
        <v>46269.491180555553</v>
      </c>
      <c r="G212" s="3">
        <v>46269.577650462961</v>
      </c>
      <c r="H212" t="s">
        <v>70</v>
      </c>
      <c r="I212" t="s">
        <v>7</v>
      </c>
      <c r="K212" t="s">
        <v>67</v>
      </c>
      <c r="L212" s="10"/>
      <c r="N21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12" s="3"/>
      <c r="P212" s="3"/>
      <c r="Q212" s="3">
        <v>46269.577650462961</v>
      </c>
      <c r="R21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12" t="str">
        <f>IF(SCTR_Brokers[[#This Row],[FechaRecepcion]]="","",TEXT(SCTR_Brokers[[#This Row],[FechaRecepcion]],"mmmm")&amp;" "&amp;YEAR(SCTR_Brokers[[#This Row],[FechaRecepcion]]))</f>
        <v>septiembre 2026</v>
      </c>
      <c r="U212">
        <f>IF(SCTR_Brokers[[#This Row],[Estado]]="FINALIZADO",1,0)</f>
        <v>1</v>
      </c>
      <c r="V212">
        <f>IF(SCTR_Brokers[[#This Row],[FechaRecepcion]]="","",IF(SCTR_Brokers[[#This Row],[Estado]]="FINALIZADO",0,1))</f>
        <v>0</v>
      </c>
      <c r="W212">
        <f ca="1">IF(AND(SCTR_Brokers[[#This Row],[Estado]]="FINALIZADO",SCTR_Brokers[[#This Row],[Plazo]]=LISTAS!$J$3),1,0)</f>
        <v>1</v>
      </c>
      <c r="X212">
        <f ca="1">IF(AND(SCTR_Brokers[[#This Row],[Estado]]="FINALIZADO",SCTR_Brokers[[#This Row],[Plazo]]=LISTAS!$J$4),1,0)</f>
        <v>0</v>
      </c>
      <c r="Y212">
        <f ca="1">IF(AND(SCTR_Brokers[[#This Row],[Estado]]&lt;&gt;"FINALIZADO",SCTR_Brokers[[#This Row],[Plazo]]=LISTAS!$J$4),1,0)</f>
        <v>0</v>
      </c>
      <c r="Z212">
        <f>IF(SCTR_Brokers[[#This Row],[Fecha_Solic_Informe]]="",0,1)</f>
        <v>0</v>
      </c>
      <c r="AA212">
        <f>IF(SCTR_Brokers[[#This Row],[Fecha_Informe]]="",0,1)</f>
        <v>0</v>
      </c>
      <c r="AB212">
        <f>IF(AND(SCTR_Brokers[[#This Row],[Fecha_Solic_Informe]]&lt;&gt;"",SCTR_Brokers[[#This Row],[Fecha_Informe]]=""),1,0)</f>
        <v>0</v>
      </c>
      <c r="AC21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13" spans="1:29" hidden="1">
      <c r="A213" t="s">
        <v>488</v>
      </c>
      <c r="C213" t="str">
        <f>IF(SCTR_Brokers[[#This Row],[FechaRecepcion]]="","",SCTR_Brokers[[#This Row],[ConversationId]]&amp;"-"&amp;TEXT(SCTR_Brokers[[#This Row],[FechaRecepcion]],"aaaammddhhmmss"))</f>
        <v>AAQkADdkNThjNzFkLWM0ZmMtNDJhYS04MDVlLTIwNzE4ZDI1Mzg4YgAQAD4i3_wIuUhJkQrdG7yOPJg=-20260904114933</v>
      </c>
      <c r="D213" t="s">
        <v>489</v>
      </c>
      <c r="E213" t="s">
        <v>8</v>
      </c>
      <c r="F213" s="3">
        <v>46269.492743055554</v>
      </c>
      <c r="G213" s="3">
        <v>46269.58390046296</v>
      </c>
      <c r="H213" t="s">
        <v>70</v>
      </c>
      <c r="I213" t="s">
        <v>7</v>
      </c>
      <c r="K213" t="s">
        <v>67</v>
      </c>
      <c r="L213" s="10"/>
      <c r="N21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13" s="3"/>
      <c r="P213" s="3"/>
      <c r="Q213" s="3">
        <v>46269.58390046296</v>
      </c>
      <c r="R21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13" t="str">
        <f>IF(SCTR_Brokers[[#This Row],[FechaRecepcion]]="","",TEXT(SCTR_Brokers[[#This Row],[FechaRecepcion]],"mmmm")&amp;" "&amp;YEAR(SCTR_Brokers[[#This Row],[FechaRecepcion]]))</f>
        <v>septiembre 2026</v>
      </c>
      <c r="U213">
        <f>IF(SCTR_Brokers[[#This Row],[Estado]]="FINALIZADO",1,0)</f>
        <v>1</v>
      </c>
      <c r="V213">
        <f>IF(SCTR_Brokers[[#This Row],[FechaRecepcion]]="","",IF(SCTR_Brokers[[#This Row],[Estado]]="FINALIZADO",0,1))</f>
        <v>0</v>
      </c>
      <c r="W213">
        <f ca="1">IF(AND(SCTR_Brokers[[#This Row],[Estado]]="FINALIZADO",SCTR_Brokers[[#This Row],[Plazo]]=LISTAS!$J$3),1,0)</f>
        <v>1</v>
      </c>
      <c r="X213">
        <f ca="1">IF(AND(SCTR_Brokers[[#This Row],[Estado]]="FINALIZADO",SCTR_Brokers[[#This Row],[Plazo]]=LISTAS!$J$4),1,0)</f>
        <v>0</v>
      </c>
      <c r="Y213">
        <f ca="1">IF(AND(SCTR_Brokers[[#This Row],[Estado]]&lt;&gt;"FINALIZADO",SCTR_Brokers[[#This Row],[Plazo]]=LISTAS!$J$4),1,0)</f>
        <v>0</v>
      </c>
      <c r="Z213">
        <f>IF(SCTR_Brokers[[#This Row],[Fecha_Solic_Informe]]="",0,1)</f>
        <v>0</v>
      </c>
      <c r="AA213">
        <f>IF(SCTR_Brokers[[#This Row],[Fecha_Informe]]="",0,1)</f>
        <v>0</v>
      </c>
      <c r="AB213">
        <f>IF(AND(SCTR_Brokers[[#This Row],[Fecha_Solic_Informe]]&lt;&gt;"",SCTR_Brokers[[#This Row],[Fecha_Informe]]=""),1,0)</f>
        <v>0</v>
      </c>
      <c r="AC21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14" spans="1:29" hidden="1">
      <c r="A214" t="s">
        <v>490</v>
      </c>
      <c r="C214" t="str">
        <f>IF(SCTR_Brokers[[#This Row],[FechaRecepcion]]="","",SCTR_Brokers[[#This Row],[ConversationId]]&amp;"-"&amp;TEXT(SCTR_Brokers[[#This Row],[FechaRecepcion]],"aaaammddhhmmss"))</f>
        <v>AAQkADdkNThjNzFkLWM0ZmMtNDJhYS04MDVlLTIwNzE4ZDI1Mzg4YgAQAEVoYU3F00fgqJfTShPaq2k=-20260904115840</v>
      </c>
      <c r="D214" t="s">
        <v>491</v>
      </c>
      <c r="E214" t="s">
        <v>20</v>
      </c>
      <c r="F214" s="3">
        <v>46269.499074074076</v>
      </c>
      <c r="G214" s="3">
        <v>46269.596944444442</v>
      </c>
      <c r="H214" t="s">
        <v>70</v>
      </c>
      <c r="I214" t="s">
        <v>7</v>
      </c>
      <c r="K214" t="s">
        <v>67</v>
      </c>
      <c r="L214" s="10" t="s">
        <v>492</v>
      </c>
      <c r="N21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14" s="3"/>
      <c r="P214" s="3"/>
      <c r="Q214" s="3">
        <v>46269.596944444442</v>
      </c>
      <c r="R21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14" t="str">
        <f>IF(SCTR_Brokers[[#This Row],[FechaRecepcion]]="","",TEXT(SCTR_Brokers[[#This Row],[FechaRecepcion]],"mmmm")&amp;" "&amp;YEAR(SCTR_Brokers[[#This Row],[FechaRecepcion]]))</f>
        <v>septiembre 2026</v>
      </c>
      <c r="U214">
        <f>IF(SCTR_Brokers[[#This Row],[Estado]]="FINALIZADO",1,0)</f>
        <v>1</v>
      </c>
      <c r="V214">
        <f>IF(SCTR_Brokers[[#This Row],[FechaRecepcion]]="","",IF(SCTR_Brokers[[#This Row],[Estado]]="FINALIZADO",0,1))</f>
        <v>0</v>
      </c>
      <c r="W214">
        <f ca="1">IF(AND(SCTR_Brokers[[#This Row],[Estado]]="FINALIZADO",SCTR_Brokers[[#This Row],[Plazo]]=LISTAS!$J$3),1,0)</f>
        <v>1</v>
      </c>
      <c r="X214">
        <f ca="1">IF(AND(SCTR_Brokers[[#This Row],[Estado]]="FINALIZADO",SCTR_Brokers[[#This Row],[Plazo]]=LISTAS!$J$4),1,0)</f>
        <v>0</v>
      </c>
      <c r="Y214">
        <f ca="1">IF(AND(SCTR_Brokers[[#This Row],[Estado]]&lt;&gt;"FINALIZADO",SCTR_Brokers[[#This Row],[Plazo]]=LISTAS!$J$4),1,0)</f>
        <v>0</v>
      </c>
      <c r="Z214">
        <f>IF(SCTR_Brokers[[#This Row],[Fecha_Solic_Informe]]="",0,1)</f>
        <v>0</v>
      </c>
      <c r="AA214">
        <f>IF(SCTR_Brokers[[#This Row],[Fecha_Informe]]="",0,1)</f>
        <v>0</v>
      </c>
      <c r="AB214">
        <f>IF(AND(SCTR_Brokers[[#This Row],[Fecha_Solic_Informe]]&lt;&gt;"",SCTR_Brokers[[#This Row],[Fecha_Informe]]=""),1,0)</f>
        <v>0</v>
      </c>
      <c r="AC21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15" spans="1:29" hidden="1">
      <c r="A215" t="s">
        <v>493</v>
      </c>
      <c r="C215" t="str">
        <f>IF(SCTR_Brokers[[#This Row],[FechaRecepcion]]="","",SCTR_Brokers[[#This Row],[ConversationId]]&amp;"-"&amp;TEXT(SCTR_Brokers[[#This Row],[FechaRecepcion]],"aaaammddhhmmss"))</f>
        <v>AAQkADdkNThjNzFkLWM0ZmMtNDJhYS04MDVlLTIwNzE4ZDI1Mzg4YgAQAGwXRp8Rl0y_vAq1chIajfU=-20260904142611</v>
      </c>
      <c r="D215" t="s">
        <v>494</v>
      </c>
      <c r="E215" t="s">
        <v>21</v>
      </c>
      <c r="F215" s="3">
        <v>46269.6015162037</v>
      </c>
      <c r="G215" s="3">
        <v>46272.360358796293</v>
      </c>
      <c r="H215" t="s">
        <v>70</v>
      </c>
      <c r="I215" t="s">
        <v>7</v>
      </c>
      <c r="K215" t="s">
        <v>67</v>
      </c>
      <c r="L215" s="10"/>
      <c r="N21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15" s="3"/>
      <c r="P215" s="3"/>
      <c r="Q215" s="3">
        <v>46272.360358796293</v>
      </c>
      <c r="R21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15" t="str">
        <f>IF(SCTR_Brokers[[#This Row],[FechaRecepcion]]="","",TEXT(SCTR_Brokers[[#This Row],[FechaRecepcion]],"mmmm")&amp;" "&amp;YEAR(SCTR_Brokers[[#This Row],[FechaRecepcion]]))</f>
        <v>septiembre 2026</v>
      </c>
      <c r="U215">
        <f>IF(SCTR_Brokers[[#This Row],[Estado]]="FINALIZADO",1,0)</f>
        <v>1</v>
      </c>
      <c r="V215">
        <f>IF(SCTR_Brokers[[#This Row],[FechaRecepcion]]="","",IF(SCTR_Brokers[[#This Row],[Estado]]="FINALIZADO",0,1))</f>
        <v>0</v>
      </c>
      <c r="W215">
        <f ca="1">IF(AND(SCTR_Brokers[[#This Row],[Estado]]="FINALIZADO",SCTR_Brokers[[#This Row],[Plazo]]=LISTAS!$J$3),1,0)</f>
        <v>1</v>
      </c>
      <c r="X215">
        <f ca="1">IF(AND(SCTR_Brokers[[#This Row],[Estado]]="FINALIZADO",SCTR_Brokers[[#This Row],[Plazo]]=LISTAS!$J$4),1,0)</f>
        <v>0</v>
      </c>
      <c r="Y215">
        <f ca="1">IF(AND(SCTR_Brokers[[#This Row],[Estado]]&lt;&gt;"FINALIZADO",SCTR_Brokers[[#This Row],[Plazo]]=LISTAS!$J$4),1,0)</f>
        <v>0</v>
      </c>
      <c r="Z215">
        <f>IF(SCTR_Brokers[[#This Row],[Fecha_Solic_Informe]]="",0,1)</f>
        <v>0</v>
      </c>
      <c r="AA215">
        <f>IF(SCTR_Brokers[[#This Row],[Fecha_Informe]]="",0,1)</f>
        <v>0</v>
      </c>
      <c r="AB215">
        <f>IF(AND(SCTR_Brokers[[#This Row],[Fecha_Solic_Informe]]&lt;&gt;"",SCTR_Brokers[[#This Row],[Fecha_Informe]]=""),1,0)</f>
        <v>0</v>
      </c>
      <c r="AC21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16" spans="1:29" hidden="1">
      <c r="A216" t="s">
        <v>458</v>
      </c>
      <c r="C216" t="str">
        <f>IF(SCTR_Brokers[[#This Row],[FechaRecepcion]]="","",SCTR_Brokers[[#This Row],[ConversationId]]&amp;"-"&amp;TEXT(SCTR_Brokers[[#This Row],[FechaRecepcion]],"aaaammddhhmmss"))</f>
        <v>AAQkADdkNThjNzFkLWM0ZmMtNDJhYS04MDVlLTIwNzE4ZDI1Mzg4YgAQAIZ3MdLKXUGbkVplmRxTUG0=-20260904144647</v>
      </c>
      <c r="D216" t="s">
        <v>495</v>
      </c>
      <c r="E216" t="s">
        <v>21</v>
      </c>
      <c r="F216" s="3">
        <v>46269.61582175926</v>
      </c>
      <c r="G216" s="3">
        <v>46270.397499999999</v>
      </c>
      <c r="H216" t="s">
        <v>496</v>
      </c>
      <c r="I216" t="s">
        <v>7</v>
      </c>
      <c r="K216" t="s">
        <v>67</v>
      </c>
      <c r="L216" s="10"/>
      <c r="N21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16" s="3"/>
      <c r="P216" s="3"/>
      <c r="Q216" s="3">
        <v>46270.397499999999</v>
      </c>
      <c r="R21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16" t="str">
        <f>IF(SCTR_Brokers[[#This Row],[FechaRecepcion]]="","",TEXT(SCTR_Brokers[[#This Row],[FechaRecepcion]],"mmmm")&amp;" "&amp;YEAR(SCTR_Brokers[[#This Row],[FechaRecepcion]]))</f>
        <v>septiembre 2026</v>
      </c>
      <c r="U216">
        <f>IF(SCTR_Brokers[[#This Row],[Estado]]="FINALIZADO",1,0)</f>
        <v>1</v>
      </c>
      <c r="V216">
        <f>IF(SCTR_Brokers[[#This Row],[FechaRecepcion]]="","",IF(SCTR_Brokers[[#This Row],[Estado]]="FINALIZADO",0,1))</f>
        <v>0</v>
      </c>
      <c r="W216">
        <f ca="1">IF(AND(SCTR_Brokers[[#This Row],[Estado]]="FINALIZADO",SCTR_Brokers[[#This Row],[Plazo]]=LISTAS!$J$3),1,0)</f>
        <v>1</v>
      </c>
      <c r="X216">
        <f ca="1">IF(AND(SCTR_Brokers[[#This Row],[Estado]]="FINALIZADO",SCTR_Brokers[[#This Row],[Plazo]]=LISTAS!$J$4),1,0)</f>
        <v>0</v>
      </c>
      <c r="Y216">
        <f ca="1">IF(AND(SCTR_Brokers[[#This Row],[Estado]]&lt;&gt;"FINALIZADO",SCTR_Brokers[[#This Row],[Plazo]]=LISTAS!$J$4),1,0)</f>
        <v>0</v>
      </c>
      <c r="Z216">
        <f>IF(SCTR_Brokers[[#This Row],[Fecha_Solic_Informe]]="",0,1)</f>
        <v>0</v>
      </c>
      <c r="AA216">
        <f>IF(SCTR_Brokers[[#This Row],[Fecha_Informe]]="",0,1)</f>
        <v>0</v>
      </c>
      <c r="AB216">
        <f>IF(AND(SCTR_Brokers[[#This Row],[Fecha_Solic_Informe]]&lt;&gt;"",SCTR_Brokers[[#This Row],[Fecha_Informe]]=""),1,0)</f>
        <v>0</v>
      </c>
      <c r="AC21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17" spans="1:29" hidden="1">
      <c r="A217" t="s">
        <v>497</v>
      </c>
      <c r="C217" t="str">
        <f>IF(SCTR_Brokers[[#This Row],[FechaRecepcion]]="","",SCTR_Brokers[[#This Row],[ConversationId]]&amp;"-"&amp;TEXT(SCTR_Brokers[[#This Row],[FechaRecepcion]],"aaaammddhhmmss"))</f>
        <v>AAQkADdkNThjNzFkLWM0ZmMtNDJhYS04MDVlLTIwNzE4ZDI1Mzg4YgAQAN4d70GmzEZagq4YZlw1uCc=-20260904150242</v>
      </c>
      <c r="D217" t="s">
        <v>498</v>
      </c>
      <c r="E217" t="s">
        <v>23</v>
      </c>
      <c r="F217" s="3">
        <v>46269.626875000002</v>
      </c>
      <c r="G217" s="3">
        <v>46272.359166666669</v>
      </c>
      <c r="H217" t="s">
        <v>70</v>
      </c>
      <c r="I217" t="s">
        <v>7</v>
      </c>
      <c r="K217" t="s">
        <v>67</v>
      </c>
      <c r="L217" s="10" t="s">
        <v>499</v>
      </c>
      <c r="N21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17" s="3"/>
      <c r="P217" s="3"/>
      <c r="Q217" s="3">
        <v>46272.359166666669</v>
      </c>
      <c r="R21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17" t="str">
        <f>IF(SCTR_Brokers[[#This Row],[FechaRecepcion]]="","",TEXT(SCTR_Brokers[[#This Row],[FechaRecepcion]],"mmmm")&amp;" "&amp;YEAR(SCTR_Brokers[[#This Row],[FechaRecepcion]]))</f>
        <v>septiembre 2026</v>
      </c>
      <c r="U217">
        <f>IF(SCTR_Brokers[[#This Row],[Estado]]="FINALIZADO",1,0)</f>
        <v>1</v>
      </c>
      <c r="V217">
        <f>IF(SCTR_Brokers[[#This Row],[FechaRecepcion]]="","",IF(SCTR_Brokers[[#This Row],[Estado]]="FINALIZADO",0,1))</f>
        <v>0</v>
      </c>
      <c r="W217">
        <f ca="1">IF(AND(SCTR_Brokers[[#This Row],[Estado]]="FINALIZADO",SCTR_Brokers[[#This Row],[Plazo]]=LISTAS!$J$3),1,0)</f>
        <v>1</v>
      </c>
      <c r="X217">
        <f ca="1">IF(AND(SCTR_Brokers[[#This Row],[Estado]]="FINALIZADO",SCTR_Brokers[[#This Row],[Plazo]]=LISTAS!$J$4),1,0)</f>
        <v>0</v>
      </c>
      <c r="Y217">
        <f ca="1">IF(AND(SCTR_Brokers[[#This Row],[Estado]]&lt;&gt;"FINALIZADO",SCTR_Brokers[[#This Row],[Plazo]]=LISTAS!$J$4),1,0)</f>
        <v>0</v>
      </c>
      <c r="Z217">
        <f>IF(SCTR_Brokers[[#This Row],[Fecha_Solic_Informe]]="",0,1)</f>
        <v>0</v>
      </c>
      <c r="AA217">
        <f>IF(SCTR_Brokers[[#This Row],[Fecha_Informe]]="",0,1)</f>
        <v>0</v>
      </c>
      <c r="AB217">
        <f>IF(AND(SCTR_Brokers[[#This Row],[Fecha_Solic_Informe]]&lt;&gt;"",SCTR_Brokers[[#This Row],[Fecha_Informe]]=""),1,0)</f>
        <v>0</v>
      </c>
      <c r="AC21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18" spans="1:29" hidden="1">
      <c r="A218" t="s">
        <v>500</v>
      </c>
      <c r="C218" t="str">
        <f>IF(SCTR_Brokers[[#This Row],[FechaRecepcion]]="","",SCTR_Brokers[[#This Row],[ConversationId]]&amp;"-"&amp;TEXT(SCTR_Brokers[[#This Row],[FechaRecepcion]],"aaaammddhhmmss"))</f>
        <v>AAQkADdkNThjNzFkLWM0ZmMtNDJhYS04MDVlLTIwNzE4ZDI1Mzg4YgAQABAXPgF1bUZZvXVk1Pw5yQg=-20260904151113</v>
      </c>
      <c r="D218" t="s">
        <v>501</v>
      </c>
      <c r="E218" t="s">
        <v>23</v>
      </c>
      <c r="F218" s="3">
        <v>46269.632789351854</v>
      </c>
      <c r="G218" s="3">
        <v>46272.357349537036</v>
      </c>
      <c r="H218" t="s">
        <v>70</v>
      </c>
      <c r="I218" t="s">
        <v>7</v>
      </c>
      <c r="K218" t="s">
        <v>67</v>
      </c>
      <c r="L218" s="10" t="s">
        <v>502</v>
      </c>
      <c r="N21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18" s="3"/>
      <c r="P218" s="3"/>
      <c r="Q218" s="3">
        <v>46272.357349537036</v>
      </c>
      <c r="R21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18" t="str">
        <f>IF(SCTR_Brokers[[#This Row],[FechaRecepcion]]="","",TEXT(SCTR_Brokers[[#This Row],[FechaRecepcion]],"mmmm")&amp;" "&amp;YEAR(SCTR_Brokers[[#This Row],[FechaRecepcion]]))</f>
        <v>septiembre 2026</v>
      </c>
      <c r="U218">
        <f>IF(SCTR_Brokers[[#This Row],[Estado]]="FINALIZADO",1,0)</f>
        <v>1</v>
      </c>
      <c r="V218">
        <f>IF(SCTR_Brokers[[#This Row],[FechaRecepcion]]="","",IF(SCTR_Brokers[[#This Row],[Estado]]="FINALIZADO",0,1))</f>
        <v>0</v>
      </c>
      <c r="W218">
        <f ca="1">IF(AND(SCTR_Brokers[[#This Row],[Estado]]="FINALIZADO",SCTR_Brokers[[#This Row],[Plazo]]=LISTAS!$J$3),1,0)</f>
        <v>1</v>
      </c>
      <c r="X218">
        <f ca="1">IF(AND(SCTR_Brokers[[#This Row],[Estado]]="FINALIZADO",SCTR_Brokers[[#This Row],[Plazo]]=LISTAS!$J$4),1,0)</f>
        <v>0</v>
      </c>
      <c r="Y218">
        <f ca="1">IF(AND(SCTR_Brokers[[#This Row],[Estado]]&lt;&gt;"FINALIZADO",SCTR_Brokers[[#This Row],[Plazo]]=LISTAS!$J$4),1,0)</f>
        <v>0</v>
      </c>
      <c r="Z218">
        <f>IF(SCTR_Brokers[[#This Row],[Fecha_Solic_Informe]]="",0,1)</f>
        <v>0</v>
      </c>
      <c r="AA218">
        <f>IF(SCTR_Brokers[[#This Row],[Fecha_Informe]]="",0,1)</f>
        <v>0</v>
      </c>
      <c r="AB218">
        <f>IF(AND(SCTR_Brokers[[#This Row],[Fecha_Solic_Informe]]&lt;&gt;"",SCTR_Brokers[[#This Row],[Fecha_Informe]]=""),1,0)</f>
        <v>0</v>
      </c>
      <c r="AC21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19" spans="1:29" hidden="1">
      <c r="A219" t="s">
        <v>503</v>
      </c>
      <c r="C219" t="str">
        <f>IF(SCTR_Brokers[[#This Row],[FechaRecepcion]]="","",SCTR_Brokers[[#This Row],[ConversationId]]&amp;"-"&amp;TEXT(SCTR_Brokers[[#This Row],[FechaRecepcion]],"aaaammddhhmmss"))</f>
        <v>AAQkADdkNThjNzFkLWM0ZmMtNDJhYS04MDVlLTIwNzE4ZDI1Mzg4YgAQANXgrAowd9pBtjGtxqMTBLE=-20260904155003</v>
      </c>
      <c r="D219" t="s">
        <v>504</v>
      </c>
      <c r="E219" t="s">
        <v>14</v>
      </c>
      <c r="F219" s="3">
        <v>46269.659756944442</v>
      </c>
      <c r="G219" s="3">
        <v>46272.355370370373</v>
      </c>
      <c r="H219" t="s">
        <v>70</v>
      </c>
      <c r="I219" t="s">
        <v>7</v>
      </c>
      <c r="K219" t="s">
        <v>67</v>
      </c>
      <c r="L219" s="10" t="s">
        <v>505</v>
      </c>
      <c r="N21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19" s="3"/>
      <c r="P219" s="3"/>
      <c r="Q219" s="3">
        <v>46272.355370370373</v>
      </c>
      <c r="R21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19" t="str">
        <f>IF(SCTR_Brokers[[#This Row],[FechaRecepcion]]="","",TEXT(SCTR_Brokers[[#This Row],[FechaRecepcion]],"mmmm")&amp;" "&amp;YEAR(SCTR_Brokers[[#This Row],[FechaRecepcion]]))</f>
        <v>septiembre 2026</v>
      </c>
      <c r="U219">
        <f>IF(SCTR_Brokers[[#This Row],[Estado]]="FINALIZADO",1,0)</f>
        <v>1</v>
      </c>
      <c r="V219">
        <f>IF(SCTR_Brokers[[#This Row],[FechaRecepcion]]="","",IF(SCTR_Brokers[[#This Row],[Estado]]="FINALIZADO",0,1))</f>
        <v>0</v>
      </c>
      <c r="W219">
        <f ca="1">IF(AND(SCTR_Brokers[[#This Row],[Estado]]="FINALIZADO",SCTR_Brokers[[#This Row],[Plazo]]=LISTAS!$J$3),1,0)</f>
        <v>1</v>
      </c>
      <c r="X219">
        <f ca="1">IF(AND(SCTR_Brokers[[#This Row],[Estado]]="FINALIZADO",SCTR_Brokers[[#This Row],[Plazo]]=LISTAS!$J$4),1,0)</f>
        <v>0</v>
      </c>
      <c r="Y219">
        <f ca="1">IF(AND(SCTR_Brokers[[#This Row],[Estado]]&lt;&gt;"FINALIZADO",SCTR_Brokers[[#This Row],[Plazo]]=LISTAS!$J$4),1,0)</f>
        <v>0</v>
      </c>
      <c r="Z219">
        <f>IF(SCTR_Brokers[[#This Row],[Fecha_Solic_Informe]]="",0,1)</f>
        <v>0</v>
      </c>
      <c r="AA219">
        <f>IF(SCTR_Brokers[[#This Row],[Fecha_Informe]]="",0,1)</f>
        <v>0</v>
      </c>
      <c r="AB219">
        <f>IF(AND(SCTR_Brokers[[#This Row],[Fecha_Solic_Informe]]&lt;&gt;"",SCTR_Brokers[[#This Row],[Fecha_Informe]]=""),1,0)</f>
        <v>0</v>
      </c>
      <c r="AC21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20" spans="1:29" hidden="1">
      <c r="A220" t="s">
        <v>506</v>
      </c>
      <c r="C220" t="str">
        <f>IF(SCTR_Brokers[[#This Row],[FechaRecepcion]]="","",SCTR_Brokers[[#This Row],[ConversationId]]&amp;"-"&amp;TEXT(SCTR_Brokers[[#This Row],[FechaRecepcion]],"aaaammddhhmmss"))</f>
        <v>AAQkADdkNThjNzFkLWM0ZmMtNDJhYS04MDVlLTIwNzE4ZDI1Mzg4YgAQAGtEXGensUQjhaGI50PY8BY=-20260904155833</v>
      </c>
      <c r="D220" t="s">
        <v>507</v>
      </c>
      <c r="E220" t="s">
        <v>23</v>
      </c>
      <c r="F220" s="3">
        <v>46269.665659722225</v>
      </c>
      <c r="G220" s="3">
        <v>46272.353356481479</v>
      </c>
      <c r="H220" t="s">
        <v>70</v>
      </c>
      <c r="I220" t="s">
        <v>7</v>
      </c>
      <c r="K220" t="s">
        <v>67</v>
      </c>
      <c r="L220" s="10"/>
      <c r="N22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20" s="3"/>
      <c r="P220" s="3"/>
      <c r="Q220" s="3">
        <v>46272.353356481479</v>
      </c>
      <c r="R22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20" t="str">
        <f>IF(SCTR_Brokers[[#This Row],[FechaRecepcion]]="","",TEXT(SCTR_Brokers[[#This Row],[FechaRecepcion]],"mmmm")&amp;" "&amp;YEAR(SCTR_Brokers[[#This Row],[FechaRecepcion]]))</f>
        <v>septiembre 2026</v>
      </c>
      <c r="U220">
        <f>IF(SCTR_Brokers[[#This Row],[Estado]]="FINALIZADO",1,0)</f>
        <v>1</v>
      </c>
      <c r="V220">
        <f>IF(SCTR_Brokers[[#This Row],[FechaRecepcion]]="","",IF(SCTR_Brokers[[#This Row],[Estado]]="FINALIZADO",0,1))</f>
        <v>0</v>
      </c>
      <c r="W220">
        <f ca="1">IF(AND(SCTR_Brokers[[#This Row],[Estado]]="FINALIZADO",SCTR_Brokers[[#This Row],[Plazo]]=LISTAS!$J$3),1,0)</f>
        <v>1</v>
      </c>
      <c r="X220">
        <f ca="1">IF(AND(SCTR_Brokers[[#This Row],[Estado]]="FINALIZADO",SCTR_Brokers[[#This Row],[Plazo]]=LISTAS!$J$4),1,0)</f>
        <v>0</v>
      </c>
      <c r="Y220">
        <f ca="1">IF(AND(SCTR_Brokers[[#This Row],[Estado]]&lt;&gt;"FINALIZADO",SCTR_Brokers[[#This Row],[Plazo]]=LISTAS!$J$4),1,0)</f>
        <v>0</v>
      </c>
      <c r="Z220">
        <f>IF(SCTR_Brokers[[#This Row],[Fecha_Solic_Informe]]="",0,1)</f>
        <v>0</v>
      </c>
      <c r="AA220">
        <f>IF(SCTR_Brokers[[#This Row],[Fecha_Informe]]="",0,1)</f>
        <v>0</v>
      </c>
      <c r="AB220">
        <f>IF(AND(SCTR_Brokers[[#This Row],[Fecha_Solic_Informe]]&lt;&gt;"",SCTR_Brokers[[#This Row],[Fecha_Informe]]=""),1,0)</f>
        <v>0</v>
      </c>
      <c r="AC22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21" spans="1:29" hidden="1">
      <c r="A221" t="s">
        <v>508</v>
      </c>
      <c r="C221" t="str">
        <f>IF(SCTR_Brokers[[#This Row],[FechaRecepcion]]="","",SCTR_Brokers[[#This Row],[ConversationId]]&amp;"-"&amp;TEXT(SCTR_Brokers[[#This Row],[FechaRecepcion]],"aaaammddhhmmss"))</f>
        <v>AAQkADdkNThjNzFkLWM0ZmMtNDJhYS04MDVlLTIwNzE4ZDI1Mzg4YgAQAKBoiAwrTg9FuuW-AXb2mF0=-20260904161044</v>
      </c>
      <c r="D221" t="s">
        <v>509</v>
      </c>
      <c r="E221" t="s">
        <v>21</v>
      </c>
      <c r="F221" s="3">
        <v>46269.674120370371</v>
      </c>
      <c r="G221" s="3">
        <v>46272.350821759261</v>
      </c>
      <c r="H221" t="s">
        <v>70</v>
      </c>
      <c r="I221" t="s">
        <v>7</v>
      </c>
      <c r="K221" t="s">
        <v>67</v>
      </c>
      <c r="L221" s="10"/>
      <c r="N22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21" s="3"/>
      <c r="P221" s="3"/>
      <c r="Q221" s="3">
        <v>46272.350821759261</v>
      </c>
      <c r="R22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21" t="str">
        <f>IF(SCTR_Brokers[[#This Row],[FechaRecepcion]]="","",TEXT(SCTR_Brokers[[#This Row],[FechaRecepcion]],"mmmm")&amp;" "&amp;YEAR(SCTR_Brokers[[#This Row],[FechaRecepcion]]))</f>
        <v>septiembre 2026</v>
      </c>
      <c r="U221">
        <f>IF(SCTR_Brokers[[#This Row],[Estado]]="FINALIZADO",1,0)</f>
        <v>1</v>
      </c>
      <c r="V221">
        <f>IF(SCTR_Brokers[[#This Row],[FechaRecepcion]]="","",IF(SCTR_Brokers[[#This Row],[Estado]]="FINALIZADO",0,1))</f>
        <v>0</v>
      </c>
      <c r="W221">
        <f ca="1">IF(AND(SCTR_Brokers[[#This Row],[Estado]]="FINALIZADO",SCTR_Brokers[[#This Row],[Plazo]]=LISTAS!$J$3),1,0)</f>
        <v>1</v>
      </c>
      <c r="X221">
        <f ca="1">IF(AND(SCTR_Brokers[[#This Row],[Estado]]="FINALIZADO",SCTR_Brokers[[#This Row],[Plazo]]=LISTAS!$J$4),1,0)</f>
        <v>0</v>
      </c>
      <c r="Y221">
        <f ca="1">IF(AND(SCTR_Brokers[[#This Row],[Estado]]&lt;&gt;"FINALIZADO",SCTR_Brokers[[#This Row],[Plazo]]=LISTAS!$J$4),1,0)</f>
        <v>0</v>
      </c>
      <c r="Z221">
        <f>IF(SCTR_Brokers[[#This Row],[Fecha_Solic_Informe]]="",0,1)</f>
        <v>0</v>
      </c>
      <c r="AA221">
        <f>IF(SCTR_Brokers[[#This Row],[Fecha_Informe]]="",0,1)</f>
        <v>0</v>
      </c>
      <c r="AB221">
        <f>IF(AND(SCTR_Brokers[[#This Row],[Fecha_Solic_Informe]]&lt;&gt;"",SCTR_Brokers[[#This Row],[Fecha_Informe]]=""),1,0)</f>
        <v>0</v>
      </c>
      <c r="AC22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22" spans="1:29" hidden="1">
      <c r="A222" t="s">
        <v>510</v>
      </c>
      <c r="C222" t="str">
        <f>IF(SCTR_Brokers[[#This Row],[FechaRecepcion]]="","",SCTR_Brokers[[#This Row],[ConversationId]]&amp;"-"&amp;TEXT(SCTR_Brokers[[#This Row],[FechaRecepcion]],"aaaammddhhmmss"))</f>
        <v>AAQkADdkNThjNzFkLWM0ZmMtNDJhYS04MDVlLTIwNzE4ZDI1Mzg4YgAQAC6ynmMS06ZGhHBSQz0YICU=-20260904164744</v>
      </c>
      <c r="D222" t="s">
        <v>511</v>
      </c>
      <c r="E222" t="s">
        <v>8</v>
      </c>
      <c r="F222" s="3">
        <v>46269.699814814812</v>
      </c>
      <c r="G222" s="3">
        <v>46272.346932870372</v>
      </c>
      <c r="H222" t="s">
        <v>70</v>
      </c>
      <c r="I222" t="s">
        <v>7</v>
      </c>
      <c r="K222" t="s">
        <v>67</v>
      </c>
      <c r="L222" s="10"/>
      <c r="N22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22" s="3"/>
      <c r="P222" s="3"/>
      <c r="Q222" s="3">
        <v>46272.346932870372</v>
      </c>
      <c r="R22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22" t="str">
        <f>IF(SCTR_Brokers[[#This Row],[FechaRecepcion]]="","",TEXT(SCTR_Brokers[[#This Row],[FechaRecepcion]],"mmmm")&amp;" "&amp;YEAR(SCTR_Brokers[[#This Row],[FechaRecepcion]]))</f>
        <v>septiembre 2026</v>
      </c>
      <c r="U222">
        <f>IF(SCTR_Brokers[[#This Row],[Estado]]="FINALIZADO",1,0)</f>
        <v>1</v>
      </c>
      <c r="V222">
        <f>IF(SCTR_Brokers[[#This Row],[FechaRecepcion]]="","",IF(SCTR_Brokers[[#This Row],[Estado]]="FINALIZADO",0,1))</f>
        <v>0</v>
      </c>
      <c r="W222">
        <f ca="1">IF(AND(SCTR_Brokers[[#This Row],[Estado]]="FINALIZADO",SCTR_Brokers[[#This Row],[Plazo]]=LISTAS!$J$3),1,0)</f>
        <v>1</v>
      </c>
      <c r="X222">
        <f ca="1">IF(AND(SCTR_Brokers[[#This Row],[Estado]]="FINALIZADO",SCTR_Brokers[[#This Row],[Plazo]]=LISTAS!$J$4),1,0)</f>
        <v>0</v>
      </c>
      <c r="Y222">
        <f ca="1">IF(AND(SCTR_Brokers[[#This Row],[Estado]]&lt;&gt;"FINALIZADO",SCTR_Brokers[[#This Row],[Plazo]]=LISTAS!$J$4),1,0)</f>
        <v>0</v>
      </c>
      <c r="Z222">
        <f>IF(SCTR_Brokers[[#This Row],[Fecha_Solic_Informe]]="",0,1)</f>
        <v>0</v>
      </c>
      <c r="AA222">
        <f>IF(SCTR_Brokers[[#This Row],[Fecha_Informe]]="",0,1)</f>
        <v>0</v>
      </c>
      <c r="AB222">
        <f>IF(AND(SCTR_Brokers[[#This Row],[Fecha_Solic_Informe]]&lt;&gt;"",SCTR_Brokers[[#This Row],[Fecha_Informe]]=""),1,0)</f>
        <v>0</v>
      </c>
      <c r="AC22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23" spans="1:29" hidden="1">
      <c r="A223" t="s">
        <v>512</v>
      </c>
      <c r="C223" t="str">
        <f>IF(SCTR_Brokers[[#This Row],[FechaRecepcion]]="","",SCTR_Brokers[[#This Row],[ConversationId]]&amp;"-"&amp;TEXT(SCTR_Brokers[[#This Row],[FechaRecepcion]],"aaaammddhhmmss"))</f>
        <v>AAQkADdkNThjNzFkLWM0ZmMtNDJhYS04MDVlLTIwNzE4ZDI1Mzg4YgAQAAQml9jiGvBHhMCdeFNpQ4Y=-20260904171712</v>
      </c>
      <c r="D223" t="s">
        <v>513</v>
      </c>
      <c r="E223" t="s">
        <v>21</v>
      </c>
      <c r="F223" s="3">
        <v>46269.720277777778</v>
      </c>
      <c r="G223" s="3">
        <v>46269.73914351852</v>
      </c>
      <c r="H223" t="s">
        <v>319</v>
      </c>
      <c r="I223" t="s">
        <v>7</v>
      </c>
      <c r="J223" t="s">
        <v>320</v>
      </c>
      <c r="K223" t="s">
        <v>67</v>
      </c>
      <c r="L223" s="10"/>
      <c r="N22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23" s="3"/>
      <c r="P223" s="3"/>
      <c r="Q223" s="3">
        <v>46269.73914351852</v>
      </c>
      <c r="R22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23" t="str">
        <f>IF(SCTR_Brokers[[#This Row],[FechaRecepcion]]="","",TEXT(SCTR_Brokers[[#This Row],[FechaRecepcion]],"mmmm")&amp;" "&amp;YEAR(SCTR_Brokers[[#This Row],[FechaRecepcion]]))</f>
        <v>septiembre 2026</v>
      </c>
      <c r="U223">
        <f>IF(SCTR_Brokers[[#This Row],[Estado]]="FINALIZADO",1,0)</f>
        <v>1</v>
      </c>
      <c r="V223">
        <f>IF(SCTR_Brokers[[#This Row],[FechaRecepcion]]="","",IF(SCTR_Brokers[[#This Row],[Estado]]="FINALIZADO",0,1))</f>
        <v>0</v>
      </c>
      <c r="W223">
        <f ca="1">IF(AND(SCTR_Brokers[[#This Row],[Estado]]="FINALIZADO",SCTR_Brokers[[#This Row],[Plazo]]=LISTAS!$J$3),1,0)</f>
        <v>1</v>
      </c>
      <c r="X223">
        <f ca="1">IF(AND(SCTR_Brokers[[#This Row],[Estado]]="FINALIZADO",SCTR_Brokers[[#This Row],[Plazo]]=LISTAS!$J$4),1,0)</f>
        <v>0</v>
      </c>
      <c r="Y223">
        <f ca="1">IF(AND(SCTR_Brokers[[#This Row],[Estado]]&lt;&gt;"FINALIZADO",SCTR_Brokers[[#This Row],[Plazo]]=LISTAS!$J$4),1,0)</f>
        <v>0</v>
      </c>
      <c r="Z223">
        <f>IF(SCTR_Brokers[[#This Row],[Fecha_Solic_Informe]]="",0,1)</f>
        <v>0</v>
      </c>
      <c r="AA223">
        <f>IF(SCTR_Brokers[[#This Row],[Fecha_Informe]]="",0,1)</f>
        <v>0</v>
      </c>
      <c r="AB223">
        <f>IF(AND(SCTR_Brokers[[#This Row],[Fecha_Solic_Informe]]&lt;&gt;"",SCTR_Brokers[[#This Row],[Fecha_Informe]]=""),1,0)</f>
        <v>0</v>
      </c>
      <c r="AC22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24" spans="1:29" hidden="1">
      <c r="A224" t="s">
        <v>448</v>
      </c>
      <c r="C224" t="str">
        <f>IF(SCTR_Brokers[[#This Row],[FechaRecepcion]]="","",SCTR_Brokers[[#This Row],[ConversationId]]&amp;"-"&amp;TEXT(SCTR_Brokers[[#This Row],[FechaRecepcion]],"aaaammddhhmmss"))</f>
        <v>AAQkADdkNThjNzFkLWM0ZmMtNDJhYS04MDVlLTIwNzE4ZDI1Mzg4YgAQAJqQhLs-76FHu2KhHodLdLk=-20260904174740</v>
      </c>
      <c r="D224" t="s">
        <v>514</v>
      </c>
      <c r="E224" t="s">
        <v>23</v>
      </c>
      <c r="F224" s="3">
        <v>46269.741435185184</v>
      </c>
      <c r="G224" s="3">
        <v>46272.667372685188</v>
      </c>
      <c r="H224" t="s">
        <v>70</v>
      </c>
      <c r="I224" t="s">
        <v>7</v>
      </c>
      <c r="K224" t="s">
        <v>67</v>
      </c>
      <c r="L224" s="10"/>
      <c r="N22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24" s="3"/>
      <c r="P224" s="3"/>
      <c r="Q224" s="3">
        <v>46272.667372685188</v>
      </c>
      <c r="R22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224" t="str">
        <f>IF(SCTR_Brokers[[#This Row],[FechaRecepcion]]="","",TEXT(SCTR_Brokers[[#This Row],[FechaRecepcion]],"mmmm")&amp;" "&amp;YEAR(SCTR_Brokers[[#This Row],[FechaRecepcion]]))</f>
        <v>septiembre 2026</v>
      </c>
      <c r="U224">
        <f>IF(SCTR_Brokers[[#This Row],[Estado]]="FINALIZADO",1,0)</f>
        <v>1</v>
      </c>
      <c r="V224">
        <f>IF(SCTR_Brokers[[#This Row],[FechaRecepcion]]="","",IF(SCTR_Brokers[[#This Row],[Estado]]="FINALIZADO",0,1))</f>
        <v>0</v>
      </c>
      <c r="W224">
        <f ca="1">IF(AND(SCTR_Brokers[[#This Row],[Estado]]="FINALIZADO",SCTR_Brokers[[#This Row],[Plazo]]=LISTAS!$J$3),1,0)</f>
        <v>0</v>
      </c>
      <c r="X224">
        <f ca="1">IF(AND(SCTR_Brokers[[#This Row],[Estado]]="FINALIZADO",SCTR_Brokers[[#This Row],[Plazo]]=LISTAS!$J$4),1,0)</f>
        <v>1</v>
      </c>
      <c r="Y224">
        <f ca="1">IF(AND(SCTR_Brokers[[#This Row],[Estado]]&lt;&gt;"FINALIZADO",SCTR_Brokers[[#This Row],[Plazo]]=LISTAS!$J$4),1,0)</f>
        <v>0</v>
      </c>
      <c r="Z224">
        <f>IF(SCTR_Brokers[[#This Row],[Fecha_Solic_Informe]]="",0,1)</f>
        <v>0</v>
      </c>
      <c r="AA224">
        <f>IF(SCTR_Brokers[[#This Row],[Fecha_Informe]]="",0,1)</f>
        <v>0</v>
      </c>
      <c r="AB224">
        <f>IF(AND(SCTR_Brokers[[#This Row],[Fecha_Solic_Informe]]&lt;&gt;"",SCTR_Brokers[[#This Row],[Fecha_Informe]]=""),1,0)</f>
        <v>0</v>
      </c>
      <c r="AC22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25" spans="1:29" hidden="1">
      <c r="A225" t="s">
        <v>512</v>
      </c>
      <c r="C225" t="str">
        <f>IF(SCTR_Brokers[[#This Row],[FechaRecepcion]]="","",SCTR_Brokers[[#This Row],[ConversationId]]&amp;"-"&amp;TEXT(SCTR_Brokers[[#This Row],[FechaRecepcion]],"aaaammddhhmmss"))</f>
        <v>AAQkADdkNThjNzFkLWM0ZmMtNDJhYS04MDVlLTIwNzE4ZDI1Mzg4YgAQAAQml9jiGvBHhMCdeFNpQ4Y=-20260904174905</v>
      </c>
      <c r="D225" t="s">
        <v>515</v>
      </c>
      <c r="E225" t="s">
        <v>21</v>
      </c>
      <c r="F225" s="3">
        <v>46269.742418981485</v>
      </c>
      <c r="G225" s="3">
        <v>46272.368460648147</v>
      </c>
      <c r="H225" t="s">
        <v>183</v>
      </c>
      <c r="I225" t="s">
        <v>7</v>
      </c>
      <c r="J225" t="s">
        <v>184</v>
      </c>
      <c r="K225" t="s">
        <v>67</v>
      </c>
      <c r="L225" s="10"/>
      <c r="N22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25" s="3"/>
      <c r="P225" s="3"/>
      <c r="Q225" s="3">
        <v>46272.368460648147</v>
      </c>
      <c r="R22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25" t="str">
        <f>IF(SCTR_Brokers[[#This Row],[FechaRecepcion]]="","",TEXT(SCTR_Brokers[[#This Row],[FechaRecepcion]],"mmmm")&amp;" "&amp;YEAR(SCTR_Brokers[[#This Row],[FechaRecepcion]]))</f>
        <v>septiembre 2026</v>
      </c>
      <c r="U225">
        <f>IF(SCTR_Brokers[[#This Row],[Estado]]="FINALIZADO",1,0)</f>
        <v>1</v>
      </c>
      <c r="V225">
        <f>IF(SCTR_Brokers[[#This Row],[FechaRecepcion]]="","",IF(SCTR_Brokers[[#This Row],[Estado]]="FINALIZADO",0,1))</f>
        <v>0</v>
      </c>
      <c r="W225">
        <f ca="1">IF(AND(SCTR_Brokers[[#This Row],[Estado]]="FINALIZADO",SCTR_Brokers[[#This Row],[Plazo]]=LISTAS!$J$3),1,0)</f>
        <v>1</v>
      </c>
      <c r="X225">
        <f ca="1">IF(AND(SCTR_Brokers[[#This Row],[Estado]]="FINALIZADO",SCTR_Brokers[[#This Row],[Plazo]]=LISTAS!$J$4),1,0)</f>
        <v>0</v>
      </c>
      <c r="Y225">
        <f ca="1">IF(AND(SCTR_Brokers[[#This Row],[Estado]]&lt;&gt;"FINALIZADO",SCTR_Brokers[[#This Row],[Plazo]]=LISTAS!$J$4),1,0)</f>
        <v>0</v>
      </c>
      <c r="Z225">
        <f>IF(SCTR_Brokers[[#This Row],[Fecha_Solic_Informe]]="",0,1)</f>
        <v>0</v>
      </c>
      <c r="AA225">
        <f>IF(SCTR_Brokers[[#This Row],[Fecha_Informe]]="",0,1)</f>
        <v>0</v>
      </c>
      <c r="AB225">
        <f>IF(AND(SCTR_Brokers[[#This Row],[Fecha_Solic_Informe]]&lt;&gt;"",SCTR_Brokers[[#This Row],[Fecha_Informe]]=""),1,0)</f>
        <v>0</v>
      </c>
      <c r="AC22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26" spans="1:29" hidden="1">
      <c r="A226" t="s">
        <v>516</v>
      </c>
      <c r="C226" t="str">
        <f>IF(SCTR_Brokers[[#This Row],[FechaRecepcion]]="","",SCTR_Brokers[[#This Row],[ConversationId]]&amp;"-"&amp;TEXT(SCTR_Brokers[[#This Row],[FechaRecepcion]],"aaaammddhhmmss"))</f>
        <v>AAQkADdkNThjNzFkLWM0ZmMtNDJhYS04MDVlLTIwNzE4ZDI1Mzg4YgAQAJ41IXvH30Y1kj39geuNNJ8=-20260904175218</v>
      </c>
      <c r="D226" t="s">
        <v>517</v>
      </c>
      <c r="E226" t="s">
        <v>8</v>
      </c>
      <c r="F226" s="3">
        <v>46269.744652777779</v>
      </c>
      <c r="G226" s="3">
        <v>46272.336331018516</v>
      </c>
      <c r="H226" t="s">
        <v>70</v>
      </c>
      <c r="I226" t="s">
        <v>7</v>
      </c>
      <c r="K226" t="s">
        <v>138</v>
      </c>
      <c r="L226" s="10" t="s">
        <v>518</v>
      </c>
      <c r="N22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26" s="3">
        <v>46272.335833333331</v>
      </c>
      <c r="P226" s="3"/>
      <c r="Q226" s="3">
        <v>46272.336331018516</v>
      </c>
      <c r="R22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26" t="str">
        <f>IF(SCTR_Brokers[[#This Row],[FechaRecepcion]]="","",TEXT(SCTR_Brokers[[#This Row],[FechaRecepcion]],"mmmm")&amp;" "&amp;YEAR(SCTR_Brokers[[#This Row],[FechaRecepcion]]))</f>
        <v>septiembre 2026</v>
      </c>
      <c r="U226">
        <f>IF(SCTR_Brokers[[#This Row],[Estado]]="FINALIZADO",1,0)</f>
        <v>1</v>
      </c>
      <c r="V226">
        <f>IF(SCTR_Brokers[[#This Row],[FechaRecepcion]]="","",IF(SCTR_Brokers[[#This Row],[Estado]]="FINALIZADO",0,1))</f>
        <v>0</v>
      </c>
      <c r="W226">
        <f ca="1">IF(AND(SCTR_Brokers[[#This Row],[Estado]]="FINALIZADO",SCTR_Brokers[[#This Row],[Plazo]]=LISTAS!$J$3),1,0)</f>
        <v>1</v>
      </c>
      <c r="X226">
        <f ca="1">IF(AND(SCTR_Brokers[[#This Row],[Estado]]="FINALIZADO",SCTR_Brokers[[#This Row],[Plazo]]=LISTAS!$J$4),1,0)</f>
        <v>0</v>
      </c>
      <c r="Y226">
        <f ca="1">IF(AND(SCTR_Brokers[[#This Row],[Estado]]&lt;&gt;"FINALIZADO",SCTR_Brokers[[#This Row],[Plazo]]=LISTAS!$J$4),1,0)</f>
        <v>0</v>
      </c>
      <c r="Z226">
        <f>IF(SCTR_Brokers[[#This Row],[Fecha_Solic_Informe]]="",0,1)</f>
        <v>1</v>
      </c>
      <c r="AA226">
        <f>IF(SCTR_Brokers[[#This Row],[Fecha_Informe]]="",0,1)</f>
        <v>0</v>
      </c>
      <c r="AB226">
        <f>IF(AND(SCTR_Brokers[[#This Row],[Fecha_Solic_Informe]]&lt;&gt;"",SCTR_Brokers[[#This Row],[Fecha_Informe]]=""),1,0)</f>
        <v>1</v>
      </c>
      <c r="AC22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27" spans="1:29" hidden="1">
      <c r="A227" t="s">
        <v>481</v>
      </c>
      <c r="C227" t="str">
        <f>IF(SCTR_Brokers[[#This Row],[FechaRecepcion]]="","",SCTR_Brokers[[#This Row],[ConversationId]]&amp;"-"&amp;TEXT(SCTR_Brokers[[#This Row],[FechaRecepcion]],"aaaammddhhmmss"))</f>
        <v>AAQkADdkNThjNzFkLWM0ZmMtNDJhYS04MDVlLTIwNzE4ZDI1Mzg4YgAQAKOlIEes1sJBlRgnbeYI-Rc=-20260904180312</v>
      </c>
      <c r="D227" t="s">
        <v>519</v>
      </c>
      <c r="E227" t="s">
        <v>20</v>
      </c>
      <c r="F227" s="3">
        <v>46269.752222222225</v>
      </c>
      <c r="G227" s="3">
        <v>46273.427476851852</v>
      </c>
      <c r="H227" t="s">
        <v>70</v>
      </c>
      <c r="I227" t="s">
        <v>7</v>
      </c>
      <c r="K227" t="s">
        <v>67</v>
      </c>
      <c r="L227" s="10"/>
      <c r="N22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27" s="3"/>
      <c r="P227" s="3"/>
      <c r="Q227" s="3">
        <v>46273.427476851852</v>
      </c>
      <c r="R22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227" t="str">
        <f>IF(SCTR_Brokers[[#This Row],[FechaRecepcion]]="","",TEXT(SCTR_Brokers[[#This Row],[FechaRecepcion]],"mmmm")&amp;" "&amp;YEAR(SCTR_Brokers[[#This Row],[FechaRecepcion]]))</f>
        <v>septiembre 2026</v>
      </c>
      <c r="U227">
        <f>IF(SCTR_Brokers[[#This Row],[Estado]]="FINALIZADO",1,0)</f>
        <v>1</v>
      </c>
      <c r="V227">
        <f>IF(SCTR_Brokers[[#This Row],[FechaRecepcion]]="","",IF(SCTR_Brokers[[#This Row],[Estado]]="FINALIZADO",0,1))</f>
        <v>0</v>
      </c>
      <c r="W227">
        <f ca="1">IF(AND(SCTR_Brokers[[#This Row],[Estado]]="FINALIZADO",SCTR_Brokers[[#This Row],[Plazo]]=LISTAS!$J$3),1,0)</f>
        <v>0</v>
      </c>
      <c r="X227">
        <f ca="1">IF(AND(SCTR_Brokers[[#This Row],[Estado]]="FINALIZADO",SCTR_Brokers[[#This Row],[Plazo]]=LISTAS!$J$4),1,0)</f>
        <v>1</v>
      </c>
      <c r="Y227">
        <f ca="1">IF(AND(SCTR_Brokers[[#This Row],[Estado]]&lt;&gt;"FINALIZADO",SCTR_Brokers[[#This Row],[Plazo]]=LISTAS!$J$4),1,0)</f>
        <v>0</v>
      </c>
      <c r="Z227">
        <f>IF(SCTR_Brokers[[#This Row],[Fecha_Solic_Informe]]="",0,1)</f>
        <v>0</v>
      </c>
      <c r="AA227">
        <f>IF(SCTR_Brokers[[#This Row],[Fecha_Informe]]="",0,1)</f>
        <v>0</v>
      </c>
      <c r="AB227">
        <f>IF(AND(SCTR_Brokers[[#This Row],[Fecha_Solic_Informe]]&lt;&gt;"",SCTR_Brokers[[#This Row],[Fecha_Informe]]=""),1,0)</f>
        <v>0</v>
      </c>
      <c r="AC22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28" spans="1:29" hidden="1">
      <c r="A228" t="s">
        <v>520</v>
      </c>
      <c r="C228" t="str">
        <f>IF(SCTR_Brokers[[#This Row],[FechaRecepcion]]="","",SCTR_Brokers[[#This Row],[ConversationId]]&amp;"-"&amp;TEXT(SCTR_Brokers[[#This Row],[FechaRecepcion]],"aaaammddhhmmss"))</f>
        <v>AAQkADdkNThjNzFkLWM0ZmMtNDJhYS04MDVlLTIwNzE4ZDI1Mzg4YgAQAOYs7TfesaJBgNl863kYJDg=-20260905101822</v>
      </c>
      <c r="D228" t="s">
        <v>521</v>
      </c>
      <c r="E228" t="s">
        <v>14</v>
      </c>
      <c r="F228" s="3">
        <v>46270.4294212963</v>
      </c>
      <c r="G228" s="3">
        <v>46272.333587962959</v>
      </c>
      <c r="H228" t="s">
        <v>70</v>
      </c>
      <c r="I228" t="s">
        <v>7</v>
      </c>
      <c r="K228" t="s">
        <v>67</v>
      </c>
      <c r="L228" s="10"/>
      <c r="N22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28" s="3"/>
      <c r="P228" s="3"/>
      <c r="Q228" s="3">
        <v>46272.333587962959</v>
      </c>
      <c r="R22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28" t="str">
        <f>IF(SCTR_Brokers[[#This Row],[FechaRecepcion]]="","",TEXT(SCTR_Brokers[[#This Row],[FechaRecepcion]],"mmmm")&amp;" "&amp;YEAR(SCTR_Brokers[[#This Row],[FechaRecepcion]]))</f>
        <v>septiembre 2026</v>
      </c>
      <c r="U228">
        <f>IF(SCTR_Brokers[[#This Row],[Estado]]="FINALIZADO",1,0)</f>
        <v>1</v>
      </c>
      <c r="V228">
        <f>IF(SCTR_Brokers[[#This Row],[FechaRecepcion]]="","",IF(SCTR_Brokers[[#This Row],[Estado]]="FINALIZADO",0,1))</f>
        <v>0</v>
      </c>
      <c r="W228">
        <f ca="1">IF(AND(SCTR_Brokers[[#This Row],[Estado]]="FINALIZADO",SCTR_Brokers[[#This Row],[Plazo]]=LISTAS!$J$3),1,0)</f>
        <v>1</v>
      </c>
      <c r="X228">
        <f ca="1">IF(AND(SCTR_Brokers[[#This Row],[Estado]]="FINALIZADO",SCTR_Brokers[[#This Row],[Plazo]]=LISTAS!$J$4),1,0)</f>
        <v>0</v>
      </c>
      <c r="Y228">
        <f ca="1">IF(AND(SCTR_Brokers[[#This Row],[Estado]]&lt;&gt;"FINALIZADO",SCTR_Brokers[[#This Row],[Plazo]]=LISTAS!$J$4),1,0)</f>
        <v>0</v>
      </c>
      <c r="Z228">
        <f>IF(SCTR_Brokers[[#This Row],[Fecha_Solic_Informe]]="",0,1)</f>
        <v>0</v>
      </c>
      <c r="AA228">
        <f>IF(SCTR_Brokers[[#This Row],[Fecha_Informe]]="",0,1)</f>
        <v>0</v>
      </c>
      <c r="AB228">
        <f>IF(AND(SCTR_Brokers[[#This Row],[Fecha_Solic_Informe]]&lt;&gt;"",SCTR_Brokers[[#This Row],[Fecha_Informe]]=""),1,0)</f>
        <v>0</v>
      </c>
      <c r="AC22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29" spans="1:29" hidden="1">
      <c r="A229" t="s">
        <v>290</v>
      </c>
      <c r="C229" t="str">
        <f>IF(SCTR_Brokers[[#This Row],[FechaRecepcion]]="","",SCTR_Brokers[[#This Row],[ConversationId]]&amp;"-"&amp;TEXT(SCTR_Brokers[[#This Row],[FechaRecepcion]],"aaaammddhhmmss"))</f>
        <v>AAQkADdkNThjNzFkLWM0ZmMtNDJhYS04MDVlLTIwNzE4ZDI1Mzg4YgAQAEbTQReuW042kCg9PSeh_fA=-20260907092045</v>
      </c>
      <c r="D229" t="s">
        <v>522</v>
      </c>
      <c r="E229" t="s">
        <v>21</v>
      </c>
      <c r="F229" s="3">
        <v>46272.389409722222</v>
      </c>
      <c r="G229" s="3">
        <v>46272.467881944445</v>
      </c>
      <c r="H229" t="s">
        <v>70</v>
      </c>
      <c r="I229" t="s">
        <v>7</v>
      </c>
      <c r="K229" t="s">
        <v>138</v>
      </c>
      <c r="L229" s="10" t="s">
        <v>523</v>
      </c>
      <c r="N22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29" s="3">
        <v>46272.466585648152</v>
      </c>
      <c r="P229" s="3"/>
      <c r="Q229" s="3">
        <v>46272.467881944445</v>
      </c>
      <c r="R22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29" t="str">
        <f>IF(SCTR_Brokers[[#This Row],[FechaRecepcion]]="","",TEXT(SCTR_Brokers[[#This Row],[FechaRecepcion]],"mmmm")&amp;" "&amp;YEAR(SCTR_Brokers[[#This Row],[FechaRecepcion]]))</f>
        <v>septiembre 2026</v>
      </c>
      <c r="U229">
        <f>IF(SCTR_Brokers[[#This Row],[Estado]]="FINALIZADO",1,0)</f>
        <v>1</v>
      </c>
      <c r="V229">
        <f>IF(SCTR_Brokers[[#This Row],[FechaRecepcion]]="","",IF(SCTR_Brokers[[#This Row],[Estado]]="FINALIZADO",0,1))</f>
        <v>0</v>
      </c>
      <c r="W229">
        <f ca="1">IF(AND(SCTR_Brokers[[#This Row],[Estado]]="FINALIZADO",SCTR_Brokers[[#This Row],[Plazo]]=LISTAS!$J$3),1,0)</f>
        <v>1</v>
      </c>
      <c r="X229">
        <f ca="1">IF(AND(SCTR_Brokers[[#This Row],[Estado]]="FINALIZADO",SCTR_Brokers[[#This Row],[Plazo]]=LISTAS!$J$4),1,0)</f>
        <v>0</v>
      </c>
      <c r="Y229">
        <f ca="1">IF(AND(SCTR_Brokers[[#This Row],[Estado]]&lt;&gt;"FINALIZADO",SCTR_Brokers[[#This Row],[Plazo]]=LISTAS!$J$4),1,0)</f>
        <v>0</v>
      </c>
      <c r="Z229">
        <f>IF(SCTR_Brokers[[#This Row],[Fecha_Solic_Informe]]="",0,1)</f>
        <v>1</v>
      </c>
      <c r="AA229">
        <f>IF(SCTR_Brokers[[#This Row],[Fecha_Informe]]="",0,1)</f>
        <v>0</v>
      </c>
      <c r="AB229">
        <f>IF(AND(SCTR_Brokers[[#This Row],[Fecha_Solic_Informe]]&lt;&gt;"",SCTR_Brokers[[#This Row],[Fecha_Informe]]=""),1,0)</f>
        <v>1</v>
      </c>
      <c r="AC22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30" spans="1:29" hidden="1">
      <c r="A230" t="s">
        <v>524</v>
      </c>
      <c r="C230" t="str">
        <f>IF(SCTR_Brokers[[#This Row],[FechaRecepcion]]="","",SCTR_Brokers[[#This Row],[ConversationId]]&amp;"-"&amp;TEXT(SCTR_Brokers[[#This Row],[FechaRecepcion]],"aaaammddhhmmss"))</f>
        <v>AAQkADdkNThjNzFkLWM0ZmMtNDJhYS04MDVlLTIwNzE4ZDI1Mzg4YgAQAM-Y5nA3B59FsBLOCBpksxc=-20260907095137</v>
      </c>
      <c r="D230" t="s">
        <v>525</v>
      </c>
      <c r="E230" t="s">
        <v>20</v>
      </c>
      <c r="F230" s="3">
        <v>46272.410844907405</v>
      </c>
      <c r="G230" s="3">
        <v>46272.477754629632</v>
      </c>
      <c r="H230" t="s">
        <v>70</v>
      </c>
      <c r="I230" t="s">
        <v>7</v>
      </c>
      <c r="K230" t="s">
        <v>67</v>
      </c>
      <c r="L230" s="10"/>
      <c r="N23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30" s="3"/>
      <c r="P230" s="3"/>
      <c r="Q230" s="3">
        <v>46272.477754629632</v>
      </c>
      <c r="R23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30" t="str">
        <f>IF(SCTR_Brokers[[#This Row],[FechaRecepcion]]="","",TEXT(SCTR_Brokers[[#This Row],[FechaRecepcion]],"mmmm")&amp;" "&amp;YEAR(SCTR_Brokers[[#This Row],[FechaRecepcion]]))</f>
        <v>septiembre 2026</v>
      </c>
      <c r="U230">
        <f>IF(SCTR_Brokers[[#This Row],[Estado]]="FINALIZADO",1,0)</f>
        <v>1</v>
      </c>
      <c r="V230">
        <f>IF(SCTR_Brokers[[#This Row],[FechaRecepcion]]="","",IF(SCTR_Brokers[[#This Row],[Estado]]="FINALIZADO",0,1))</f>
        <v>0</v>
      </c>
      <c r="W230">
        <f ca="1">IF(AND(SCTR_Brokers[[#This Row],[Estado]]="FINALIZADO",SCTR_Brokers[[#This Row],[Plazo]]=LISTAS!$J$3),1,0)</f>
        <v>1</v>
      </c>
      <c r="X230">
        <f ca="1">IF(AND(SCTR_Brokers[[#This Row],[Estado]]="FINALIZADO",SCTR_Brokers[[#This Row],[Plazo]]=LISTAS!$J$4),1,0)</f>
        <v>0</v>
      </c>
      <c r="Y230">
        <f ca="1">IF(AND(SCTR_Brokers[[#This Row],[Estado]]&lt;&gt;"FINALIZADO",SCTR_Brokers[[#This Row],[Plazo]]=LISTAS!$J$4),1,0)</f>
        <v>0</v>
      </c>
      <c r="Z230">
        <f>IF(SCTR_Brokers[[#This Row],[Fecha_Solic_Informe]]="",0,1)</f>
        <v>0</v>
      </c>
      <c r="AA230">
        <f>IF(SCTR_Brokers[[#This Row],[Fecha_Informe]]="",0,1)</f>
        <v>0</v>
      </c>
      <c r="AB230">
        <f>IF(AND(SCTR_Brokers[[#This Row],[Fecha_Solic_Informe]]&lt;&gt;"",SCTR_Brokers[[#This Row],[Fecha_Informe]]=""),1,0)</f>
        <v>0</v>
      </c>
      <c r="AC23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31" spans="1:29" hidden="1">
      <c r="A231" t="s">
        <v>500</v>
      </c>
      <c r="C231" t="str">
        <f>IF(SCTR_Brokers[[#This Row],[FechaRecepcion]]="","",SCTR_Brokers[[#This Row],[ConversationId]]&amp;"-"&amp;TEXT(SCTR_Brokers[[#This Row],[FechaRecepcion]],"aaaammddhhmmss"))</f>
        <v>AAQkADdkNThjNzFkLWM0ZmMtNDJhYS04MDVlLTIwNzE4ZDI1Mzg4YgAQABAXPgF1bUZZvXVk1Pw5yQg=-20260907100836</v>
      </c>
      <c r="D231" t="s">
        <v>526</v>
      </c>
      <c r="E231" t="s">
        <v>23</v>
      </c>
      <c r="F231" s="3">
        <v>46272.422638888886</v>
      </c>
      <c r="G231" s="3">
        <v>46272.422638888886</v>
      </c>
      <c r="H231" t="s">
        <v>325</v>
      </c>
      <c r="I231" t="s">
        <v>7</v>
      </c>
      <c r="K231" t="s">
        <v>67</v>
      </c>
      <c r="L231" s="10"/>
      <c r="N23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31" s="3"/>
      <c r="P231" s="3"/>
      <c r="Q231" s="3"/>
      <c r="R23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231" t="str">
        <f>IF(SCTR_Brokers[[#This Row],[FechaRecepcion]]="","",TEXT(SCTR_Brokers[[#This Row],[FechaRecepcion]],"mmmm")&amp;" "&amp;YEAR(SCTR_Brokers[[#This Row],[FechaRecepcion]]))</f>
        <v>septiembre 2026</v>
      </c>
      <c r="U231">
        <f>IF(SCTR_Brokers[[#This Row],[Estado]]="FINALIZADO",1,0)</f>
        <v>1</v>
      </c>
      <c r="V231">
        <f>IF(SCTR_Brokers[[#This Row],[FechaRecepcion]]="","",IF(SCTR_Brokers[[#This Row],[Estado]]="FINALIZADO",0,1))</f>
        <v>0</v>
      </c>
      <c r="W231">
        <f ca="1">IF(AND(SCTR_Brokers[[#This Row],[Estado]]="FINALIZADO",SCTR_Brokers[[#This Row],[Plazo]]=LISTAS!$J$3),1,0)</f>
        <v>0</v>
      </c>
      <c r="X231">
        <f ca="1">IF(AND(SCTR_Brokers[[#This Row],[Estado]]="FINALIZADO",SCTR_Brokers[[#This Row],[Plazo]]=LISTAS!$J$4),1,0)</f>
        <v>1</v>
      </c>
      <c r="Y231">
        <f ca="1">IF(AND(SCTR_Brokers[[#This Row],[Estado]]&lt;&gt;"FINALIZADO",SCTR_Brokers[[#This Row],[Plazo]]=LISTAS!$J$4),1,0)</f>
        <v>0</v>
      </c>
      <c r="Z231">
        <f>IF(SCTR_Brokers[[#This Row],[Fecha_Solic_Informe]]="",0,1)</f>
        <v>0</v>
      </c>
      <c r="AA231">
        <f>IF(SCTR_Brokers[[#This Row],[Fecha_Informe]]="",0,1)</f>
        <v>0</v>
      </c>
      <c r="AB231">
        <f>IF(AND(SCTR_Brokers[[#This Row],[Fecha_Solic_Informe]]&lt;&gt;"",SCTR_Brokers[[#This Row],[Fecha_Informe]]=""),1,0)</f>
        <v>0</v>
      </c>
      <c r="AC23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32" spans="1:29" hidden="1">
      <c r="A232" t="s">
        <v>527</v>
      </c>
      <c r="C232" t="str">
        <f>IF(SCTR_Brokers[[#This Row],[FechaRecepcion]]="","",SCTR_Brokers[[#This Row],[ConversationId]]&amp;"-"&amp;TEXT(SCTR_Brokers[[#This Row],[FechaRecepcion]],"aaaammddhhmmss"))</f>
        <v>AAQkADdkNThjNzFkLWM0ZmMtNDJhYS04MDVlLTIwNzE4ZDI1Mzg4YgAQAB7zkSsH2aJPl899FJrBQuA=-20260907101402</v>
      </c>
      <c r="D232" t="s">
        <v>528</v>
      </c>
      <c r="E232" t="s">
        <v>23</v>
      </c>
      <c r="F232" s="3">
        <v>46272.426412037035</v>
      </c>
      <c r="G232" s="3">
        <v>46272.452650462961</v>
      </c>
      <c r="H232" t="s">
        <v>200</v>
      </c>
      <c r="I232" t="s">
        <v>7</v>
      </c>
      <c r="J232" t="s">
        <v>201</v>
      </c>
      <c r="K232" t="s">
        <v>67</v>
      </c>
      <c r="L232" s="10"/>
      <c r="N23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32" s="3"/>
      <c r="P232" s="3"/>
      <c r="Q232" s="3">
        <v>46272.452650462961</v>
      </c>
      <c r="R23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32" t="str">
        <f>IF(SCTR_Brokers[[#This Row],[FechaRecepcion]]="","",TEXT(SCTR_Brokers[[#This Row],[FechaRecepcion]],"mmmm")&amp;" "&amp;YEAR(SCTR_Brokers[[#This Row],[FechaRecepcion]]))</f>
        <v>septiembre 2026</v>
      </c>
      <c r="U232">
        <f>IF(SCTR_Brokers[[#This Row],[Estado]]="FINALIZADO",1,0)</f>
        <v>1</v>
      </c>
      <c r="V232">
        <f>IF(SCTR_Brokers[[#This Row],[FechaRecepcion]]="","",IF(SCTR_Brokers[[#This Row],[Estado]]="FINALIZADO",0,1))</f>
        <v>0</v>
      </c>
      <c r="W232">
        <f ca="1">IF(AND(SCTR_Brokers[[#This Row],[Estado]]="FINALIZADO",SCTR_Brokers[[#This Row],[Plazo]]=LISTAS!$J$3),1,0)</f>
        <v>1</v>
      </c>
      <c r="X232">
        <f ca="1">IF(AND(SCTR_Brokers[[#This Row],[Estado]]="FINALIZADO",SCTR_Brokers[[#This Row],[Plazo]]=LISTAS!$J$4),1,0)</f>
        <v>0</v>
      </c>
      <c r="Y232">
        <f ca="1">IF(AND(SCTR_Brokers[[#This Row],[Estado]]&lt;&gt;"FINALIZADO",SCTR_Brokers[[#This Row],[Plazo]]=LISTAS!$J$4),1,0)</f>
        <v>0</v>
      </c>
      <c r="Z232">
        <f>IF(SCTR_Brokers[[#This Row],[Fecha_Solic_Informe]]="",0,1)</f>
        <v>0</v>
      </c>
      <c r="AA232">
        <f>IF(SCTR_Brokers[[#This Row],[Fecha_Informe]]="",0,1)</f>
        <v>0</v>
      </c>
      <c r="AB232">
        <f>IF(AND(SCTR_Brokers[[#This Row],[Fecha_Solic_Informe]]&lt;&gt;"",SCTR_Brokers[[#This Row],[Fecha_Informe]]=""),1,0)</f>
        <v>0</v>
      </c>
      <c r="AC23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33" spans="1:29" hidden="1">
      <c r="A233" t="s">
        <v>529</v>
      </c>
      <c r="C233" t="str">
        <f>IF(SCTR_Brokers[[#This Row],[FechaRecepcion]]="","",SCTR_Brokers[[#This Row],[ConversationId]]&amp;"-"&amp;TEXT(SCTR_Brokers[[#This Row],[FechaRecepcion]],"aaaammddhhmmss"))</f>
        <v>AAQkADdkNThjNzFkLWM0ZmMtNDJhYS04MDVlLTIwNzE4ZDI1Mzg4YgAQALC4XeZfqQZOlv3rS0zHoxY=-20260907101914</v>
      </c>
      <c r="D233" t="s">
        <v>530</v>
      </c>
      <c r="E233" t="s">
        <v>14</v>
      </c>
      <c r="F233" s="3">
        <v>46272.430023148147</v>
      </c>
      <c r="G233" s="3">
        <v>46272.469780092593</v>
      </c>
      <c r="H233" t="s">
        <v>70</v>
      </c>
      <c r="I233" t="s">
        <v>7</v>
      </c>
      <c r="K233" t="s">
        <v>67</v>
      </c>
      <c r="L233" s="10"/>
      <c r="N23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33" s="3"/>
      <c r="P233" s="3"/>
      <c r="Q233" s="3">
        <v>46272.469780092593</v>
      </c>
      <c r="R23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33" t="str">
        <f>IF(SCTR_Brokers[[#This Row],[FechaRecepcion]]="","",TEXT(SCTR_Brokers[[#This Row],[FechaRecepcion]],"mmmm")&amp;" "&amp;YEAR(SCTR_Brokers[[#This Row],[FechaRecepcion]]))</f>
        <v>septiembre 2026</v>
      </c>
      <c r="U233">
        <f>IF(SCTR_Brokers[[#This Row],[Estado]]="FINALIZADO",1,0)</f>
        <v>1</v>
      </c>
      <c r="V233">
        <f>IF(SCTR_Brokers[[#This Row],[FechaRecepcion]]="","",IF(SCTR_Brokers[[#This Row],[Estado]]="FINALIZADO",0,1))</f>
        <v>0</v>
      </c>
      <c r="W233">
        <f ca="1">IF(AND(SCTR_Brokers[[#This Row],[Estado]]="FINALIZADO",SCTR_Brokers[[#This Row],[Plazo]]=LISTAS!$J$3),1,0)</f>
        <v>1</v>
      </c>
      <c r="X233">
        <f ca="1">IF(AND(SCTR_Brokers[[#This Row],[Estado]]="FINALIZADO",SCTR_Brokers[[#This Row],[Plazo]]=LISTAS!$J$4),1,0)</f>
        <v>0</v>
      </c>
      <c r="Y233">
        <f ca="1">IF(AND(SCTR_Brokers[[#This Row],[Estado]]&lt;&gt;"FINALIZADO",SCTR_Brokers[[#This Row],[Plazo]]=LISTAS!$J$4),1,0)</f>
        <v>0</v>
      </c>
      <c r="Z233">
        <f>IF(SCTR_Brokers[[#This Row],[Fecha_Solic_Informe]]="",0,1)</f>
        <v>0</v>
      </c>
      <c r="AA233">
        <f>IF(SCTR_Brokers[[#This Row],[Fecha_Informe]]="",0,1)</f>
        <v>0</v>
      </c>
      <c r="AB233">
        <f>IF(AND(SCTR_Brokers[[#This Row],[Fecha_Solic_Informe]]&lt;&gt;"",SCTR_Brokers[[#This Row],[Fecha_Informe]]=""),1,0)</f>
        <v>0</v>
      </c>
      <c r="AC23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34" spans="1:29" hidden="1">
      <c r="A234" t="s">
        <v>531</v>
      </c>
      <c r="C234" t="str">
        <f>IF(SCTR_Brokers[[#This Row],[FechaRecepcion]]="","",SCTR_Brokers[[#This Row],[ConversationId]]&amp;"-"&amp;TEXT(SCTR_Brokers[[#This Row],[FechaRecepcion]],"aaaammddhhmmss"))</f>
        <v>AAQkADdkNThjNzFkLWM0ZmMtNDJhYS04MDVlLTIwNzE4ZDI1Mzg4YgAQAK0wzmSJP01zufAHXP7kewk=-20260907102328</v>
      </c>
      <c r="D234" t="s">
        <v>532</v>
      </c>
      <c r="E234" t="s">
        <v>20</v>
      </c>
      <c r="F234" s="3">
        <v>46272.432962962965</v>
      </c>
      <c r="G234" s="3">
        <v>46272.478495370371</v>
      </c>
      <c r="H234" t="s">
        <v>70</v>
      </c>
      <c r="I234" t="s">
        <v>7</v>
      </c>
      <c r="K234" t="s">
        <v>67</v>
      </c>
      <c r="L234" s="10"/>
      <c r="N23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34" s="3"/>
      <c r="P234" s="3"/>
      <c r="Q234" s="3">
        <v>46272.478495370371</v>
      </c>
      <c r="R23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34" t="str">
        <f>IF(SCTR_Brokers[[#This Row],[FechaRecepcion]]="","",TEXT(SCTR_Brokers[[#This Row],[FechaRecepcion]],"mmmm")&amp;" "&amp;YEAR(SCTR_Brokers[[#This Row],[FechaRecepcion]]))</f>
        <v>septiembre 2026</v>
      </c>
      <c r="U234">
        <f>IF(SCTR_Brokers[[#This Row],[Estado]]="FINALIZADO",1,0)</f>
        <v>1</v>
      </c>
      <c r="V234">
        <f>IF(SCTR_Brokers[[#This Row],[FechaRecepcion]]="","",IF(SCTR_Brokers[[#This Row],[Estado]]="FINALIZADO",0,1))</f>
        <v>0</v>
      </c>
      <c r="W234">
        <f ca="1">IF(AND(SCTR_Brokers[[#This Row],[Estado]]="FINALIZADO",SCTR_Brokers[[#This Row],[Plazo]]=LISTAS!$J$3),1,0)</f>
        <v>1</v>
      </c>
      <c r="X234">
        <f ca="1">IF(AND(SCTR_Brokers[[#This Row],[Estado]]="FINALIZADO",SCTR_Brokers[[#This Row],[Plazo]]=LISTAS!$J$4),1,0)</f>
        <v>0</v>
      </c>
      <c r="Y234">
        <f ca="1">IF(AND(SCTR_Brokers[[#This Row],[Estado]]&lt;&gt;"FINALIZADO",SCTR_Brokers[[#This Row],[Plazo]]=LISTAS!$J$4),1,0)</f>
        <v>0</v>
      </c>
      <c r="Z234">
        <f>IF(SCTR_Brokers[[#This Row],[Fecha_Solic_Informe]]="",0,1)</f>
        <v>0</v>
      </c>
      <c r="AA234">
        <f>IF(SCTR_Brokers[[#This Row],[Fecha_Informe]]="",0,1)</f>
        <v>0</v>
      </c>
      <c r="AB234">
        <f>IF(AND(SCTR_Brokers[[#This Row],[Fecha_Solic_Informe]]&lt;&gt;"",SCTR_Brokers[[#This Row],[Fecha_Informe]]=""),1,0)</f>
        <v>0</v>
      </c>
      <c r="AC23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35" spans="1:29" hidden="1">
      <c r="A235" t="s">
        <v>533</v>
      </c>
      <c r="C235" t="str">
        <f>IF(SCTR_Brokers[[#This Row],[FechaRecepcion]]="","",SCTR_Brokers[[#This Row],[ConversationId]]&amp;"-"&amp;TEXT(SCTR_Brokers[[#This Row],[FechaRecepcion]],"aaaammddhhmmss"))</f>
        <v>AAQkADdkNThjNzFkLWM0ZmMtNDJhYS04MDVlLTIwNzE4ZDI1Mzg4YgAQACLJ97TcwUvwrTnNsLUIxxo=-20260907102657</v>
      </c>
      <c r="D235" t="s">
        <v>534</v>
      </c>
      <c r="E235" t="s">
        <v>14</v>
      </c>
      <c r="F235" s="3">
        <v>46272.435381944444</v>
      </c>
      <c r="G235" s="3">
        <v>46272.463599537034</v>
      </c>
      <c r="H235" t="s">
        <v>70</v>
      </c>
      <c r="I235" t="s">
        <v>7</v>
      </c>
      <c r="K235" t="s">
        <v>67</v>
      </c>
      <c r="L235" s="10"/>
      <c r="N23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35" s="3"/>
      <c r="P235" s="3"/>
      <c r="Q235" s="3">
        <v>46272.463599537034</v>
      </c>
      <c r="R23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35" t="str">
        <f>IF(SCTR_Brokers[[#This Row],[FechaRecepcion]]="","",TEXT(SCTR_Brokers[[#This Row],[FechaRecepcion]],"mmmm")&amp;" "&amp;YEAR(SCTR_Brokers[[#This Row],[FechaRecepcion]]))</f>
        <v>septiembre 2026</v>
      </c>
      <c r="U235">
        <f>IF(SCTR_Brokers[[#This Row],[Estado]]="FINALIZADO",1,0)</f>
        <v>1</v>
      </c>
      <c r="V235">
        <f>IF(SCTR_Brokers[[#This Row],[FechaRecepcion]]="","",IF(SCTR_Brokers[[#This Row],[Estado]]="FINALIZADO",0,1))</f>
        <v>0</v>
      </c>
      <c r="W235">
        <f ca="1">IF(AND(SCTR_Brokers[[#This Row],[Estado]]="FINALIZADO",SCTR_Brokers[[#This Row],[Plazo]]=LISTAS!$J$3),1,0)</f>
        <v>1</v>
      </c>
      <c r="X235">
        <f ca="1">IF(AND(SCTR_Brokers[[#This Row],[Estado]]="FINALIZADO",SCTR_Brokers[[#This Row],[Plazo]]=LISTAS!$J$4),1,0)</f>
        <v>0</v>
      </c>
      <c r="Y235">
        <f ca="1">IF(AND(SCTR_Brokers[[#This Row],[Estado]]&lt;&gt;"FINALIZADO",SCTR_Brokers[[#This Row],[Plazo]]=LISTAS!$J$4),1,0)</f>
        <v>0</v>
      </c>
      <c r="Z235">
        <f>IF(SCTR_Brokers[[#This Row],[Fecha_Solic_Informe]]="",0,1)</f>
        <v>0</v>
      </c>
      <c r="AA235">
        <f>IF(SCTR_Brokers[[#This Row],[Fecha_Informe]]="",0,1)</f>
        <v>0</v>
      </c>
      <c r="AB235">
        <f>IF(AND(SCTR_Brokers[[#This Row],[Fecha_Solic_Informe]]&lt;&gt;"",SCTR_Brokers[[#This Row],[Fecha_Informe]]=""),1,0)</f>
        <v>0</v>
      </c>
      <c r="AC23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36" spans="1:29" hidden="1">
      <c r="A236" t="s">
        <v>497</v>
      </c>
      <c r="C236" t="str">
        <f>IF(SCTR_Brokers[[#This Row],[FechaRecepcion]]="","",SCTR_Brokers[[#This Row],[ConversationId]]&amp;"-"&amp;TEXT(SCTR_Brokers[[#This Row],[FechaRecepcion]],"aaaammddhhmmss"))</f>
        <v>AAQkADdkNThjNzFkLWM0ZmMtNDJhYS04MDVlLTIwNzE4ZDI1Mzg4YgAQAN4d70GmzEZagq4YZlw1uCc=-20260907103535</v>
      </c>
      <c r="D236" t="s">
        <v>535</v>
      </c>
      <c r="E236" t="s">
        <v>23</v>
      </c>
      <c r="F236" s="3">
        <v>46272.441377314812</v>
      </c>
      <c r="G236" s="3">
        <v>46272.444548611114</v>
      </c>
      <c r="H236" t="s">
        <v>70</v>
      </c>
      <c r="I236" t="s">
        <v>7</v>
      </c>
      <c r="K236" t="s">
        <v>138</v>
      </c>
      <c r="L236" s="10" t="s">
        <v>536</v>
      </c>
      <c r="N23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36" s="3">
        <v>46272.444236111114</v>
      </c>
      <c r="P236" s="3"/>
      <c r="Q236" s="3">
        <v>46272.444548611114</v>
      </c>
      <c r="R23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36" t="str">
        <f>IF(SCTR_Brokers[[#This Row],[FechaRecepcion]]="","",TEXT(SCTR_Brokers[[#This Row],[FechaRecepcion]],"mmmm")&amp;" "&amp;YEAR(SCTR_Brokers[[#This Row],[FechaRecepcion]]))</f>
        <v>septiembre 2026</v>
      </c>
      <c r="U236">
        <f>IF(SCTR_Brokers[[#This Row],[Estado]]="FINALIZADO",1,0)</f>
        <v>1</v>
      </c>
      <c r="V236">
        <f>IF(SCTR_Brokers[[#This Row],[FechaRecepcion]]="","",IF(SCTR_Brokers[[#This Row],[Estado]]="FINALIZADO",0,1))</f>
        <v>0</v>
      </c>
      <c r="W236">
        <f ca="1">IF(AND(SCTR_Brokers[[#This Row],[Estado]]="FINALIZADO",SCTR_Brokers[[#This Row],[Plazo]]=LISTAS!$J$3),1,0)</f>
        <v>1</v>
      </c>
      <c r="X236">
        <f ca="1">IF(AND(SCTR_Brokers[[#This Row],[Estado]]="FINALIZADO",SCTR_Brokers[[#This Row],[Plazo]]=LISTAS!$J$4),1,0)</f>
        <v>0</v>
      </c>
      <c r="Y236">
        <f ca="1">IF(AND(SCTR_Brokers[[#This Row],[Estado]]&lt;&gt;"FINALIZADO",SCTR_Brokers[[#This Row],[Plazo]]=LISTAS!$J$4),1,0)</f>
        <v>0</v>
      </c>
      <c r="Z236">
        <f>IF(SCTR_Brokers[[#This Row],[Fecha_Solic_Informe]]="",0,1)</f>
        <v>1</v>
      </c>
      <c r="AA236">
        <f>IF(SCTR_Brokers[[#This Row],[Fecha_Informe]]="",0,1)</f>
        <v>0</v>
      </c>
      <c r="AB236">
        <f>IF(AND(SCTR_Brokers[[#This Row],[Fecha_Solic_Informe]]&lt;&gt;"",SCTR_Brokers[[#This Row],[Fecha_Informe]]=""),1,0)</f>
        <v>1</v>
      </c>
      <c r="AC23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37" spans="1:29" hidden="1">
      <c r="A237" t="s">
        <v>537</v>
      </c>
      <c r="C237" t="str">
        <f>IF(SCTR_Brokers[[#This Row],[FechaRecepcion]]="","",SCTR_Brokers[[#This Row],[ConversationId]]&amp;"-"&amp;TEXT(SCTR_Brokers[[#This Row],[FechaRecepcion]],"aaaammddhhmmss"))</f>
        <v>AAQkADdkNThjNzFkLWM0ZmMtNDJhYS04MDVlLTIwNzE4ZDI1Mzg4YgAQAJSX3ESCIkUjr6quC2B8a98=-20260907104829</v>
      </c>
      <c r="D237" t="s">
        <v>538</v>
      </c>
      <c r="E237" t="s">
        <v>21</v>
      </c>
      <c r="F237" s="3">
        <v>46272.450335648151</v>
      </c>
      <c r="G237" s="3">
        <v>46272.464467592596</v>
      </c>
      <c r="H237" t="s">
        <v>70</v>
      </c>
      <c r="I237" t="s">
        <v>7</v>
      </c>
      <c r="K237" t="s">
        <v>67</v>
      </c>
      <c r="L237" s="10"/>
      <c r="N23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37" s="3"/>
      <c r="P237" s="3"/>
      <c r="Q237" s="3">
        <v>46272.464467592596</v>
      </c>
      <c r="R23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37" t="str">
        <f>IF(SCTR_Brokers[[#This Row],[FechaRecepcion]]="","",TEXT(SCTR_Brokers[[#This Row],[FechaRecepcion]],"mmmm")&amp;" "&amp;YEAR(SCTR_Brokers[[#This Row],[FechaRecepcion]]))</f>
        <v>septiembre 2026</v>
      </c>
      <c r="U237">
        <f>IF(SCTR_Brokers[[#This Row],[Estado]]="FINALIZADO",1,0)</f>
        <v>1</v>
      </c>
      <c r="V237">
        <f>IF(SCTR_Brokers[[#This Row],[FechaRecepcion]]="","",IF(SCTR_Brokers[[#This Row],[Estado]]="FINALIZADO",0,1))</f>
        <v>0</v>
      </c>
      <c r="W237">
        <f ca="1">IF(AND(SCTR_Brokers[[#This Row],[Estado]]="FINALIZADO",SCTR_Brokers[[#This Row],[Plazo]]=LISTAS!$J$3),1,0)</f>
        <v>1</v>
      </c>
      <c r="X237">
        <f ca="1">IF(AND(SCTR_Brokers[[#This Row],[Estado]]="FINALIZADO",SCTR_Brokers[[#This Row],[Plazo]]=LISTAS!$J$4),1,0)</f>
        <v>0</v>
      </c>
      <c r="Y237">
        <f ca="1">IF(AND(SCTR_Brokers[[#This Row],[Estado]]&lt;&gt;"FINALIZADO",SCTR_Brokers[[#This Row],[Plazo]]=LISTAS!$J$4),1,0)</f>
        <v>0</v>
      </c>
      <c r="Z237">
        <f>IF(SCTR_Brokers[[#This Row],[Fecha_Solic_Informe]]="",0,1)</f>
        <v>0</v>
      </c>
      <c r="AA237">
        <f>IF(SCTR_Brokers[[#This Row],[Fecha_Informe]]="",0,1)</f>
        <v>0</v>
      </c>
      <c r="AB237">
        <f>IF(AND(SCTR_Brokers[[#This Row],[Fecha_Solic_Informe]]&lt;&gt;"",SCTR_Brokers[[#This Row],[Fecha_Informe]]=""),1,0)</f>
        <v>0</v>
      </c>
      <c r="AC23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38" spans="1:29" hidden="1">
      <c r="A238" t="s">
        <v>486</v>
      </c>
      <c r="C238" t="str">
        <f>IF(SCTR_Brokers[[#This Row],[FechaRecepcion]]="","",SCTR_Brokers[[#This Row],[ConversationId]]&amp;"-"&amp;TEXT(SCTR_Brokers[[#This Row],[FechaRecepcion]],"aaaammddhhmmss"))</f>
        <v>AAQkADdkNThjNzFkLWM0ZmMtNDJhYS04MDVlLTIwNzE4ZDI1Mzg4YgAQAGEzBaL9HU0vu0mdV6Av77w=-20260907110137</v>
      </c>
      <c r="D238" t="s">
        <v>539</v>
      </c>
      <c r="E238" t="s">
        <v>8</v>
      </c>
      <c r="F238" s="3">
        <v>46272.459456018521</v>
      </c>
      <c r="G238" s="3">
        <v>46272.643043981479</v>
      </c>
      <c r="H238" t="s">
        <v>217</v>
      </c>
      <c r="I238" t="s">
        <v>7</v>
      </c>
      <c r="J238" t="s">
        <v>218</v>
      </c>
      <c r="K238" t="s">
        <v>67</v>
      </c>
      <c r="L238" s="10"/>
      <c r="N23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38" s="3"/>
      <c r="P238" s="3"/>
      <c r="Q238" s="3">
        <v>46272.643043981479</v>
      </c>
      <c r="R23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38" t="str">
        <f>IF(SCTR_Brokers[[#This Row],[FechaRecepcion]]="","",TEXT(SCTR_Brokers[[#This Row],[FechaRecepcion]],"mmmm")&amp;" "&amp;YEAR(SCTR_Brokers[[#This Row],[FechaRecepcion]]))</f>
        <v>septiembre 2026</v>
      </c>
      <c r="U238">
        <f>IF(SCTR_Brokers[[#This Row],[Estado]]="FINALIZADO",1,0)</f>
        <v>1</v>
      </c>
      <c r="V238">
        <f>IF(SCTR_Brokers[[#This Row],[FechaRecepcion]]="","",IF(SCTR_Brokers[[#This Row],[Estado]]="FINALIZADO",0,1))</f>
        <v>0</v>
      </c>
      <c r="W238">
        <f ca="1">IF(AND(SCTR_Brokers[[#This Row],[Estado]]="FINALIZADO",SCTR_Brokers[[#This Row],[Plazo]]=LISTAS!$J$3),1,0)</f>
        <v>1</v>
      </c>
      <c r="X238">
        <f ca="1">IF(AND(SCTR_Brokers[[#This Row],[Estado]]="FINALIZADO",SCTR_Brokers[[#This Row],[Plazo]]=LISTAS!$J$4),1,0)</f>
        <v>0</v>
      </c>
      <c r="Y238">
        <f ca="1">IF(AND(SCTR_Brokers[[#This Row],[Estado]]&lt;&gt;"FINALIZADO",SCTR_Brokers[[#This Row],[Plazo]]=LISTAS!$J$4),1,0)</f>
        <v>0</v>
      </c>
      <c r="Z238">
        <f>IF(SCTR_Brokers[[#This Row],[Fecha_Solic_Informe]]="",0,1)</f>
        <v>0</v>
      </c>
      <c r="AA238">
        <f>IF(SCTR_Brokers[[#This Row],[Fecha_Informe]]="",0,1)</f>
        <v>0</v>
      </c>
      <c r="AB238">
        <f>IF(AND(SCTR_Brokers[[#This Row],[Fecha_Solic_Informe]]&lt;&gt;"",SCTR_Brokers[[#This Row],[Fecha_Informe]]=""),1,0)</f>
        <v>0</v>
      </c>
      <c r="AC23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39" spans="1:29" hidden="1">
      <c r="A239" t="s">
        <v>540</v>
      </c>
      <c r="C239" t="str">
        <f>IF(SCTR_Brokers[[#This Row],[FechaRecepcion]]="","",SCTR_Brokers[[#This Row],[ConversationId]]&amp;"-"&amp;TEXT(SCTR_Brokers[[#This Row],[FechaRecepcion]],"aaaammddhhmmss"))</f>
        <v>AAQkADdkNThjNzFkLWM0ZmMtNDJhYS04MDVlLTIwNzE4ZDI1Mzg4YgAQAMNd7qVWTkp3jdXx2W5L1AI=-20260907113531</v>
      </c>
      <c r="D239" t="s">
        <v>541</v>
      </c>
      <c r="E239" t="s">
        <v>21</v>
      </c>
      <c r="F239" s="3">
        <v>46272.482997685183</v>
      </c>
      <c r="G239" s="3">
        <v>46272.669942129629</v>
      </c>
      <c r="H239" t="s">
        <v>70</v>
      </c>
      <c r="I239" t="s">
        <v>7</v>
      </c>
      <c r="K239" t="s">
        <v>67</v>
      </c>
      <c r="L239" s="10"/>
      <c r="N23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39" s="3"/>
      <c r="P239" s="3"/>
      <c r="Q239" s="3">
        <v>46272.669942129629</v>
      </c>
      <c r="R23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39" t="str">
        <f>IF(SCTR_Brokers[[#This Row],[FechaRecepcion]]="","",TEXT(SCTR_Brokers[[#This Row],[FechaRecepcion]],"mmmm")&amp;" "&amp;YEAR(SCTR_Brokers[[#This Row],[FechaRecepcion]]))</f>
        <v>septiembre 2026</v>
      </c>
      <c r="U239">
        <f>IF(SCTR_Brokers[[#This Row],[Estado]]="FINALIZADO",1,0)</f>
        <v>1</v>
      </c>
      <c r="V239">
        <f>IF(SCTR_Brokers[[#This Row],[FechaRecepcion]]="","",IF(SCTR_Brokers[[#This Row],[Estado]]="FINALIZADO",0,1))</f>
        <v>0</v>
      </c>
      <c r="W239">
        <f ca="1">IF(AND(SCTR_Brokers[[#This Row],[Estado]]="FINALIZADO",SCTR_Brokers[[#This Row],[Plazo]]=LISTAS!$J$3),1,0)</f>
        <v>1</v>
      </c>
      <c r="X239">
        <f ca="1">IF(AND(SCTR_Brokers[[#This Row],[Estado]]="FINALIZADO",SCTR_Brokers[[#This Row],[Plazo]]=LISTAS!$J$4),1,0)</f>
        <v>0</v>
      </c>
      <c r="Y239">
        <f ca="1">IF(AND(SCTR_Brokers[[#This Row],[Estado]]&lt;&gt;"FINALIZADO",SCTR_Brokers[[#This Row],[Plazo]]=LISTAS!$J$4),1,0)</f>
        <v>0</v>
      </c>
      <c r="Z239">
        <f>IF(SCTR_Brokers[[#This Row],[Fecha_Solic_Informe]]="",0,1)</f>
        <v>0</v>
      </c>
      <c r="AA239">
        <f>IF(SCTR_Brokers[[#This Row],[Fecha_Informe]]="",0,1)</f>
        <v>0</v>
      </c>
      <c r="AB239">
        <f>IF(AND(SCTR_Brokers[[#This Row],[Fecha_Solic_Informe]]&lt;&gt;"",SCTR_Brokers[[#This Row],[Fecha_Informe]]=""),1,0)</f>
        <v>0</v>
      </c>
      <c r="AC23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40" spans="1:29" hidden="1">
      <c r="A240" t="s">
        <v>542</v>
      </c>
      <c r="C240" t="str">
        <f>IF(SCTR_Brokers[[#This Row],[FechaRecepcion]]="","",SCTR_Brokers[[#This Row],[ConversationId]]&amp;"-"&amp;TEXT(SCTR_Brokers[[#This Row],[FechaRecepcion]],"aaaammddhhmmss"))</f>
        <v>AAQkADdkNThjNzFkLWM0ZmMtNDJhYS04MDVlLTIwNzE4ZDI1Mzg4YgAQAARNxjhZrmxNtBqsvB_7zDc=-20260907114853</v>
      </c>
      <c r="D240" t="s">
        <v>543</v>
      </c>
      <c r="E240" t="s">
        <v>21</v>
      </c>
      <c r="F240" s="3">
        <v>46272.492280092592</v>
      </c>
      <c r="G240" s="3">
        <v>46272.537187499998</v>
      </c>
      <c r="H240" t="s">
        <v>70</v>
      </c>
      <c r="I240" t="s">
        <v>7</v>
      </c>
      <c r="K240" t="s">
        <v>67</v>
      </c>
      <c r="L240" s="10"/>
      <c r="N24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40" s="3"/>
      <c r="P240" s="3"/>
      <c r="Q240" s="3">
        <v>46272.537187499998</v>
      </c>
      <c r="R24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40" t="str">
        <f>IF(SCTR_Brokers[[#This Row],[FechaRecepcion]]="","",TEXT(SCTR_Brokers[[#This Row],[FechaRecepcion]],"mmmm")&amp;" "&amp;YEAR(SCTR_Brokers[[#This Row],[FechaRecepcion]]))</f>
        <v>septiembre 2026</v>
      </c>
      <c r="U240">
        <f>IF(SCTR_Brokers[[#This Row],[Estado]]="FINALIZADO",1,0)</f>
        <v>1</v>
      </c>
      <c r="V240">
        <f>IF(SCTR_Brokers[[#This Row],[FechaRecepcion]]="","",IF(SCTR_Brokers[[#This Row],[Estado]]="FINALIZADO",0,1))</f>
        <v>0</v>
      </c>
      <c r="W240">
        <f ca="1">IF(AND(SCTR_Brokers[[#This Row],[Estado]]="FINALIZADO",SCTR_Brokers[[#This Row],[Plazo]]=LISTAS!$J$3),1,0)</f>
        <v>1</v>
      </c>
      <c r="X240">
        <f ca="1">IF(AND(SCTR_Brokers[[#This Row],[Estado]]="FINALIZADO",SCTR_Brokers[[#This Row],[Plazo]]=LISTAS!$J$4),1,0)</f>
        <v>0</v>
      </c>
      <c r="Y240">
        <f ca="1">IF(AND(SCTR_Brokers[[#This Row],[Estado]]&lt;&gt;"FINALIZADO",SCTR_Brokers[[#This Row],[Plazo]]=LISTAS!$J$4),1,0)</f>
        <v>0</v>
      </c>
      <c r="Z240">
        <f>IF(SCTR_Brokers[[#This Row],[Fecha_Solic_Informe]]="",0,1)</f>
        <v>0</v>
      </c>
      <c r="AA240">
        <f>IF(SCTR_Brokers[[#This Row],[Fecha_Informe]]="",0,1)</f>
        <v>0</v>
      </c>
      <c r="AB240">
        <f>IF(AND(SCTR_Brokers[[#This Row],[Fecha_Solic_Informe]]&lt;&gt;"",SCTR_Brokers[[#This Row],[Fecha_Informe]]=""),1,0)</f>
        <v>0</v>
      </c>
      <c r="AC24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41" spans="1:29" hidden="1">
      <c r="A241" t="s">
        <v>544</v>
      </c>
      <c r="C241" t="str">
        <f>IF(SCTR_Brokers[[#This Row],[FechaRecepcion]]="","",SCTR_Brokers[[#This Row],[ConversationId]]&amp;"-"&amp;TEXT(SCTR_Brokers[[#This Row],[FechaRecepcion]],"aaaammddhhmmss"))</f>
        <v>AAQkADdkNThjNzFkLWM0ZmMtNDJhYS04MDVlLTIwNzE4ZDI1Mzg4YgAQALR4emG9W0OTkyS836-y-eY=-20260907114915</v>
      </c>
      <c r="D241" t="s">
        <v>545</v>
      </c>
      <c r="E241" t="s">
        <v>21</v>
      </c>
      <c r="F241" s="3">
        <v>46272.492534722223</v>
      </c>
      <c r="G241" s="3">
        <v>46272.67087962963</v>
      </c>
      <c r="H241" t="s">
        <v>70</v>
      </c>
      <c r="I241" t="s">
        <v>7</v>
      </c>
      <c r="K241" t="s">
        <v>67</v>
      </c>
      <c r="L241" s="10"/>
      <c r="N24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41" s="3"/>
      <c r="P241" s="3"/>
      <c r="Q241" s="3">
        <v>46272.67087962963</v>
      </c>
      <c r="R24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41" t="str">
        <f>IF(SCTR_Brokers[[#This Row],[FechaRecepcion]]="","",TEXT(SCTR_Brokers[[#This Row],[FechaRecepcion]],"mmmm")&amp;" "&amp;YEAR(SCTR_Brokers[[#This Row],[FechaRecepcion]]))</f>
        <v>septiembre 2026</v>
      </c>
      <c r="U241">
        <f>IF(SCTR_Brokers[[#This Row],[Estado]]="FINALIZADO",1,0)</f>
        <v>1</v>
      </c>
      <c r="V241">
        <f>IF(SCTR_Brokers[[#This Row],[FechaRecepcion]]="","",IF(SCTR_Brokers[[#This Row],[Estado]]="FINALIZADO",0,1))</f>
        <v>0</v>
      </c>
      <c r="W241">
        <f ca="1">IF(AND(SCTR_Brokers[[#This Row],[Estado]]="FINALIZADO",SCTR_Brokers[[#This Row],[Plazo]]=LISTAS!$J$3),1,0)</f>
        <v>1</v>
      </c>
      <c r="X241">
        <f ca="1">IF(AND(SCTR_Brokers[[#This Row],[Estado]]="FINALIZADO",SCTR_Brokers[[#This Row],[Plazo]]=LISTAS!$J$4),1,0)</f>
        <v>0</v>
      </c>
      <c r="Y241">
        <f ca="1">IF(AND(SCTR_Brokers[[#This Row],[Estado]]&lt;&gt;"FINALIZADO",SCTR_Brokers[[#This Row],[Plazo]]=LISTAS!$J$4),1,0)</f>
        <v>0</v>
      </c>
      <c r="Z241">
        <f>IF(SCTR_Brokers[[#This Row],[Fecha_Solic_Informe]]="",0,1)</f>
        <v>0</v>
      </c>
      <c r="AA241">
        <f>IF(SCTR_Brokers[[#This Row],[Fecha_Informe]]="",0,1)</f>
        <v>0</v>
      </c>
      <c r="AB241">
        <f>IF(AND(SCTR_Brokers[[#This Row],[Fecha_Solic_Informe]]&lt;&gt;"",SCTR_Brokers[[#This Row],[Fecha_Informe]]=""),1,0)</f>
        <v>0</v>
      </c>
      <c r="AC24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42" spans="1:29" hidden="1">
      <c r="A242" t="s">
        <v>82</v>
      </c>
      <c r="C242" t="str">
        <f>IF(SCTR_Brokers[[#This Row],[FechaRecepcion]]="","",SCTR_Brokers[[#This Row],[ConversationId]]&amp;"-"&amp;TEXT(SCTR_Brokers[[#This Row],[FechaRecepcion]],"aaaammddhhmmss"))</f>
        <v>AAQkADdkNThjNzFkLWM0ZmMtNDJhYS04MDVlLTIwNzE4ZDI1Mzg4YgAQAEvkGJ0JTE4hpm6yW1eczK8=-20260907121223</v>
      </c>
      <c r="D242" t="s">
        <v>419</v>
      </c>
      <c r="E242" t="s">
        <v>20</v>
      </c>
      <c r="F242" s="3">
        <v>46272.508599537039</v>
      </c>
      <c r="G242" s="3">
        <v>46274.493842592594</v>
      </c>
      <c r="H242" t="s">
        <v>546</v>
      </c>
      <c r="I242" t="s">
        <v>7</v>
      </c>
      <c r="K242" t="s">
        <v>67</v>
      </c>
      <c r="L242" s="10"/>
      <c r="N24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42" s="3"/>
      <c r="P242" s="3"/>
      <c r="Q242" s="3">
        <v>46274.767361111109</v>
      </c>
      <c r="R24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242" t="str">
        <f>IF(SCTR_Brokers[[#This Row],[FechaRecepcion]]="","",TEXT(SCTR_Brokers[[#This Row],[FechaRecepcion]],"mmmm")&amp;" "&amp;YEAR(SCTR_Brokers[[#This Row],[FechaRecepcion]]))</f>
        <v>septiembre 2026</v>
      </c>
      <c r="U242">
        <f>IF(SCTR_Brokers[[#This Row],[Estado]]="FINALIZADO",1,0)</f>
        <v>1</v>
      </c>
      <c r="V242">
        <f>IF(SCTR_Brokers[[#This Row],[FechaRecepcion]]="","",IF(SCTR_Brokers[[#This Row],[Estado]]="FINALIZADO",0,1))</f>
        <v>0</v>
      </c>
      <c r="W242">
        <f ca="1">IF(AND(SCTR_Brokers[[#This Row],[Estado]]="FINALIZADO",SCTR_Brokers[[#This Row],[Plazo]]=LISTAS!$J$3),1,0)</f>
        <v>0</v>
      </c>
      <c r="X242">
        <f ca="1">IF(AND(SCTR_Brokers[[#This Row],[Estado]]="FINALIZADO",SCTR_Brokers[[#This Row],[Plazo]]=LISTAS!$J$4),1,0)</f>
        <v>1</v>
      </c>
      <c r="Y242">
        <f ca="1">IF(AND(SCTR_Brokers[[#This Row],[Estado]]&lt;&gt;"FINALIZADO",SCTR_Brokers[[#This Row],[Plazo]]=LISTAS!$J$4),1,0)</f>
        <v>0</v>
      </c>
      <c r="Z242">
        <f>IF(SCTR_Brokers[[#This Row],[Fecha_Solic_Informe]]="",0,1)</f>
        <v>0</v>
      </c>
      <c r="AA242">
        <f>IF(SCTR_Brokers[[#This Row],[Fecha_Informe]]="",0,1)</f>
        <v>0</v>
      </c>
      <c r="AB242">
        <f>IF(AND(SCTR_Brokers[[#This Row],[Fecha_Solic_Informe]]&lt;&gt;"",SCTR_Brokers[[#This Row],[Fecha_Informe]]=""),1,0)</f>
        <v>0</v>
      </c>
      <c r="AC24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43" spans="1:29" hidden="1">
      <c r="A243" t="s">
        <v>512</v>
      </c>
      <c r="C243" t="str">
        <f>IF(SCTR_Brokers[[#This Row],[FechaRecepcion]]="","",SCTR_Brokers[[#This Row],[ConversationId]]&amp;"-"&amp;TEXT(SCTR_Brokers[[#This Row],[FechaRecepcion]],"aaaammddhhmmss"))</f>
        <v>AAQkADdkNThjNzFkLWM0ZmMtNDJhYS04MDVlLTIwNzE4ZDI1Mzg4YgAQAAQml9jiGvBHhMCdeFNpQ4Y=-20260907134446</v>
      </c>
      <c r="D243" t="s">
        <v>515</v>
      </c>
      <c r="E243" t="s">
        <v>21</v>
      </c>
      <c r="F243" s="3">
        <v>46272.572754629633</v>
      </c>
      <c r="G243" s="3">
        <v>46272.572754629633</v>
      </c>
      <c r="H243" t="s">
        <v>424</v>
      </c>
      <c r="I243" t="s">
        <v>7</v>
      </c>
      <c r="K243" t="s">
        <v>67</v>
      </c>
      <c r="L243" s="10"/>
      <c r="N24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43" s="3"/>
      <c r="P243" s="3"/>
      <c r="Q243" s="3"/>
      <c r="R24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243" t="str">
        <f>IF(SCTR_Brokers[[#This Row],[FechaRecepcion]]="","",TEXT(SCTR_Brokers[[#This Row],[FechaRecepcion]],"mmmm")&amp;" "&amp;YEAR(SCTR_Brokers[[#This Row],[FechaRecepcion]]))</f>
        <v>septiembre 2026</v>
      </c>
      <c r="U243">
        <f>IF(SCTR_Brokers[[#This Row],[Estado]]="FINALIZADO",1,0)</f>
        <v>1</v>
      </c>
      <c r="V243">
        <f>IF(SCTR_Brokers[[#This Row],[FechaRecepcion]]="","",IF(SCTR_Brokers[[#This Row],[Estado]]="FINALIZADO",0,1))</f>
        <v>0</v>
      </c>
      <c r="W243">
        <f ca="1">IF(AND(SCTR_Brokers[[#This Row],[Estado]]="FINALIZADO",SCTR_Brokers[[#This Row],[Plazo]]=LISTAS!$J$3),1,0)</f>
        <v>0</v>
      </c>
      <c r="X243">
        <f ca="1">IF(AND(SCTR_Brokers[[#This Row],[Estado]]="FINALIZADO",SCTR_Brokers[[#This Row],[Plazo]]=LISTAS!$J$4),1,0)</f>
        <v>1</v>
      </c>
      <c r="Y243">
        <f ca="1">IF(AND(SCTR_Brokers[[#This Row],[Estado]]&lt;&gt;"FINALIZADO",SCTR_Brokers[[#This Row],[Plazo]]=LISTAS!$J$4),1,0)</f>
        <v>0</v>
      </c>
      <c r="Z243">
        <f>IF(SCTR_Brokers[[#This Row],[Fecha_Solic_Informe]]="",0,1)</f>
        <v>0</v>
      </c>
      <c r="AA243">
        <f>IF(SCTR_Brokers[[#This Row],[Fecha_Informe]]="",0,1)</f>
        <v>0</v>
      </c>
      <c r="AB243">
        <f>IF(AND(SCTR_Brokers[[#This Row],[Fecha_Solic_Informe]]&lt;&gt;"",SCTR_Brokers[[#This Row],[Fecha_Informe]]=""),1,0)</f>
        <v>0</v>
      </c>
      <c r="AC24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44" spans="1:29" hidden="1">
      <c r="A244" t="s">
        <v>520</v>
      </c>
      <c r="C244" t="str">
        <f>IF(SCTR_Brokers[[#This Row],[FechaRecepcion]]="","",SCTR_Brokers[[#This Row],[ConversationId]]&amp;"-"&amp;TEXT(SCTR_Brokers[[#This Row],[FechaRecepcion]],"aaaammddhhmmss"))</f>
        <v>AAQkADdkNThjNzFkLWM0ZmMtNDJhYS04MDVlLTIwNzE4ZDI1Mzg4YgAQAOYs7TfesaJBgNl863kYJDg=-20260907135609</v>
      </c>
      <c r="D244" t="s">
        <v>547</v>
      </c>
      <c r="E244" t="s">
        <v>14</v>
      </c>
      <c r="F244" s="3">
        <v>46272.580659722225</v>
      </c>
      <c r="G244" s="3">
        <v>46272.581759259258</v>
      </c>
      <c r="H244" t="s">
        <v>217</v>
      </c>
      <c r="I244" t="s">
        <v>7</v>
      </c>
      <c r="J244" t="s">
        <v>218</v>
      </c>
      <c r="K244" t="s">
        <v>67</v>
      </c>
      <c r="L244" s="10"/>
      <c r="N24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44" s="3"/>
      <c r="P244" s="3"/>
      <c r="Q244" s="3">
        <v>46272.581759259258</v>
      </c>
      <c r="R24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44" t="str">
        <f>IF(SCTR_Brokers[[#This Row],[FechaRecepcion]]="","",TEXT(SCTR_Brokers[[#This Row],[FechaRecepcion]],"mmmm")&amp;" "&amp;YEAR(SCTR_Brokers[[#This Row],[FechaRecepcion]]))</f>
        <v>septiembre 2026</v>
      </c>
      <c r="U244">
        <f>IF(SCTR_Brokers[[#This Row],[Estado]]="FINALIZADO",1,0)</f>
        <v>1</v>
      </c>
      <c r="V244">
        <f>IF(SCTR_Brokers[[#This Row],[FechaRecepcion]]="","",IF(SCTR_Brokers[[#This Row],[Estado]]="FINALIZADO",0,1))</f>
        <v>0</v>
      </c>
      <c r="W244">
        <f ca="1">IF(AND(SCTR_Brokers[[#This Row],[Estado]]="FINALIZADO",SCTR_Brokers[[#This Row],[Plazo]]=LISTAS!$J$3),1,0)</f>
        <v>1</v>
      </c>
      <c r="X244">
        <f ca="1">IF(AND(SCTR_Brokers[[#This Row],[Estado]]="FINALIZADO",SCTR_Brokers[[#This Row],[Plazo]]=LISTAS!$J$4),1,0)</f>
        <v>0</v>
      </c>
      <c r="Y244">
        <f ca="1">IF(AND(SCTR_Brokers[[#This Row],[Estado]]&lt;&gt;"FINALIZADO",SCTR_Brokers[[#This Row],[Plazo]]=LISTAS!$J$4),1,0)</f>
        <v>0</v>
      </c>
      <c r="Z244">
        <f>IF(SCTR_Brokers[[#This Row],[Fecha_Solic_Informe]]="",0,1)</f>
        <v>0</v>
      </c>
      <c r="AA244">
        <f>IF(SCTR_Brokers[[#This Row],[Fecha_Informe]]="",0,1)</f>
        <v>0</v>
      </c>
      <c r="AB244">
        <f>IF(AND(SCTR_Brokers[[#This Row],[Fecha_Solic_Informe]]&lt;&gt;"",SCTR_Brokers[[#This Row],[Fecha_Informe]]=""),1,0)</f>
        <v>0</v>
      </c>
      <c r="AC24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45" spans="1:29" hidden="1">
      <c r="A245" t="s">
        <v>290</v>
      </c>
      <c r="C245" t="str">
        <f>IF(SCTR_Brokers[[#This Row],[FechaRecepcion]]="","",SCTR_Brokers[[#This Row],[ConversationId]]&amp;"-"&amp;TEXT(SCTR_Brokers[[#This Row],[FechaRecepcion]],"aaaammddhhmmss"))</f>
        <v>AAQkADdkNThjNzFkLWM0ZmMtNDJhYS04MDVlLTIwNzE4ZDI1Mzg4YgAQAEbTQReuW042kCg9PSeh_fA=-20260907150412</v>
      </c>
      <c r="D245" t="s">
        <v>522</v>
      </c>
      <c r="E245" t="s">
        <v>21</v>
      </c>
      <c r="F245" s="3">
        <v>46272.627916666665</v>
      </c>
      <c r="G245" s="3">
        <v>46272.658125000002</v>
      </c>
      <c r="H245" t="s">
        <v>217</v>
      </c>
      <c r="I245" t="s">
        <v>7</v>
      </c>
      <c r="J245" t="s">
        <v>218</v>
      </c>
      <c r="K245" t="s">
        <v>67</v>
      </c>
      <c r="L245" s="10"/>
      <c r="N24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45" s="3"/>
      <c r="P245" s="3"/>
      <c r="Q245" s="3">
        <v>46272.658125000002</v>
      </c>
      <c r="R24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45" t="str">
        <f>IF(SCTR_Brokers[[#This Row],[FechaRecepcion]]="","",TEXT(SCTR_Brokers[[#This Row],[FechaRecepcion]],"mmmm")&amp;" "&amp;YEAR(SCTR_Brokers[[#This Row],[FechaRecepcion]]))</f>
        <v>septiembre 2026</v>
      </c>
      <c r="U245">
        <f>IF(SCTR_Brokers[[#This Row],[Estado]]="FINALIZADO",1,0)</f>
        <v>1</v>
      </c>
      <c r="V245">
        <f>IF(SCTR_Brokers[[#This Row],[FechaRecepcion]]="","",IF(SCTR_Brokers[[#This Row],[Estado]]="FINALIZADO",0,1))</f>
        <v>0</v>
      </c>
      <c r="W245">
        <f ca="1">IF(AND(SCTR_Brokers[[#This Row],[Estado]]="FINALIZADO",SCTR_Brokers[[#This Row],[Plazo]]=LISTAS!$J$3),1,0)</f>
        <v>1</v>
      </c>
      <c r="X245">
        <f ca="1">IF(AND(SCTR_Brokers[[#This Row],[Estado]]="FINALIZADO",SCTR_Brokers[[#This Row],[Plazo]]=LISTAS!$J$4),1,0)</f>
        <v>0</v>
      </c>
      <c r="Y245">
        <f ca="1">IF(AND(SCTR_Brokers[[#This Row],[Estado]]&lt;&gt;"FINALIZADO",SCTR_Brokers[[#This Row],[Plazo]]=LISTAS!$J$4),1,0)</f>
        <v>0</v>
      </c>
      <c r="Z245">
        <f>IF(SCTR_Brokers[[#This Row],[Fecha_Solic_Informe]]="",0,1)</f>
        <v>0</v>
      </c>
      <c r="AA245">
        <f>IF(SCTR_Brokers[[#This Row],[Fecha_Informe]]="",0,1)</f>
        <v>0</v>
      </c>
      <c r="AB245">
        <f>IF(AND(SCTR_Brokers[[#This Row],[Fecha_Solic_Informe]]&lt;&gt;"",SCTR_Brokers[[#This Row],[Fecha_Informe]]=""),1,0)</f>
        <v>0</v>
      </c>
      <c r="AC24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46" spans="1:29" hidden="1">
      <c r="A246" t="s">
        <v>448</v>
      </c>
      <c r="C246" t="str">
        <f>IF(SCTR_Brokers[[#This Row],[FechaRecepcion]]="","",SCTR_Brokers[[#This Row],[ConversationId]]&amp;"-"&amp;TEXT(SCTR_Brokers[[#This Row],[FechaRecepcion]],"aaaammddhhmmss"))</f>
        <v>AAQkADdkNThjNzFkLWM0ZmMtNDJhYS04MDVlLTIwNzE4ZDI1Mzg4YgAQAJqQhLs-76FHu2KhHodLdLk=-20260907161820</v>
      </c>
      <c r="D246" t="s">
        <v>514</v>
      </c>
      <c r="E246" t="s">
        <v>23</v>
      </c>
      <c r="F246" s="3">
        <v>46272.679398148146</v>
      </c>
      <c r="G246" s="3">
        <v>46274.655648148146</v>
      </c>
      <c r="H246" t="s">
        <v>144</v>
      </c>
      <c r="I246" t="s">
        <v>7</v>
      </c>
      <c r="K246" t="s">
        <v>67</v>
      </c>
      <c r="L246" s="10"/>
      <c r="N24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46" s="3"/>
      <c r="P246" s="3"/>
      <c r="Q246" s="3">
        <v>46274.757638888892</v>
      </c>
      <c r="R24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246" t="str">
        <f>IF(SCTR_Brokers[[#This Row],[FechaRecepcion]]="","",TEXT(SCTR_Brokers[[#This Row],[FechaRecepcion]],"mmmm")&amp;" "&amp;YEAR(SCTR_Brokers[[#This Row],[FechaRecepcion]]))</f>
        <v>septiembre 2026</v>
      </c>
      <c r="U246">
        <f>IF(SCTR_Brokers[[#This Row],[Estado]]="FINALIZADO",1,0)</f>
        <v>1</v>
      </c>
      <c r="V246">
        <f>IF(SCTR_Brokers[[#This Row],[FechaRecepcion]]="","",IF(SCTR_Brokers[[#This Row],[Estado]]="FINALIZADO",0,1))</f>
        <v>0</v>
      </c>
      <c r="W246">
        <f ca="1">IF(AND(SCTR_Brokers[[#This Row],[Estado]]="FINALIZADO",SCTR_Brokers[[#This Row],[Plazo]]=LISTAS!$J$3),1,0)</f>
        <v>0</v>
      </c>
      <c r="X246">
        <f ca="1">IF(AND(SCTR_Brokers[[#This Row],[Estado]]="FINALIZADO",SCTR_Brokers[[#This Row],[Plazo]]=LISTAS!$J$4),1,0)</f>
        <v>1</v>
      </c>
      <c r="Y246">
        <f ca="1">IF(AND(SCTR_Brokers[[#This Row],[Estado]]&lt;&gt;"FINALIZADO",SCTR_Brokers[[#This Row],[Plazo]]=LISTAS!$J$4),1,0)</f>
        <v>0</v>
      </c>
      <c r="Z246">
        <f>IF(SCTR_Brokers[[#This Row],[Fecha_Solic_Informe]]="",0,1)</f>
        <v>0</v>
      </c>
      <c r="AA246">
        <f>IF(SCTR_Brokers[[#This Row],[Fecha_Informe]]="",0,1)</f>
        <v>0</v>
      </c>
      <c r="AB246">
        <f>IF(AND(SCTR_Brokers[[#This Row],[Fecha_Solic_Informe]]&lt;&gt;"",SCTR_Brokers[[#This Row],[Fecha_Informe]]=""),1,0)</f>
        <v>0</v>
      </c>
      <c r="AC24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47" spans="1:29" hidden="1">
      <c r="A247" t="s">
        <v>548</v>
      </c>
      <c r="C247" t="str">
        <f>IF(SCTR_Brokers[[#This Row],[FechaRecepcion]]="","",SCTR_Brokers[[#This Row],[ConversationId]]&amp;"-"&amp;TEXT(SCTR_Brokers[[#This Row],[FechaRecepcion]],"aaaammddhhmmss"))</f>
        <v>AAQkADdkNThjNzFkLWM0ZmMtNDJhYS04MDVlLTIwNzE4ZDI1Mzg4YgAQANzCEbr_AkE6muMxIXomTj4=-20260907164118</v>
      </c>
      <c r="D247" t="s">
        <v>549</v>
      </c>
      <c r="E247" t="s">
        <v>8</v>
      </c>
      <c r="F247" s="3">
        <v>46272.695347222223</v>
      </c>
      <c r="G247" s="3">
        <v>46272.71670138889</v>
      </c>
      <c r="H247" t="s">
        <v>70</v>
      </c>
      <c r="I247" t="s">
        <v>7</v>
      </c>
      <c r="J247" t="s">
        <v>550</v>
      </c>
      <c r="K247" t="s">
        <v>67</v>
      </c>
      <c r="L247" s="10" t="s">
        <v>551</v>
      </c>
      <c r="M247" t="s">
        <v>16</v>
      </c>
      <c r="N24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47" s="3">
        <v>46272.702604166669</v>
      </c>
      <c r="P247" s="3">
        <v>46272.708958333336</v>
      </c>
      <c r="Q247" s="3">
        <v>46272.71670138889</v>
      </c>
      <c r="R24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47" t="str">
        <f>IF(SCTR_Brokers[[#This Row],[FechaRecepcion]]="","",TEXT(SCTR_Brokers[[#This Row],[FechaRecepcion]],"mmmm")&amp;" "&amp;YEAR(SCTR_Brokers[[#This Row],[FechaRecepcion]]))</f>
        <v>septiembre 2026</v>
      </c>
      <c r="U247">
        <f>IF(SCTR_Brokers[[#This Row],[Estado]]="FINALIZADO",1,0)</f>
        <v>1</v>
      </c>
      <c r="V247">
        <f>IF(SCTR_Brokers[[#This Row],[FechaRecepcion]]="","",IF(SCTR_Brokers[[#This Row],[Estado]]="FINALIZADO",0,1))</f>
        <v>0</v>
      </c>
      <c r="W247">
        <f ca="1">IF(AND(SCTR_Brokers[[#This Row],[Estado]]="FINALIZADO",SCTR_Brokers[[#This Row],[Plazo]]=LISTAS!$J$3),1,0)</f>
        <v>1</v>
      </c>
      <c r="X247">
        <f ca="1">IF(AND(SCTR_Brokers[[#This Row],[Estado]]="FINALIZADO",SCTR_Brokers[[#This Row],[Plazo]]=LISTAS!$J$4),1,0)</f>
        <v>0</v>
      </c>
      <c r="Y247">
        <f ca="1">IF(AND(SCTR_Brokers[[#This Row],[Estado]]&lt;&gt;"FINALIZADO",SCTR_Brokers[[#This Row],[Plazo]]=LISTAS!$J$4),1,0)</f>
        <v>0</v>
      </c>
      <c r="Z247">
        <f>IF(SCTR_Brokers[[#This Row],[Fecha_Solic_Informe]]="",0,1)</f>
        <v>1</v>
      </c>
      <c r="AA247">
        <f>IF(SCTR_Brokers[[#This Row],[Fecha_Informe]]="",0,1)</f>
        <v>1</v>
      </c>
      <c r="AB247">
        <f>IF(AND(SCTR_Brokers[[#This Row],[Fecha_Solic_Informe]]&lt;&gt;"",SCTR_Brokers[[#This Row],[Fecha_Informe]]=""),1,0)</f>
        <v>0</v>
      </c>
      <c r="AC247">
        <f>IF(AND(SCTR_Brokers[[#This Row],[Fecha_Solic_Informe]]&lt;&gt;"",SCTR_Brokers[[#This Row],[Fecha_Informe]]&lt;&gt;""),ROUND((SCTR_Brokers[[#This Row],[Fecha_Informe]]-SCTR_Brokers[[#This Row],[Fecha_Solic_Informe]])*24,1),"")</f>
        <v>0.2</v>
      </c>
    </row>
    <row r="248" spans="1:29" hidden="1">
      <c r="A248" t="s">
        <v>552</v>
      </c>
      <c r="C248" t="str">
        <f>IF(SCTR_Brokers[[#This Row],[FechaRecepcion]]="","",SCTR_Brokers[[#This Row],[ConversationId]]&amp;"-"&amp;TEXT(SCTR_Brokers[[#This Row],[FechaRecepcion]],"aaaammddhhmmss"))</f>
        <v>AAQkADdkNThjNzFkLWM0ZmMtNDJhYS04MDVlLTIwNzE4ZDI1Mzg4YgAQADKCA1rVWPREnXWzDE1PDUc=-20260908110203</v>
      </c>
      <c r="D248" t="s">
        <v>553</v>
      </c>
      <c r="E248" t="s">
        <v>21</v>
      </c>
      <c r="F248" s="3">
        <v>46273.459756944445</v>
      </c>
      <c r="G248" s="3">
        <v>46273.476087962961</v>
      </c>
      <c r="H248" t="s">
        <v>70</v>
      </c>
      <c r="I248" t="s">
        <v>7</v>
      </c>
      <c r="K248" t="s">
        <v>67</v>
      </c>
      <c r="L248" s="10"/>
      <c r="N24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48" s="3"/>
      <c r="P248" s="3"/>
      <c r="Q248" s="3">
        <v>46273.476087962961</v>
      </c>
      <c r="R24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48" t="str">
        <f>IF(SCTR_Brokers[[#This Row],[FechaRecepcion]]="","",TEXT(SCTR_Brokers[[#This Row],[FechaRecepcion]],"mmmm")&amp;" "&amp;YEAR(SCTR_Brokers[[#This Row],[FechaRecepcion]]))</f>
        <v>septiembre 2026</v>
      </c>
      <c r="U248">
        <f>IF(SCTR_Brokers[[#This Row],[Estado]]="FINALIZADO",1,0)</f>
        <v>1</v>
      </c>
      <c r="V248">
        <f>IF(SCTR_Brokers[[#This Row],[FechaRecepcion]]="","",IF(SCTR_Brokers[[#This Row],[Estado]]="FINALIZADO",0,1))</f>
        <v>0</v>
      </c>
      <c r="W248">
        <f ca="1">IF(AND(SCTR_Brokers[[#This Row],[Estado]]="FINALIZADO",SCTR_Brokers[[#This Row],[Plazo]]=LISTAS!$J$3),1,0)</f>
        <v>1</v>
      </c>
      <c r="X248">
        <f ca="1">IF(AND(SCTR_Brokers[[#This Row],[Estado]]="FINALIZADO",SCTR_Brokers[[#This Row],[Plazo]]=LISTAS!$J$4),1,0)</f>
        <v>0</v>
      </c>
      <c r="Y248">
        <f ca="1">IF(AND(SCTR_Brokers[[#This Row],[Estado]]&lt;&gt;"FINALIZADO",SCTR_Brokers[[#This Row],[Plazo]]=LISTAS!$J$4),1,0)</f>
        <v>0</v>
      </c>
      <c r="Z248">
        <f>IF(SCTR_Brokers[[#This Row],[Fecha_Solic_Informe]]="",0,1)</f>
        <v>0</v>
      </c>
      <c r="AA248">
        <f>IF(SCTR_Brokers[[#This Row],[Fecha_Informe]]="",0,1)</f>
        <v>0</v>
      </c>
      <c r="AB248">
        <f>IF(AND(SCTR_Brokers[[#This Row],[Fecha_Solic_Informe]]&lt;&gt;"",SCTR_Brokers[[#This Row],[Fecha_Informe]]=""),1,0)</f>
        <v>0</v>
      </c>
      <c r="AC24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49" spans="1:29" hidden="1">
      <c r="A249" t="s">
        <v>554</v>
      </c>
      <c r="C249" t="str">
        <f>IF(SCTR_Brokers[[#This Row],[FechaRecepcion]]="","",SCTR_Brokers[[#This Row],[ConversationId]]&amp;"-"&amp;TEXT(SCTR_Brokers[[#This Row],[FechaRecepcion]],"aaaammddhhmmss"))</f>
        <v>AAQkADdkNThjNzFkLWM0ZmMtNDJhYS04MDVlLTIwNzE4ZDI1Mzg4YgAQABIo4eszS0f9rVCJdE4qfxs=-20260908112139</v>
      </c>
      <c r="D249" t="s">
        <v>555</v>
      </c>
      <c r="E249" t="s">
        <v>21</v>
      </c>
      <c r="F249" s="3">
        <v>46273.473368055558</v>
      </c>
      <c r="G249" s="3">
        <v>46273.492881944447</v>
      </c>
      <c r="H249" t="s">
        <v>70</v>
      </c>
      <c r="I249" t="s">
        <v>7</v>
      </c>
      <c r="K249" t="s">
        <v>67</v>
      </c>
      <c r="L249" s="10"/>
      <c r="N24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49" s="3"/>
      <c r="P249" s="3"/>
      <c r="Q249" s="3">
        <v>46273.492881944447</v>
      </c>
      <c r="R24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49" t="str">
        <f>IF(SCTR_Brokers[[#This Row],[FechaRecepcion]]="","",TEXT(SCTR_Brokers[[#This Row],[FechaRecepcion]],"mmmm")&amp;" "&amp;YEAR(SCTR_Brokers[[#This Row],[FechaRecepcion]]))</f>
        <v>septiembre 2026</v>
      </c>
      <c r="U249">
        <f>IF(SCTR_Brokers[[#This Row],[Estado]]="FINALIZADO",1,0)</f>
        <v>1</v>
      </c>
      <c r="V249">
        <f>IF(SCTR_Brokers[[#This Row],[FechaRecepcion]]="","",IF(SCTR_Brokers[[#This Row],[Estado]]="FINALIZADO",0,1))</f>
        <v>0</v>
      </c>
      <c r="W249">
        <f ca="1">IF(AND(SCTR_Brokers[[#This Row],[Estado]]="FINALIZADO",SCTR_Brokers[[#This Row],[Plazo]]=LISTAS!$J$3),1,0)</f>
        <v>1</v>
      </c>
      <c r="X249">
        <f ca="1">IF(AND(SCTR_Brokers[[#This Row],[Estado]]="FINALIZADO",SCTR_Brokers[[#This Row],[Plazo]]=LISTAS!$J$4),1,0)</f>
        <v>0</v>
      </c>
      <c r="Y249">
        <f ca="1">IF(AND(SCTR_Brokers[[#This Row],[Estado]]&lt;&gt;"FINALIZADO",SCTR_Brokers[[#This Row],[Plazo]]=LISTAS!$J$4),1,0)</f>
        <v>0</v>
      </c>
      <c r="Z249">
        <f>IF(SCTR_Brokers[[#This Row],[Fecha_Solic_Informe]]="",0,1)</f>
        <v>0</v>
      </c>
      <c r="AA249">
        <f>IF(SCTR_Brokers[[#This Row],[Fecha_Informe]]="",0,1)</f>
        <v>0</v>
      </c>
      <c r="AB249">
        <f>IF(AND(SCTR_Brokers[[#This Row],[Fecha_Solic_Informe]]&lt;&gt;"",SCTR_Brokers[[#This Row],[Fecha_Informe]]=""),1,0)</f>
        <v>0</v>
      </c>
      <c r="AC24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50" spans="1:29" hidden="1">
      <c r="A250" t="s">
        <v>554</v>
      </c>
      <c r="C250" t="str">
        <f>IF(SCTR_Brokers[[#This Row],[FechaRecepcion]]="","",SCTR_Brokers[[#This Row],[ConversationId]]&amp;"-"&amp;TEXT(SCTR_Brokers[[#This Row],[FechaRecepcion]],"aaaammddhhmmss"))</f>
        <v>AAQkADdkNThjNzFkLWM0ZmMtNDJhYS04MDVlLTIwNzE4ZDI1Mzg4YgAQABIo4eszS0f9rVCJdE4qfxs=-20260908115244</v>
      </c>
      <c r="D250" t="s">
        <v>556</v>
      </c>
      <c r="E250" t="s">
        <v>21</v>
      </c>
      <c r="F250" s="3">
        <v>46273.494953703703</v>
      </c>
      <c r="G250" s="3">
        <v>46273.625104166669</v>
      </c>
      <c r="H250" t="s">
        <v>70</v>
      </c>
      <c r="I250" t="s">
        <v>7</v>
      </c>
      <c r="K250" t="s">
        <v>67</v>
      </c>
      <c r="L250" s="10"/>
      <c r="N25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50" s="3"/>
      <c r="P250" s="3"/>
      <c r="Q250" s="3">
        <v>46273.625104166669</v>
      </c>
      <c r="R25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50" t="str">
        <f>IF(SCTR_Brokers[[#This Row],[FechaRecepcion]]="","",TEXT(SCTR_Brokers[[#This Row],[FechaRecepcion]],"mmmm")&amp;" "&amp;YEAR(SCTR_Brokers[[#This Row],[FechaRecepcion]]))</f>
        <v>septiembre 2026</v>
      </c>
      <c r="U250">
        <f>IF(SCTR_Brokers[[#This Row],[Estado]]="FINALIZADO",1,0)</f>
        <v>1</v>
      </c>
      <c r="V250">
        <f>IF(SCTR_Brokers[[#This Row],[FechaRecepcion]]="","",IF(SCTR_Brokers[[#This Row],[Estado]]="FINALIZADO",0,1))</f>
        <v>0</v>
      </c>
      <c r="W250">
        <f ca="1">IF(AND(SCTR_Brokers[[#This Row],[Estado]]="FINALIZADO",SCTR_Brokers[[#This Row],[Plazo]]=LISTAS!$J$3),1,0)</f>
        <v>1</v>
      </c>
      <c r="X250">
        <f ca="1">IF(AND(SCTR_Brokers[[#This Row],[Estado]]="FINALIZADO",SCTR_Brokers[[#This Row],[Plazo]]=LISTAS!$J$4),1,0)</f>
        <v>0</v>
      </c>
      <c r="Y250">
        <f ca="1">IF(AND(SCTR_Brokers[[#This Row],[Estado]]&lt;&gt;"FINALIZADO",SCTR_Brokers[[#This Row],[Plazo]]=LISTAS!$J$4),1,0)</f>
        <v>0</v>
      </c>
      <c r="Z250">
        <f>IF(SCTR_Brokers[[#This Row],[Fecha_Solic_Informe]]="",0,1)</f>
        <v>0</v>
      </c>
      <c r="AA250">
        <f>IF(SCTR_Brokers[[#This Row],[Fecha_Informe]]="",0,1)</f>
        <v>0</v>
      </c>
      <c r="AB250">
        <f>IF(AND(SCTR_Brokers[[#This Row],[Fecha_Solic_Informe]]&lt;&gt;"",SCTR_Brokers[[#This Row],[Fecha_Informe]]=""),1,0)</f>
        <v>0</v>
      </c>
      <c r="AC25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51" spans="1:29" hidden="1">
      <c r="A251" t="s">
        <v>557</v>
      </c>
      <c r="C251" t="str">
        <f>IF(SCTR_Brokers[[#This Row],[FechaRecepcion]]="","",SCTR_Brokers[[#This Row],[ConversationId]]&amp;"-"&amp;TEXT(SCTR_Brokers[[#This Row],[FechaRecepcion]],"aaaammddhhmmss"))</f>
        <v>AAQkADdkNThjNzFkLWM0ZmMtNDJhYS04MDVlLTIwNzE4ZDI1Mzg4YgAQAJrwj-if6HtPqzanXKd6Jkc=-20260908130448</v>
      </c>
      <c r="D251" t="s">
        <v>558</v>
      </c>
      <c r="E251" t="s">
        <v>8</v>
      </c>
      <c r="F251" s="3">
        <v>46273.544999999998</v>
      </c>
      <c r="G251" s="3">
        <v>46273.7109375</v>
      </c>
      <c r="H251" t="s">
        <v>70</v>
      </c>
      <c r="I251" t="s">
        <v>7</v>
      </c>
      <c r="K251" t="s">
        <v>67</v>
      </c>
      <c r="L251" s="10" t="s">
        <v>559</v>
      </c>
      <c r="N25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51" s="3"/>
      <c r="P251" s="3"/>
      <c r="Q251" s="3">
        <v>46274.748437499999</v>
      </c>
      <c r="R25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251" t="str">
        <f>IF(SCTR_Brokers[[#This Row],[FechaRecepcion]]="","",TEXT(SCTR_Brokers[[#This Row],[FechaRecepcion]],"mmmm")&amp;" "&amp;YEAR(SCTR_Brokers[[#This Row],[FechaRecepcion]]))</f>
        <v>septiembre 2026</v>
      </c>
      <c r="U251">
        <f>IF(SCTR_Brokers[[#This Row],[Estado]]="FINALIZADO",1,0)</f>
        <v>1</v>
      </c>
      <c r="V251">
        <f>IF(SCTR_Brokers[[#This Row],[FechaRecepcion]]="","",IF(SCTR_Brokers[[#This Row],[Estado]]="FINALIZADO",0,1))</f>
        <v>0</v>
      </c>
      <c r="W251">
        <f ca="1">IF(AND(SCTR_Brokers[[#This Row],[Estado]]="FINALIZADO",SCTR_Brokers[[#This Row],[Plazo]]=LISTAS!$J$3),1,0)</f>
        <v>0</v>
      </c>
      <c r="X251">
        <f ca="1">IF(AND(SCTR_Brokers[[#This Row],[Estado]]="FINALIZADO",SCTR_Brokers[[#This Row],[Plazo]]=LISTAS!$J$4),1,0)</f>
        <v>1</v>
      </c>
      <c r="Y251">
        <f ca="1">IF(AND(SCTR_Brokers[[#This Row],[Estado]]&lt;&gt;"FINALIZADO",SCTR_Brokers[[#This Row],[Plazo]]=LISTAS!$J$4),1,0)</f>
        <v>0</v>
      </c>
      <c r="Z251">
        <f>IF(SCTR_Brokers[[#This Row],[Fecha_Solic_Informe]]="",0,1)</f>
        <v>0</v>
      </c>
      <c r="AA251">
        <f>IF(SCTR_Brokers[[#This Row],[Fecha_Informe]]="",0,1)</f>
        <v>0</v>
      </c>
      <c r="AB251">
        <f>IF(AND(SCTR_Brokers[[#This Row],[Fecha_Solic_Informe]]&lt;&gt;"",SCTR_Brokers[[#This Row],[Fecha_Informe]]=""),1,0)</f>
        <v>0</v>
      </c>
      <c r="AC25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52" spans="1:29" hidden="1">
      <c r="A252" t="s">
        <v>560</v>
      </c>
      <c r="C252" t="str">
        <f>IF(SCTR_Brokers[[#This Row],[FechaRecepcion]]="","",SCTR_Brokers[[#This Row],[ConversationId]]&amp;"-"&amp;TEXT(SCTR_Brokers[[#This Row],[FechaRecepcion]],"aaaammddhhmmss"))</f>
        <v>AAQkADdkNThjNzFkLWM0ZmMtNDJhYS04MDVlLTIwNzE4ZDI1Mzg4YgAQACIqQIerFTNOnxBt06_uGbA=-20260908141638</v>
      </c>
      <c r="D252" t="s">
        <v>561</v>
      </c>
      <c r="E252" t="s">
        <v>21</v>
      </c>
      <c r="F252" s="3">
        <v>46273.594884259262</v>
      </c>
      <c r="G252" s="3">
        <v>46273.594884259262</v>
      </c>
      <c r="H252" t="s">
        <v>562</v>
      </c>
      <c r="I252" t="s">
        <v>7</v>
      </c>
      <c r="J252" t="s">
        <v>563</v>
      </c>
      <c r="K252" t="s">
        <v>67</v>
      </c>
      <c r="L252" s="10"/>
      <c r="N25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52" s="3"/>
      <c r="P252" s="3"/>
      <c r="Q252" s="3">
        <v>46273.594884259262</v>
      </c>
      <c r="R25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252" t="s">
        <v>164</v>
      </c>
      <c r="T252" t="str">
        <f>IF(SCTR_Brokers[[#This Row],[FechaRecepcion]]="","",TEXT(SCTR_Brokers[[#This Row],[FechaRecepcion]],"mmmm")&amp;" "&amp;YEAR(SCTR_Brokers[[#This Row],[FechaRecepcion]]))</f>
        <v>septiembre 2026</v>
      </c>
      <c r="U252">
        <f>IF(SCTR_Brokers[[#This Row],[Estado]]="FINALIZADO",1,0)</f>
        <v>1</v>
      </c>
      <c r="V252">
        <f>IF(SCTR_Brokers[[#This Row],[FechaRecepcion]]="","",IF(SCTR_Brokers[[#This Row],[Estado]]="FINALIZADO",0,1))</f>
        <v>0</v>
      </c>
      <c r="W252">
        <f ca="1">IF(AND(SCTR_Brokers[[#This Row],[Estado]]="FINALIZADO",SCTR_Brokers[[#This Row],[Plazo]]=LISTAS!$J$3),1,0)</f>
        <v>1</v>
      </c>
      <c r="X252">
        <f ca="1">IF(AND(SCTR_Brokers[[#This Row],[Estado]]="FINALIZADO",SCTR_Brokers[[#This Row],[Plazo]]=LISTAS!$J$4),1,0)</f>
        <v>0</v>
      </c>
      <c r="Y252">
        <f ca="1">IF(AND(SCTR_Brokers[[#This Row],[Estado]]&lt;&gt;"FINALIZADO",SCTR_Brokers[[#This Row],[Plazo]]=LISTAS!$J$4),1,0)</f>
        <v>0</v>
      </c>
      <c r="Z252">
        <f>IF(SCTR_Brokers[[#This Row],[Fecha_Solic_Informe]]="",0,1)</f>
        <v>0</v>
      </c>
      <c r="AA252">
        <f>IF(SCTR_Brokers[[#This Row],[Fecha_Informe]]="",0,1)</f>
        <v>0</v>
      </c>
      <c r="AB252">
        <f>IF(AND(SCTR_Brokers[[#This Row],[Fecha_Solic_Informe]]&lt;&gt;"",SCTR_Brokers[[#This Row],[Fecha_Informe]]=""),1,0)</f>
        <v>0</v>
      </c>
      <c r="AC25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53" spans="1:29" hidden="1">
      <c r="A253" t="s">
        <v>564</v>
      </c>
      <c r="C253" t="str">
        <f>IF(SCTR_Brokers[[#This Row],[FechaRecepcion]]="","",SCTR_Brokers[[#This Row],[ConversationId]]&amp;"-"&amp;TEXT(SCTR_Brokers[[#This Row],[FechaRecepcion]],"aaaammddhhmmss"))</f>
        <v>AAQkADdkNThjNzFkLWM0ZmMtNDJhYS04MDVlLTIwNzE4ZDI1Mzg4YgAQANR-sFPWmwRDmnXL1OZXNW4=-20260908151927</v>
      </c>
      <c r="D253" t="s">
        <v>565</v>
      </c>
      <c r="E253" t="s">
        <v>8</v>
      </c>
      <c r="F253" s="3">
        <v>46273.638506944444</v>
      </c>
      <c r="G253" s="3">
        <v>46273.707002314812</v>
      </c>
      <c r="H253" t="s">
        <v>70</v>
      </c>
      <c r="I253" t="s">
        <v>7</v>
      </c>
      <c r="K253" t="s">
        <v>67</v>
      </c>
      <c r="L253" s="10"/>
      <c r="N25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53" s="3"/>
      <c r="P253" s="3"/>
      <c r="Q253" s="3">
        <v>46273.707002314812</v>
      </c>
      <c r="R25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53" t="str">
        <f>IF(SCTR_Brokers[[#This Row],[FechaRecepcion]]="","",TEXT(SCTR_Brokers[[#This Row],[FechaRecepcion]],"mmmm")&amp;" "&amp;YEAR(SCTR_Brokers[[#This Row],[FechaRecepcion]]))</f>
        <v>septiembre 2026</v>
      </c>
      <c r="U253">
        <f>IF(SCTR_Brokers[[#This Row],[Estado]]="FINALIZADO",1,0)</f>
        <v>1</v>
      </c>
      <c r="V253">
        <f>IF(SCTR_Brokers[[#This Row],[FechaRecepcion]]="","",IF(SCTR_Brokers[[#This Row],[Estado]]="FINALIZADO",0,1))</f>
        <v>0</v>
      </c>
      <c r="W253">
        <f ca="1">IF(AND(SCTR_Brokers[[#This Row],[Estado]]="FINALIZADO",SCTR_Brokers[[#This Row],[Plazo]]=LISTAS!$J$3),1,0)</f>
        <v>1</v>
      </c>
      <c r="X253">
        <f ca="1">IF(AND(SCTR_Brokers[[#This Row],[Estado]]="FINALIZADO",SCTR_Brokers[[#This Row],[Plazo]]=LISTAS!$J$4),1,0)</f>
        <v>0</v>
      </c>
      <c r="Y253">
        <f ca="1">IF(AND(SCTR_Brokers[[#This Row],[Estado]]&lt;&gt;"FINALIZADO",SCTR_Brokers[[#This Row],[Plazo]]=LISTAS!$J$4),1,0)</f>
        <v>0</v>
      </c>
      <c r="Z253">
        <f>IF(SCTR_Brokers[[#This Row],[Fecha_Solic_Informe]]="",0,1)</f>
        <v>0</v>
      </c>
      <c r="AA253">
        <f>IF(SCTR_Brokers[[#This Row],[Fecha_Informe]]="",0,1)</f>
        <v>0</v>
      </c>
      <c r="AB253">
        <f>IF(AND(SCTR_Brokers[[#This Row],[Fecha_Solic_Informe]]&lt;&gt;"",SCTR_Brokers[[#This Row],[Fecha_Informe]]=""),1,0)</f>
        <v>0</v>
      </c>
      <c r="AC25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54" spans="1:29" hidden="1">
      <c r="A254" t="s">
        <v>466</v>
      </c>
      <c r="C254" t="str">
        <f>IF(SCTR_Brokers[[#This Row],[FechaRecepcion]]="","",SCTR_Brokers[[#This Row],[ConversationId]]&amp;"-"&amp;TEXT(SCTR_Brokers[[#This Row],[FechaRecepcion]],"aaaammddhhmmss"))</f>
        <v>AAQkADdkNThjNzFkLWM0ZmMtNDJhYS04MDVlLTIwNzE4ZDI1Mzg4YgAQAPQaH1meyvZGo0f5Xnx0gqk=-20260908153259</v>
      </c>
      <c r="D254" t="s">
        <v>566</v>
      </c>
      <c r="E254" t="s">
        <v>21</v>
      </c>
      <c r="F254" s="3">
        <v>46273.647905092592</v>
      </c>
      <c r="G254" s="3">
        <v>46274.405543981484</v>
      </c>
      <c r="H254" t="s">
        <v>424</v>
      </c>
      <c r="I254" t="s">
        <v>7</v>
      </c>
      <c r="K254" t="s">
        <v>67</v>
      </c>
      <c r="L254" s="10"/>
      <c r="N25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54" s="3"/>
      <c r="P254" s="3"/>
      <c r="Q254" s="3">
        <v>46281.738194444442</v>
      </c>
      <c r="R25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254" t="str">
        <f>IF(SCTR_Brokers[[#This Row],[FechaRecepcion]]="","",TEXT(SCTR_Brokers[[#This Row],[FechaRecepcion]],"mmmm")&amp;" "&amp;YEAR(SCTR_Brokers[[#This Row],[FechaRecepcion]]))</f>
        <v>septiembre 2026</v>
      </c>
      <c r="U254">
        <f>IF(SCTR_Brokers[[#This Row],[Estado]]="FINALIZADO",1,0)</f>
        <v>1</v>
      </c>
      <c r="V254">
        <f>IF(SCTR_Brokers[[#This Row],[FechaRecepcion]]="","",IF(SCTR_Brokers[[#This Row],[Estado]]="FINALIZADO",0,1))</f>
        <v>0</v>
      </c>
      <c r="W254">
        <f ca="1">IF(AND(SCTR_Brokers[[#This Row],[Estado]]="FINALIZADO",SCTR_Brokers[[#This Row],[Plazo]]=LISTAS!$J$3),1,0)</f>
        <v>0</v>
      </c>
      <c r="X254">
        <f ca="1">IF(AND(SCTR_Brokers[[#This Row],[Estado]]="FINALIZADO",SCTR_Brokers[[#This Row],[Plazo]]=LISTAS!$J$4),1,0)</f>
        <v>1</v>
      </c>
      <c r="Y254">
        <f ca="1">IF(AND(SCTR_Brokers[[#This Row],[Estado]]&lt;&gt;"FINALIZADO",SCTR_Brokers[[#This Row],[Plazo]]=LISTAS!$J$4),1,0)</f>
        <v>0</v>
      </c>
      <c r="Z254">
        <f>IF(SCTR_Brokers[[#This Row],[Fecha_Solic_Informe]]="",0,1)</f>
        <v>0</v>
      </c>
      <c r="AA254">
        <f>IF(SCTR_Brokers[[#This Row],[Fecha_Informe]]="",0,1)</f>
        <v>0</v>
      </c>
      <c r="AB254">
        <f>IF(AND(SCTR_Brokers[[#This Row],[Fecha_Solic_Informe]]&lt;&gt;"",SCTR_Brokers[[#This Row],[Fecha_Informe]]=""),1,0)</f>
        <v>0</v>
      </c>
      <c r="AC25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55" spans="1:29" hidden="1">
      <c r="A255" t="s">
        <v>567</v>
      </c>
      <c r="C255" t="str">
        <f>IF(SCTR_Brokers[[#This Row],[FechaRecepcion]]="","",SCTR_Brokers[[#This Row],[ConversationId]]&amp;"-"&amp;TEXT(SCTR_Brokers[[#This Row],[FechaRecepcion]],"aaaammddhhmmss"))</f>
        <v>AAQkADdkNThjNzFkLWM0ZmMtNDJhYS04MDVlLTIwNzE4ZDI1Mzg4YgAQAKN8jF4HykuTuyUBKjIJGSg=-20260908163156</v>
      </c>
      <c r="D255" t="s">
        <v>568</v>
      </c>
      <c r="E255" t="s">
        <v>21</v>
      </c>
      <c r="F255" s="3">
        <v>46273.688842592594</v>
      </c>
      <c r="G255" s="3">
        <v>46274.475254629629</v>
      </c>
      <c r="H255" t="s">
        <v>569</v>
      </c>
      <c r="I255" t="s">
        <v>7</v>
      </c>
      <c r="K255" t="s">
        <v>67</v>
      </c>
      <c r="L255" s="10"/>
      <c r="N25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55" s="3"/>
      <c r="P255" s="3"/>
      <c r="Q255" s="3">
        <v>46274.482199074075</v>
      </c>
      <c r="R25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55" t="str">
        <f>IF(SCTR_Brokers[[#This Row],[FechaRecepcion]]="","",TEXT(SCTR_Brokers[[#This Row],[FechaRecepcion]],"mmmm")&amp;" "&amp;YEAR(SCTR_Brokers[[#This Row],[FechaRecepcion]]))</f>
        <v>septiembre 2026</v>
      </c>
      <c r="U255">
        <f>IF(SCTR_Brokers[[#This Row],[Estado]]="FINALIZADO",1,0)</f>
        <v>1</v>
      </c>
      <c r="V255">
        <f>IF(SCTR_Brokers[[#This Row],[FechaRecepcion]]="","",IF(SCTR_Brokers[[#This Row],[Estado]]="FINALIZADO",0,1))</f>
        <v>0</v>
      </c>
      <c r="W255">
        <f ca="1">IF(AND(SCTR_Brokers[[#This Row],[Estado]]="FINALIZADO",SCTR_Brokers[[#This Row],[Plazo]]=LISTAS!$J$3),1,0)</f>
        <v>1</v>
      </c>
      <c r="X255">
        <f ca="1">IF(AND(SCTR_Brokers[[#This Row],[Estado]]="FINALIZADO",SCTR_Brokers[[#This Row],[Plazo]]=LISTAS!$J$4),1,0)</f>
        <v>0</v>
      </c>
      <c r="Y255">
        <f ca="1">IF(AND(SCTR_Brokers[[#This Row],[Estado]]&lt;&gt;"FINALIZADO",SCTR_Brokers[[#This Row],[Plazo]]=LISTAS!$J$4),1,0)</f>
        <v>0</v>
      </c>
      <c r="Z255">
        <f>IF(SCTR_Brokers[[#This Row],[Fecha_Solic_Informe]]="",0,1)</f>
        <v>0</v>
      </c>
      <c r="AA255">
        <f>IF(SCTR_Brokers[[#This Row],[Fecha_Informe]]="",0,1)</f>
        <v>0</v>
      </c>
      <c r="AB255">
        <f>IF(AND(SCTR_Brokers[[#This Row],[Fecha_Solic_Informe]]&lt;&gt;"",SCTR_Brokers[[#This Row],[Fecha_Informe]]=""),1,0)</f>
        <v>0</v>
      </c>
      <c r="AC25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56" spans="1:29" hidden="1">
      <c r="A256" t="s">
        <v>570</v>
      </c>
      <c r="C256" t="str">
        <f>IF(SCTR_Brokers[[#This Row],[FechaRecepcion]]="","",SCTR_Brokers[[#This Row],[ConversationId]]&amp;"-"&amp;TEXT(SCTR_Brokers[[#This Row],[FechaRecepcion]],"aaaammddhhmmss"))</f>
        <v>AAQkADdkNThjNzFkLWM0ZmMtNDJhYS04MDVlLTIwNzE4ZDI1Mzg4YgAQAGQkyM8BrzhAmpqPwx7oc9o=-20260908170855</v>
      </c>
      <c r="D256" t="s">
        <v>571</v>
      </c>
      <c r="E256" t="s">
        <v>21</v>
      </c>
      <c r="F256" s="3">
        <v>46273.714525462965</v>
      </c>
      <c r="G256" s="3">
        <v>46273.714525462965</v>
      </c>
      <c r="H256" t="s">
        <v>572</v>
      </c>
      <c r="I256" t="s">
        <v>7</v>
      </c>
      <c r="K256" t="s">
        <v>67</v>
      </c>
      <c r="L256" s="10"/>
      <c r="N25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56" s="3"/>
      <c r="P256" s="3"/>
      <c r="Q256" s="3">
        <v>46274.429803240739</v>
      </c>
      <c r="R25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56" t="str">
        <f>IF(SCTR_Brokers[[#This Row],[FechaRecepcion]]="","",TEXT(SCTR_Brokers[[#This Row],[FechaRecepcion]],"mmmm")&amp;" "&amp;YEAR(SCTR_Brokers[[#This Row],[FechaRecepcion]]))</f>
        <v>septiembre 2026</v>
      </c>
      <c r="U256">
        <f>IF(SCTR_Brokers[[#This Row],[Estado]]="FINALIZADO",1,0)</f>
        <v>1</v>
      </c>
      <c r="V256">
        <f>IF(SCTR_Brokers[[#This Row],[FechaRecepcion]]="","",IF(SCTR_Brokers[[#This Row],[Estado]]="FINALIZADO",0,1))</f>
        <v>0</v>
      </c>
      <c r="W256">
        <f ca="1">IF(AND(SCTR_Brokers[[#This Row],[Estado]]="FINALIZADO",SCTR_Brokers[[#This Row],[Plazo]]=LISTAS!$J$3),1,0)</f>
        <v>1</v>
      </c>
      <c r="X256">
        <f ca="1">IF(AND(SCTR_Brokers[[#This Row],[Estado]]="FINALIZADO",SCTR_Brokers[[#This Row],[Plazo]]=LISTAS!$J$4),1,0)</f>
        <v>0</v>
      </c>
      <c r="Y256">
        <f ca="1">IF(AND(SCTR_Brokers[[#This Row],[Estado]]&lt;&gt;"FINALIZADO",SCTR_Brokers[[#This Row],[Plazo]]=LISTAS!$J$4),1,0)</f>
        <v>0</v>
      </c>
      <c r="Z256">
        <f>IF(SCTR_Brokers[[#This Row],[Fecha_Solic_Informe]]="",0,1)</f>
        <v>0</v>
      </c>
      <c r="AA256">
        <f>IF(SCTR_Brokers[[#This Row],[Fecha_Informe]]="",0,1)</f>
        <v>0</v>
      </c>
      <c r="AB256">
        <f>IF(AND(SCTR_Brokers[[#This Row],[Fecha_Solic_Informe]]&lt;&gt;"",SCTR_Brokers[[#This Row],[Fecha_Informe]]=""),1,0)</f>
        <v>0</v>
      </c>
      <c r="AC25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57" spans="1:29" hidden="1">
      <c r="A257" t="s">
        <v>64</v>
      </c>
      <c r="C257" t="str">
        <f>IF(SCTR_Brokers[[#This Row],[FechaRecepcion]]="","",SCTR_Brokers[[#This Row],[ConversationId]]&amp;"-"&amp;TEXT(SCTR_Brokers[[#This Row],[FechaRecepcion]],"aaaammddhhmmss"))</f>
        <v>AAQkADdkNThjNzFkLWM0ZmMtNDJhYS04MDVlLTIwNzE4ZDI1Mzg4YgAQAJce04pfmOxCjc66JQ_YqAI=-20260908171308</v>
      </c>
      <c r="D257" s="16" t="s">
        <v>65</v>
      </c>
      <c r="E257" t="s">
        <v>21</v>
      </c>
      <c r="F257" s="3">
        <v>46273.717453703706</v>
      </c>
      <c r="G257" s="3">
        <v>46275.689108796294</v>
      </c>
      <c r="H257" t="s">
        <v>66</v>
      </c>
      <c r="I257" t="s">
        <v>7</v>
      </c>
      <c r="K257" t="s">
        <v>67</v>
      </c>
      <c r="L257" s="10"/>
      <c r="N25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57" s="3"/>
      <c r="P257" s="3"/>
      <c r="Q257" s="3">
        <v>46279.613194444442</v>
      </c>
      <c r="R25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257" t="str">
        <f>IF(SCTR_Brokers[[#This Row],[FechaRecepcion]]="","",TEXT(SCTR_Brokers[[#This Row],[FechaRecepcion]],"mmmm")&amp;" "&amp;YEAR(SCTR_Brokers[[#This Row],[FechaRecepcion]]))</f>
        <v>septiembre 2026</v>
      </c>
      <c r="U257">
        <f>IF(SCTR_Brokers[[#This Row],[Estado]]="FINALIZADO",1,0)</f>
        <v>1</v>
      </c>
      <c r="V257">
        <f>IF(SCTR_Brokers[[#This Row],[FechaRecepcion]]="","",IF(SCTR_Brokers[[#This Row],[Estado]]="FINALIZADO",0,1))</f>
        <v>0</v>
      </c>
      <c r="W257">
        <f ca="1">IF(AND(SCTR_Brokers[[#This Row],[Estado]]="FINALIZADO",SCTR_Brokers[[#This Row],[Plazo]]=LISTAS!$J$3),1,0)</f>
        <v>0</v>
      </c>
      <c r="X257">
        <f ca="1">IF(AND(SCTR_Brokers[[#This Row],[Estado]]="FINALIZADO",SCTR_Brokers[[#This Row],[Plazo]]=LISTAS!$J$4),1,0)</f>
        <v>1</v>
      </c>
      <c r="Y257">
        <f ca="1">IF(AND(SCTR_Brokers[[#This Row],[Estado]]&lt;&gt;"FINALIZADO",SCTR_Brokers[[#This Row],[Plazo]]=LISTAS!$J$4),1,0)</f>
        <v>0</v>
      </c>
      <c r="Z257">
        <f>IF(SCTR_Brokers[[#This Row],[Fecha_Solic_Informe]]="",0,1)</f>
        <v>0</v>
      </c>
      <c r="AA257">
        <f>IF(SCTR_Brokers[[#This Row],[Fecha_Informe]]="",0,1)</f>
        <v>0</v>
      </c>
      <c r="AB257">
        <f>IF(AND(SCTR_Brokers[[#This Row],[Fecha_Solic_Informe]]&lt;&gt;"",SCTR_Brokers[[#This Row],[Fecha_Informe]]=""),1,0)</f>
        <v>0</v>
      </c>
      <c r="AC25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58" spans="1:29" hidden="1">
      <c r="A258" t="s">
        <v>573</v>
      </c>
      <c r="C258" t="str">
        <f>IF(SCTR_Brokers[[#This Row],[FechaRecepcion]]="","",SCTR_Brokers[[#This Row],[ConversationId]]&amp;"-"&amp;TEXT(SCTR_Brokers[[#This Row],[FechaRecepcion]],"aaaammddhhmmss"))</f>
        <v>AAQkADdkNThjNzFkLWM0ZmMtNDJhYS04MDVlLTIwNzE4ZDI1Mzg4YgAQAG56vPvrHEG1urc4x6Ok4ms=-20260908173552</v>
      </c>
      <c r="D258" s="16" t="s">
        <v>574</v>
      </c>
      <c r="E258" t="s">
        <v>21</v>
      </c>
      <c r="F258" s="3">
        <v>46273.733240740738</v>
      </c>
      <c r="G258" s="3">
        <v>46273.733240740738</v>
      </c>
      <c r="H258" t="s">
        <v>575</v>
      </c>
      <c r="I258" t="s">
        <v>7</v>
      </c>
      <c r="J258" t="s">
        <v>576</v>
      </c>
      <c r="K258" t="s">
        <v>67</v>
      </c>
      <c r="L258" s="10"/>
      <c r="N25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58" s="3"/>
      <c r="P258" s="3"/>
      <c r="Q258" s="3">
        <v>46273.733240740738</v>
      </c>
      <c r="R25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258" t="s">
        <v>164</v>
      </c>
      <c r="T258" t="str">
        <f>IF(SCTR_Brokers[[#This Row],[FechaRecepcion]]="","",TEXT(SCTR_Brokers[[#This Row],[FechaRecepcion]],"mmmm")&amp;" "&amp;YEAR(SCTR_Brokers[[#This Row],[FechaRecepcion]]))</f>
        <v>septiembre 2026</v>
      </c>
      <c r="U258">
        <f>IF(SCTR_Brokers[[#This Row],[Estado]]="FINALIZADO",1,0)</f>
        <v>1</v>
      </c>
      <c r="V258">
        <f>IF(SCTR_Brokers[[#This Row],[FechaRecepcion]]="","",IF(SCTR_Brokers[[#This Row],[Estado]]="FINALIZADO",0,1))</f>
        <v>0</v>
      </c>
      <c r="W258">
        <f ca="1">IF(AND(SCTR_Brokers[[#This Row],[Estado]]="FINALIZADO",SCTR_Brokers[[#This Row],[Plazo]]=LISTAS!$J$3),1,0)</f>
        <v>1</v>
      </c>
      <c r="X258">
        <f ca="1">IF(AND(SCTR_Brokers[[#This Row],[Estado]]="FINALIZADO",SCTR_Brokers[[#This Row],[Plazo]]=LISTAS!$J$4),1,0)</f>
        <v>0</v>
      </c>
      <c r="Y258">
        <f ca="1">IF(AND(SCTR_Brokers[[#This Row],[Estado]]&lt;&gt;"FINALIZADO",SCTR_Brokers[[#This Row],[Plazo]]=LISTAS!$J$4),1,0)</f>
        <v>0</v>
      </c>
      <c r="Z258">
        <f>IF(SCTR_Brokers[[#This Row],[Fecha_Solic_Informe]]="",0,1)</f>
        <v>0</v>
      </c>
      <c r="AA258">
        <f>IF(SCTR_Brokers[[#This Row],[Fecha_Informe]]="",0,1)</f>
        <v>0</v>
      </c>
      <c r="AB258">
        <f>IF(AND(SCTR_Brokers[[#This Row],[Fecha_Solic_Informe]]&lt;&gt;"",SCTR_Brokers[[#This Row],[Fecha_Informe]]=""),1,0)</f>
        <v>0</v>
      </c>
      <c r="AC25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59" spans="1:29" hidden="1">
      <c r="A259" t="s">
        <v>577</v>
      </c>
      <c r="C259" t="str">
        <f>IF(SCTR_Brokers[[#This Row],[FechaRecepcion]]="","",SCTR_Brokers[[#This Row],[ConversationId]]&amp;"-"&amp;TEXT(SCTR_Brokers[[#This Row],[FechaRecepcion]],"aaaammddhhmmss"))</f>
        <v>AAQkADdkNThjNzFkLWM0ZmMtNDJhYS04MDVlLTIwNzE4ZDI1Mzg4YgAQAK5AC3kXK7NIvJAZu8QsR0s=-20260908201500</v>
      </c>
      <c r="D259" s="16" t="s">
        <v>578</v>
      </c>
      <c r="E259" t="s">
        <v>21</v>
      </c>
      <c r="F259" s="3">
        <v>46273.84375</v>
      </c>
      <c r="G259" s="3">
        <v>46273.84375</v>
      </c>
      <c r="H259" t="s">
        <v>66</v>
      </c>
      <c r="I259" t="s">
        <v>7</v>
      </c>
      <c r="K259" t="s">
        <v>67</v>
      </c>
      <c r="L259" s="10"/>
      <c r="N25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59" s="3"/>
      <c r="P259" s="3"/>
      <c r="Q259" s="3">
        <v>46274.770833333336</v>
      </c>
      <c r="R25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259" t="str">
        <f>IF(SCTR_Brokers[[#This Row],[FechaRecepcion]]="","",TEXT(SCTR_Brokers[[#This Row],[FechaRecepcion]],"mmmm")&amp;" "&amp;YEAR(SCTR_Brokers[[#This Row],[FechaRecepcion]]))</f>
        <v>septiembre 2026</v>
      </c>
      <c r="U259">
        <f>IF(SCTR_Brokers[[#This Row],[Estado]]="FINALIZADO",1,0)</f>
        <v>1</v>
      </c>
      <c r="V259">
        <f>IF(SCTR_Brokers[[#This Row],[FechaRecepcion]]="","",IF(SCTR_Brokers[[#This Row],[Estado]]="FINALIZADO",0,1))</f>
        <v>0</v>
      </c>
      <c r="W259">
        <f ca="1">IF(AND(SCTR_Brokers[[#This Row],[Estado]]="FINALIZADO",SCTR_Brokers[[#This Row],[Plazo]]=LISTAS!$J$3),1,0)</f>
        <v>0</v>
      </c>
      <c r="X259">
        <f ca="1">IF(AND(SCTR_Brokers[[#This Row],[Estado]]="FINALIZADO",SCTR_Brokers[[#This Row],[Plazo]]=LISTAS!$J$4),1,0)</f>
        <v>1</v>
      </c>
      <c r="Y259">
        <f ca="1">IF(AND(SCTR_Brokers[[#This Row],[Estado]]&lt;&gt;"FINALIZADO",SCTR_Brokers[[#This Row],[Plazo]]=LISTAS!$J$4),1,0)</f>
        <v>0</v>
      </c>
      <c r="Z259">
        <f>IF(SCTR_Brokers[[#This Row],[Fecha_Solic_Informe]]="",0,1)</f>
        <v>0</v>
      </c>
      <c r="AA259">
        <f>IF(SCTR_Brokers[[#This Row],[Fecha_Informe]]="",0,1)</f>
        <v>0</v>
      </c>
      <c r="AB259">
        <f>IF(AND(SCTR_Brokers[[#This Row],[Fecha_Solic_Informe]]&lt;&gt;"",SCTR_Brokers[[#This Row],[Fecha_Informe]]=""),1,0)</f>
        <v>0</v>
      </c>
      <c r="AC25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60" spans="1:29" hidden="1">
      <c r="A260" t="s">
        <v>579</v>
      </c>
      <c r="C260" t="str">
        <f>IF(SCTR_Brokers[[#This Row],[FechaRecepcion]]="","",SCTR_Brokers[[#This Row],[ConversationId]]&amp;"-"&amp;TEXT(SCTR_Brokers[[#This Row],[FechaRecepcion]],"aaaammddhhmmss"))</f>
        <v>AAQkADdkNThjNzFkLWM0ZmMtNDJhYS04MDVlLTIwNzE4ZDI1Mzg4YgAQAFasYTMf6U6LkIMLdg9Wsxw=-20260908212134</v>
      </c>
      <c r="D260" s="16" t="s">
        <v>580</v>
      </c>
      <c r="E260" t="s">
        <v>21</v>
      </c>
      <c r="F260" s="3">
        <v>46273.889976851853</v>
      </c>
      <c r="G260" s="3">
        <v>46274.485034722224</v>
      </c>
      <c r="H260" t="s">
        <v>581</v>
      </c>
      <c r="I260" t="s">
        <v>7</v>
      </c>
      <c r="K260" t="s">
        <v>67</v>
      </c>
      <c r="L260" s="10"/>
      <c r="N26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60" s="3"/>
      <c r="P260" s="3"/>
      <c r="Q260" s="3"/>
      <c r="R26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260" t="str">
        <f>IF(SCTR_Brokers[[#This Row],[FechaRecepcion]]="","",TEXT(SCTR_Brokers[[#This Row],[FechaRecepcion]],"mmmm")&amp;" "&amp;YEAR(SCTR_Brokers[[#This Row],[FechaRecepcion]]))</f>
        <v>septiembre 2026</v>
      </c>
      <c r="U260">
        <f>IF(SCTR_Brokers[[#This Row],[Estado]]="FINALIZADO",1,0)</f>
        <v>1</v>
      </c>
      <c r="V260">
        <f>IF(SCTR_Brokers[[#This Row],[FechaRecepcion]]="","",IF(SCTR_Brokers[[#This Row],[Estado]]="FINALIZADO",0,1))</f>
        <v>0</v>
      </c>
      <c r="W260">
        <f ca="1">IF(AND(SCTR_Brokers[[#This Row],[Estado]]="FINALIZADO",SCTR_Brokers[[#This Row],[Plazo]]=LISTAS!$J$3),1,0)</f>
        <v>0</v>
      </c>
      <c r="X260">
        <f ca="1">IF(AND(SCTR_Brokers[[#This Row],[Estado]]="FINALIZADO",SCTR_Brokers[[#This Row],[Plazo]]=LISTAS!$J$4),1,0)</f>
        <v>1</v>
      </c>
      <c r="Y260">
        <f ca="1">IF(AND(SCTR_Brokers[[#This Row],[Estado]]&lt;&gt;"FINALIZADO",SCTR_Brokers[[#This Row],[Plazo]]=LISTAS!$J$4),1,0)</f>
        <v>0</v>
      </c>
      <c r="Z260">
        <f>IF(SCTR_Brokers[[#This Row],[Fecha_Solic_Informe]]="",0,1)</f>
        <v>0</v>
      </c>
      <c r="AA260">
        <f>IF(SCTR_Brokers[[#This Row],[Fecha_Informe]]="",0,1)</f>
        <v>0</v>
      </c>
      <c r="AB260">
        <f>IF(AND(SCTR_Brokers[[#This Row],[Fecha_Solic_Informe]]&lt;&gt;"",SCTR_Brokers[[#This Row],[Fecha_Informe]]=""),1,0)</f>
        <v>0</v>
      </c>
      <c r="AC26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61" spans="1:29" hidden="1">
      <c r="A261" t="s">
        <v>582</v>
      </c>
      <c r="C261" t="str">
        <f>IF(SCTR_Brokers[[#This Row],[FechaRecepcion]]="","",SCTR_Brokers[[#This Row],[ConversationId]]&amp;"-"&amp;TEXT(SCTR_Brokers[[#This Row],[FechaRecepcion]],"aaaammddhhmmss"))</f>
        <v>AAQkADdkNThjNzFkLWM0ZmMtNDJhYS04MDVlLTIwNzE4ZDI1Mzg4YgAQAPpCoT32m0ilub1Q45-NP5g=-20260909111213</v>
      </c>
      <c r="D261" s="16" t="s">
        <v>583</v>
      </c>
      <c r="E261" t="s">
        <v>14</v>
      </c>
      <c r="F261" s="3">
        <v>46274.466817129629</v>
      </c>
      <c r="G261" s="3">
        <v>46274.466817129629</v>
      </c>
      <c r="H261" t="s">
        <v>105</v>
      </c>
      <c r="I261" t="s">
        <v>7</v>
      </c>
      <c r="K261" t="s">
        <v>67</v>
      </c>
      <c r="L261" s="10"/>
      <c r="N26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61" s="3"/>
      <c r="P261" s="3"/>
      <c r="Q261" s="3">
        <v>46274.55431712963</v>
      </c>
      <c r="R26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61" t="str">
        <f>IF(SCTR_Brokers[[#This Row],[FechaRecepcion]]="","",TEXT(SCTR_Brokers[[#This Row],[FechaRecepcion]],"mmmm")&amp;" "&amp;YEAR(SCTR_Brokers[[#This Row],[FechaRecepcion]]))</f>
        <v>septiembre 2026</v>
      </c>
      <c r="U261">
        <f>IF(SCTR_Brokers[[#This Row],[Estado]]="FINALIZADO",1,0)</f>
        <v>1</v>
      </c>
      <c r="V261">
        <f>IF(SCTR_Brokers[[#This Row],[FechaRecepcion]]="","",IF(SCTR_Brokers[[#This Row],[Estado]]="FINALIZADO",0,1))</f>
        <v>0</v>
      </c>
      <c r="W261">
        <f ca="1">IF(AND(SCTR_Brokers[[#This Row],[Estado]]="FINALIZADO",SCTR_Brokers[[#This Row],[Plazo]]=LISTAS!$J$3),1,0)</f>
        <v>1</v>
      </c>
      <c r="X261">
        <f ca="1">IF(AND(SCTR_Brokers[[#This Row],[Estado]]="FINALIZADO",SCTR_Brokers[[#This Row],[Plazo]]=LISTAS!$J$4),1,0)</f>
        <v>0</v>
      </c>
      <c r="Y261">
        <f ca="1">IF(AND(SCTR_Brokers[[#This Row],[Estado]]&lt;&gt;"FINALIZADO",SCTR_Brokers[[#This Row],[Plazo]]=LISTAS!$J$4),1,0)</f>
        <v>0</v>
      </c>
      <c r="Z261">
        <f>IF(SCTR_Brokers[[#This Row],[Fecha_Solic_Informe]]="",0,1)</f>
        <v>0</v>
      </c>
      <c r="AA261">
        <f>IF(SCTR_Brokers[[#This Row],[Fecha_Informe]]="",0,1)</f>
        <v>0</v>
      </c>
      <c r="AB261">
        <f>IF(AND(SCTR_Brokers[[#This Row],[Fecha_Solic_Informe]]&lt;&gt;"",SCTR_Brokers[[#This Row],[Fecha_Informe]]=""),1,0)</f>
        <v>0</v>
      </c>
      <c r="AC26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62" spans="1:29" hidden="1">
      <c r="A262" t="s">
        <v>584</v>
      </c>
      <c r="C262" t="str">
        <f>IF(SCTR_Brokers[[#This Row],[FechaRecepcion]]="","",SCTR_Brokers[[#This Row],[ConversationId]]&amp;"-"&amp;TEXT(SCTR_Brokers[[#This Row],[FechaRecepcion]],"aaaammddhhmmss"))</f>
        <v>AAQkADdkNThjNzFkLWM0ZmMtNDJhYS04MDVlLTIwNzE4ZDI1Mzg4YgAQAGBuiSvE3ESPolV7e3gxBiM=-20260909113958</v>
      </c>
      <c r="D262" s="16" t="s">
        <v>585</v>
      </c>
      <c r="E262" t="s">
        <v>21</v>
      </c>
      <c r="F262" s="3">
        <v>46274.486087962963</v>
      </c>
      <c r="G262" s="3">
        <v>46274.502106481479</v>
      </c>
      <c r="H262" t="s">
        <v>252</v>
      </c>
      <c r="I262" t="s">
        <v>7</v>
      </c>
      <c r="K262" t="s">
        <v>67</v>
      </c>
      <c r="L262" s="10"/>
      <c r="N26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62" s="3"/>
      <c r="P262" s="3"/>
      <c r="Q262" s="3">
        <v>46274.506967592592</v>
      </c>
      <c r="R26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62" t="str">
        <f>IF(SCTR_Brokers[[#This Row],[FechaRecepcion]]="","",TEXT(SCTR_Brokers[[#This Row],[FechaRecepcion]],"mmmm")&amp;" "&amp;YEAR(SCTR_Brokers[[#This Row],[FechaRecepcion]]))</f>
        <v>septiembre 2026</v>
      </c>
      <c r="U262">
        <f>IF(SCTR_Brokers[[#This Row],[Estado]]="FINALIZADO",1,0)</f>
        <v>1</v>
      </c>
      <c r="V262">
        <f>IF(SCTR_Brokers[[#This Row],[FechaRecepcion]]="","",IF(SCTR_Brokers[[#This Row],[Estado]]="FINALIZADO",0,1))</f>
        <v>0</v>
      </c>
      <c r="W262">
        <f ca="1">IF(AND(SCTR_Brokers[[#This Row],[Estado]]="FINALIZADO",SCTR_Brokers[[#This Row],[Plazo]]=LISTAS!$J$3),1,0)</f>
        <v>1</v>
      </c>
      <c r="X262">
        <f ca="1">IF(AND(SCTR_Brokers[[#This Row],[Estado]]="FINALIZADO",SCTR_Brokers[[#This Row],[Plazo]]=LISTAS!$J$4),1,0)</f>
        <v>0</v>
      </c>
      <c r="Y262">
        <f ca="1">IF(AND(SCTR_Brokers[[#This Row],[Estado]]&lt;&gt;"FINALIZADO",SCTR_Brokers[[#This Row],[Plazo]]=LISTAS!$J$4),1,0)</f>
        <v>0</v>
      </c>
      <c r="Z262">
        <f>IF(SCTR_Brokers[[#This Row],[Fecha_Solic_Informe]]="",0,1)</f>
        <v>0</v>
      </c>
      <c r="AA262">
        <f>IF(SCTR_Brokers[[#This Row],[Fecha_Informe]]="",0,1)</f>
        <v>0</v>
      </c>
      <c r="AB262">
        <f>IF(AND(SCTR_Brokers[[#This Row],[Fecha_Solic_Informe]]&lt;&gt;"",SCTR_Brokers[[#This Row],[Fecha_Informe]]=""),1,0)</f>
        <v>0</v>
      </c>
      <c r="AC26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63" spans="1:29" hidden="1">
      <c r="A263" t="s">
        <v>586</v>
      </c>
      <c r="C263" t="str">
        <f>IF(SCTR_Brokers[[#This Row],[FechaRecepcion]]="","",SCTR_Brokers[[#This Row],[ConversationId]]&amp;"-"&amp;TEXT(SCTR_Brokers[[#This Row],[FechaRecepcion]],"aaaammddhhmmss"))</f>
        <v>AAQkADdkNThjNzFkLWM0ZmMtNDJhYS04MDVlLTIwNzE4ZDI1Mzg4YgAQAL45Fd1JoUZLpxPt8oIPFmk=-20260909115037</v>
      </c>
      <c r="D263" s="16" t="s">
        <v>587</v>
      </c>
      <c r="E263" t="s">
        <v>21</v>
      </c>
      <c r="F263" s="3">
        <v>46274.493483796294</v>
      </c>
      <c r="G263" s="3">
        <v>46274.493483796294</v>
      </c>
      <c r="H263" t="s">
        <v>348</v>
      </c>
      <c r="I263" t="s">
        <v>7</v>
      </c>
      <c r="K263" t="s">
        <v>67</v>
      </c>
      <c r="L263" s="10"/>
      <c r="N26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63" s="3"/>
      <c r="P263" s="3"/>
      <c r="Q263" s="3">
        <v>46275.722916666666</v>
      </c>
      <c r="R26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263" t="str">
        <f>IF(SCTR_Brokers[[#This Row],[FechaRecepcion]]="","",TEXT(SCTR_Brokers[[#This Row],[FechaRecepcion]],"mmmm")&amp;" "&amp;YEAR(SCTR_Brokers[[#This Row],[FechaRecepcion]]))</f>
        <v>septiembre 2026</v>
      </c>
      <c r="U263">
        <f>IF(SCTR_Brokers[[#This Row],[Estado]]="FINALIZADO",1,0)</f>
        <v>1</v>
      </c>
      <c r="V263">
        <f>IF(SCTR_Brokers[[#This Row],[FechaRecepcion]]="","",IF(SCTR_Brokers[[#This Row],[Estado]]="FINALIZADO",0,1))</f>
        <v>0</v>
      </c>
      <c r="W263">
        <f ca="1">IF(AND(SCTR_Brokers[[#This Row],[Estado]]="FINALIZADO",SCTR_Brokers[[#This Row],[Plazo]]=LISTAS!$J$3),1,0)</f>
        <v>0</v>
      </c>
      <c r="X263">
        <f ca="1">IF(AND(SCTR_Brokers[[#This Row],[Estado]]="FINALIZADO",SCTR_Brokers[[#This Row],[Plazo]]=LISTAS!$J$4),1,0)</f>
        <v>1</v>
      </c>
      <c r="Y263">
        <f ca="1">IF(AND(SCTR_Brokers[[#This Row],[Estado]]&lt;&gt;"FINALIZADO",SCTR_Brokers[[#This Row],[Plazo]]=LISTAS!$J$4),1,0)</f>
        <v>0</v>
      </c>
      <c r="Z263">
        <f>IF(SCTR_Brokers[[#This Row],[Fecha_Solic_Informe]]="",0,1)</f>
        <v>0</v>
      </c>
      <c r="AA263">
        <f>IF(SCTR_Brokers[[#This Row],[Fecha_Informe]]="",0,1)</f>
        <v>0</v>
      </c>
      <c r="AB263">
        <f>IF(AND(SCTR_Brokers[[#This Row],[Fecha_Solic_Informe]]&lt;&gt;"",SCTR_Brokers[[#This Row],[Fecha_Informe]]=""),1,0)</f>
        <v>0</v>
      </c>
      <c r="AC26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64" spans="1:29" hidden="1">
      <c r="A264" t="s">
        <v>588</v>
      </c>
      <c r="C264" t="str">
        <f>IF(SCTR_Brokers[[#This Row],[FechaRecepcion]]="","",SCTR_Brokers[[#This Row],[ConversationId]]&amp;"-"&amp;TEXT(SCTR_Brokers[[#This Row],[FechaRecepcion]],"aaaammddhhmmss"))</f>
        <v>AAQkADdkNThjNzFkLWM0ZmMtNDJhYS04MDVlLTIwNzE4ZDI1Mzg4YgAQAMI8WfawiUIRvEN5cqqnSks=-20260909120403</v>
      </c>
      <c r="D264" s="16" t="s">
        <v>589</v>
      </c>
      <c r="E264" t="s">
        <v>21</v>
      </c>
      <c r="F264" s="3">
        <v>46274.502812500003</v>
      </c>
      <c r="G264" s="3">
        <v>46275.472291666665</v>
      </c>
      <c r="H264" t="s">
        <v>424</v>
      </c>
      <c r="I264" t="s">
        <v>7</v>
      </c>
      <c r="K264" t="s">
        <v>67</v>
      </c>
      <c r="L264" s="10"/>
      <c r="N26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64" s="3"/>
      <c r="P264" s="3"/>
      <c r="Q264" s="3"/>
      <c r="R26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264" t="str">
        <f>IF(SCTR_Brokers[[#This Row],[FechaRecepcion]]="","",TEXT(SCTR_Brokers[[#This Row],[FechaRecepcion]],"mmmm")&amp;" "&amp;YEAR(SCTR_Brokers[[#This Row],[FechaRecepcion]]))</f>
        <v>septiembre 2026</v>
      </c>
      <c r="U264">
        <f>IF(SCTR_Brokers[[#This Row],[Estado]]="FINALIZADO",1,0)</f>
        <v>1</v>
      </c>
      <c r="V264">
        <f>IF(SCTR_Brokers[[#This Row],[FechaRecepcion]]="","",IF(SCTR_Brokers[[#This Row],[Estado]]="FINALIZADO",0,1))</f>
        <v>0</v>
      </c>
      <c r="W264">
        <f ca="1">IF(AND(SCTR_Brokers[[#This Row],[Estado]]="FINALIZADO",SCTR_Brokers[[#This Row],[Plazo]]=LISTAS!$J$3),1,0)</f>
        <v>0</v>
      </c>
      <c r="X264">
        <f ca="1">IF(AND(SCTR_Brokers[[#This Row],[Estado]]="FINALIZADO",SCTR_Brokers[[#This Row],[Plazo]]=LISTAS!$J$4),1,0)</f>
        <v>1</v>
      </c>
      <c r="Y264">
        <f ca="1">IF(AND(SCTR_Brokers[[#This Row],[Estado]]&lt;&gt;"FINALIZADO",SCTR_Brokers[[#This Row],[Plazo]]=LISTAS!$J$4),1,0)</f>
        <v>0</v>
      </c>
      <c r="Z264">
        <f>IF(SCTR_Brokers[[#This Row],[Fecha_Solic_Informe]]="",0,1)</f>
        <v>0</v>
      </c>
      <c r="AA264">
        <f>IF(SCTR_Brokers[[#This Row],[Fecha_Informe]]="",0,1)</f>
        <v>0</v>
      </c>
      <c r="AB264">
        <f>IF(AND(SCTR_Brokers[[#This Row],[Fecha_Solic_Informe]]&lt;&gt;"",SCTR_Brokers[[#This Row],[Fecha_Informe]]=""),1,0)</f>
        <v>0</v>
      </c>
      <c r="AC26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65" spans="1:29" hidden="1">
      <c r="A265" t="s">
        <v>590</v>
      </c>
      <c r="C265" t="str">
        <f>IF(SCTR_Brokers[[#This Row],[FechaRecepcion]]="","",SCTR_Brokers[[#This Row],[ConversationId]]&amp;"-"&amp;TEXT(SCTR_Brokers[[#This Row],[FechaRecepcion]],"aaaammddhhmmss"))</f>
        <v>AAQkADdkNThjNzFkLWM0ZmMtNDJhYS04MDVlLTIwNzE4ZDI1Mzg4YgAQAPUZfHYTAWJEmLVsXy_3viI=-20260909121309</v>
      </c>
      <c r="D265" s="16" t="s">
        <v>591</v>
      </c>
      <c r="E265" t="s">
        <v>20</v>
      </c>
      <c r="F265" s="3">
        <v>46274.509131944447</v>
      </c>
      <c r="G265" s="3">
        <v>46274.509131944447</v>
      </c>
      <c r="H265" t="s">
        <v>356</v>
      </c>
      <c r="I265" t="s">
        <v>7</v>
      </c>
      <c r="J265" t="s">
        <v>592</v>
      </c>
      <c r="K265" t="s">
        <v>67</v>
      </c>
      <c r="L265" s="10"/>
      <c r="N26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65" s="3"/>
      <c r="P265" s="3"/>
      <c r="Q265" s="3">
        <v>46274.509131944447</v>
      </c>
      <c r="R26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265" t="s">
        <v>164</v>
      </c>
      <c r="T265" t="str">
        <f>IF(SCTR_Brokers[[#This Row],[FechaRecepcion]]="","",TEXT(SCTR_Brokers[[#This Row],[FechaRecepcion]],"mmmm")&amp;" "&amp;YEAR(SCTR_Brokers[[#This Row],[FechaRecepcion]]))</f>
        <v>septiembre 2026</v>
      </c>
      <c r="U265">
        <f>IF(SCTR_Brokers[[#This Row],[Estado]]="FINALIZADO",1,0)</f>
        <v>1</v>
      </c>
      <c r="V265">
        <f>IF(SCTR_Brokers[[#This Row],[FechaRecepcion]]="","",IF(SCTR_Brokers[[#This Row],[Estado]]="FINALIZADO",0,1))</f>
        <v>0</v>
      </c>
      <c r="W265">
        <f ca="1">IF(AND(SCTR_Brokers[[#This Row],[Estado]]="FINALIZADO",SCTR_Brokers[[#This Row],[Plazo]]=LISTAS!$J$3),1,0)</f>
        <v>1</v>
      </c>
      <c r="X265">
        <f ca="1">IF(AND(SCTR_Brokers[[#This Row],[Estado]]="FINALIZADO",SCTR_Brokers[[#This Row],[Plazo]]=LISTAS!$J$4),1,0)</f>
        <v>0</v>
      </c>
      <c r="Y265">
        <f ca="1">IF(AND(SCTR_Brokers[[#This Row],[Estado]]&lt;&gt;"FINALIZADO",SCTR_Brokers[[#This Row],[Plazo]]=LISTAS!$J$4),1,0)</f>
        <v>0</v>
      </c>
      <c r="Z265">
        <f>IF(SCTR_Brokers[[#This Row],[Fecha_Solic_Informe]]="",0,1)</f>
        <v>0</v>
      </c>
      <c r="AA265">
        <f>IF(SCTR_Brokers[[#This Row],[Fecha_Informe]]="",0,1)</f>
        <v>0</v>
      </c>
      <c r="AB265">
        <f>IF(AND(SCTR_Brokers[[#This Row],[Fecha_Solic_Informe]]&lt;&gt;"",SCTR_Brokers[[#This Row],[Fecha_Informe]]=""),1,0)</f>
        <v>0</v>
      </c>
      <c r="AC26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66" spans="1:29" hidden="1">
      <c r="A266" t="s">
        <v>593</v>
      </c>
      <c r="C266" t="str">
        <f>IF(SCTR_Brokers[[#This Row],[FechaRecepcion]]="","",SCTR_Brokers[[#This Row],[ConversationId]]&amp;"-"&amp;TEXT(SCTR_Brokers[[#This Row],[FechaRecepcion]],"aaaammddhhmmss"))</f>
        <v>AAQkADdkNThjNzFkLWM0ZmMtNDJhYS04MDVlLTIwNzE4ZDI1Mzg4YgAQAJ51rc1eDyxEhpBKwxcqZVI=-20260909123200</v>
      </c>
      <c r="D266" s="16" t="s">
        <v>594</v>
      </c>
      <c r="E266" t="s">
        <v>21</v>
      </c>
      <c r="F266" s="3">
        <v>46274.522222222222</v>
      </c>
      <c r="G266" s="3">
        <v>46274.71503472222</v>
      </c>
      <c r="H266" t="s">
        <v>595</v>
      </c>
      <c r="I266" t="s">
        <v>7</v>
      </c>
      <c r="K266" t="s">
        <v>67</v>
      </c>
      <c r="L266" s="10"/>
      <c r="N26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66" s="3"/>
      <c r="P266" s="3"/>
      <c r="Q266" s="3">
        <v>46274.71503472222</v>
      </c>
      <c r="R26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66" t="str">
        <f>IF(SCTR_Brokers[[#This Row],[FechaRecepcion]]="","",TEXT(SCTR_Brokers[[#This Row],[FechaRecepcion]],"mmmm")&amp;" "&amp;YEAR(SCTR_Brokers[[#This Row],[FechaRecepcion]]))</f>
        <v>septiembre 2026</v>
      </c>
      <c r="U266">
        <f>IF(SCTR_Brokers[[#This Row],[Estado]]="FINALIZADO",1,0)</f>
        <v>1</v>
      </c>
      <c r="V266">
        <f>IF(SCTR_Brokers[[#This Row],[FechaRecepcion]]="","",IF(SCTR_Brokers[[#This Row],[Estado]]="FINALIZADO",0,1))</f>
        <v>0</v>
      </c>
      <c r="W266">
        <f ca="1">IF(AND(SCTR_Brokers[[#This Row],[Estado]]="FINALIZADO",SCTR_Brokers[[#This Row],[Plazo]]=LISTAS!$J$3),1,0)</f>
        <v>1</v>
      </c>
      <c r="X266">
        <f ca="1">IF(AND(SCTR_Brokers[[#This Row],[Estado]]="FINALIZADO",SCTR_Brokers[[#This Row],[Plazo]]=LISTAS!$J$4),1,0)</f>
        <v>0</v>
      </c>
      <c r="Y266">
        <f ca="1">IF(AND(SCTR_Brokers[[#This Row],[Estado]]&lt;&gt;"FINALIZADO",SCTR_Brokers[[#This Row],[Plazo]]=LISTAS!$J$4),1,0)</f>
        <v>0</v>
      </c>
      <c r="Z266">
        <f>IF(SCTR_Brokers[[#This Row],[Fecha_Solic_Informe]]="",0,1)</f>
        <v>0</v>
      </c>
      <c r="AA266">
        <f>IF(SCTR_Brokers[[#This Row],[Fecha_Informe]]="",0,1)</f>
        <v>0</v>
      </c>
      <c r="AB266">
        <f>IF(AND(SCTR_Brokers[[#This Row],[Fecha_Solic_Informe]]&lt;&gt;"",SCTR_Brokers[[#This Row],[Fecha_Informe]]=""),1,0)</f>
        <v>0</v>
      </c>
      <c r="AC26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67" spans="1:29" hidden="1">
      <c r="A267" t="s">
        <v>596</v>
      </c>
      <c r="C267" t="str">
        <f>IF(SCTR_Brokers[[#This Row],[FechaRecepcion]]="","",SCTR_Brokers[[#This Row],[ConversationId]]&amp;"-"&amp;TEXT(SCTR_Brokers[[#This Row],[FechaRecepcion]],"aaaammddhhmmss"))</f>
        <v>AAQkADdkNThjNzFkLWM0ZmMtNDJhYS04MDVlLTIwNzE4ZDI1Mzg4YgAQAEBe-iYsHEabuabt-X9ILlY=-20260909123750</v>
      </c>
      <c r="D267" s="16" t="s">
        <v>597</v>
      </c>
      <c r="E267" t="s">
        <v>21</v>
      </c>
      <c r="F267" s="3">
        <v>46274.526273148149</v>
      </c>
      <c r="G267" s="3">
        <v>46274.594143518516</v>
      </c>
      <c r="H267" t="s">
        <v>252</v>
      </c>
      <c r="I267" t="s">
        <v>7</v>
      </c>
      <c r="K267" t="s">
        <v>67</v>
      </c>
      <c r="L267" s="10"/>
      <c r="N26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67" s="3"/>
      <c r="P267" s="3"/>
      <c r="Q267" s="3">
        <v>46274.653865740744</v>
      </c>
      <c r="R26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67" t="str">
        <f>IF(SCTR_Brokers[[#This Row],[FechaRecepcion]]="","",TEXT(SCTR_Brokers[[#This Row],[FechaRecepcion]],"mmmm")&amp;" "&amp;YEAR(SCTR_Brokers[[#This Row],[FechaRecepcion]]))</f>
        <v>septiembre 2026</v>
      </c>
      <c r="U267">
        <f>IF(SCTR_Brokers[[#This Row],[Estado]]="FINALIZADO",1,0)</f>
        <v>1</v>
      </c>
      <c r="V267">
        <f>IF(SCTR_Brokers[[#This Row],[FechaRecepcion]]="","",IF(SCTR_Brokers[[#This Row],[Estado]]="FINALIZADO",0,1))</f>
        <v>0</v>
      </c>
      <c r="W267">
        <f ca="1">IF(AND(SCTR_Brokers[[#This Row],[Estado]]="FINALIZADO",SCTR_Brokers[[#This Row],[Plazo]]=LISTAS!$J$3),1,0)</f>
        <v>1</v>
      </c>
      <c r="X267">
        <f ca="1">IF(AND(SCTR_Brokers[[#This Row],[Estado]]="FINALIZADO",SCTR_Brokers[[#This Row],[Plazo]]=LISTAS!$J$4),1,0)</f>
        <v>0</v>
      </c>
      <c r="Y267">
        <f ca="1">IF(AND(SCTR_Brokers[[#This Row],[Estado]]&lt;&gt;"FINALIZADO",SCTR_Brokers[[#This Row],[Plazo]]=LISTAS!$J$4),1,0)</f>
        <v>0</v>
      </c>
      <c r="Z267">
        <f>IF(SCTR_Brokers[[#This Row],[Fecha_Solic_Informe]]="",0,1)</f>
        <v>0</v>
      </c>
      <c r="AA267">
        <f>IF(SCTR_Brokers[[#This Row],[Fecha_Informe]]="",0,1)</f>
        <v>0</v>
      </c>
      <c r="AB267">
        <f>IF(AND(SCTR_Brokers[[#This Row],[Fecha_Solic_Informe]]&lt;&gt;"",SCTR_Brokers[[#This Row],[Fecha_Informe]]=""),1,0)</f>
        <v>0</v>
      </c>
      <c r="AC26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68" spans="1:29" hidden="1">
      <c r="A268" t="s">
        <v>598</v>
      </c>
      <c r="C268" t="str">
        <f>IF(SCTR_Brokers[[#This Row],[FechaRecepcion]]="","",SCTR_Brokers[[#This Row],[ConversationId]]&amp;"-"&amp;TEXT(SCTR_Brokers[[#This Row],[FechaRecepcion]],"aaaammddhhmmss"))</f>
        <v>AAQkADdkNThjNzFkLWM0ZmMtNDJhYS04MDVlLTIwNzE4ZDI1Mzg4YgAQAKY_Sx2XMH9JkuxcYdiHCNU=-20260909140042</v>
      </c>
      <c r="D268" s="16" t="s">
        <v>599</v>
      </c>
      <c r="E268" t="s">
        <v>21</v>
      </c>
      <c r="F268" s="3">
        <v>46274.583819444444</v>
      </c>
      <c r="G268" s="3">
        <v>46274.66914351852</v>
      </c>
      <c r="H268" t="s">
        <v>66</v>
      </c>
      <c r="I268" t="s">
        <v>7</v>
      </c>
      <c r="K268" t="s">
        <v>67</v>
      </c>
      <c r="L268" s="10"/>
      <c r="N26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68" s="3"/>
      <c r="P268" s="3"/>
      <c r="Q268" s="3">
        <v>46274.769837962966</v>
      </c>
      <c r="R26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68" t="str">
        <f>IF(SCTR_Brokers[[#This Row],[FechaRecepcion]]="","",TEXT(SCTR_Brokers[[#This Row],[FechaRecepcion]],"mmmm")&amp;" "&amp;YEAR(SCTR_Brokers[[#This Row],[FechaRecepcion]]))</f>
        <v>septiembre 2026</v>
      </c>
      <c r="U268">
        <f>IF(SCTR_Brokers[[#This Row],[Estado]]="FINALIZADO",1,0)</f>
        <v>1</v>
      </c>
      <c r="V268">
        <f>IF(SCTR_Brokers[[#This Row],[FechaRecepcion]]="","",IF(SCTR_Brokers[[#This Row],[Estado]]="FINALIZADO",0,1))</f>
        <v>0</v>
      </c>
      <c r="W268">
        <f ca="1">IF(AND(SCTR_Brokers[[#This Row],[Estado]]="FINALIZADO",SCTR_Brokers[[#This Row],[Plazo]]=LISTAS!$J$3),1,0)</f>
        <v>1</v>
      </c>
      <c r="X268">
        <f ca="1">IF(AND(SCTR_Brokers[[#This Row],[Estado]]="FINALIZADO",SCTR_Brokers[[#This Row],[Plazo]]=LISTAS!$J$4),1,0)</f>
        <v>0</v>
      </c>
      <c r="Y268">
        <f ca="1">IF(AND(SCTR_Brokers[[#This Row],[Estado]]&lt;&gt;"FINALIZADO",SCTR_Brokers[[#This Row],[Plazo]]=LISTAS!$J$4),1,0)</f>
        <v>0</v>
      </c>
      <c r="Z268">
        <f>IF(SCTR_Brokers[[#This Row],[Fecha_Solic_Informe]]="",0,1)</f>
        <v>0</v>
      </c>
      <c r="AA268">
        <f>IF(SCTR_Brokers[[#This Row],[Fecha_Informe]]="",0,1)</f>
        <v>0</v>
      </c>
      <c r="AB268">
        <f>IF(AND(SCTR_Brokers[[#This Row],[Fecha_Solic_Informe]]&lt;&gt;"",SCTR_Brokers[[#This Row],[Fecha_Informe]]=""),1,0)</f>
        <v>0</v>
      </c>
      <c r="AC26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69" spans="1:29" hidden="1">
      <c r="A269" t="s">
        <v>600</v>
      </c>
      <c r="C269" t="str">
        <f>IF(SCTR_Brokers[[#This Row],[FechaRecepcion]]="","",SCTR_Brokers[[#This Row],[ConversationId]]&amp;"-"&amp;TEXT(SCTR_Brokers[[#This Row],[FechaRecepcion]],"aaaammddhhmmss"))</f>
        <v>AAQkADdkNThjNzFkLWM0ZmMtNDJhYS04MDVlLTIwNzE4ZDI1Mzg4YgAQAFL9J4WYeWhNk5aCLuS3a7g=-20260909155358</v>
      </c>
      <c r="D269" s="16" t="s">
        <v>601</v>
      </c>
      <c r="E269" t="s">
        <v>23</v>
      </c>
      <c r="F269" s="3">
        <v>46274.662476851852</v>
      </c>
      <c r="G269" s="3">
        <v>46274.662476851852</v>
      </c>
      <c r="H269" t="s">
        <v>144</v>
      </c>
      <c r="I269" t="s">
        <v>7</v>
      </c>
      <c r="K269" t="s">
        <v>67</v>
      </c>
      <c r="L269" s="10"/>
      <c r="N26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69" s="3"/>
      <c r="P269" s="3"/>
      <c r="Q269" s="3"/>
      <c r="R26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269" t="str">
        <f>IF(SCTR_Brokers[[#This Row],[FechaRecepcion]]="","",TEXT(SCTR_Brokers[[#This Row],[FechaRecepcion]],"mmmm")&amp;" "&amp;YEAR(SCTR_Brokers[[#This Row],[FechaRecepcion]]))</f>
        <v>septiembre 2026</v>
      </c>
      <c r="U269">
        <f>IF(SCTR_Brokers[[#This Row],[Estado]]="FINALIZADO",1,0)</f>
        <v>1</v>
      </c>
      <c r="V269">
        <f>IF(SCTR_Brokers[[#This Row],[FechaRecepcion]]="","",IF(SCTR_Brokers[[#This Row],[Estado]]="FINALIZADO",0,1))</f>
        <v>0</v>
      </c>
      <c r="W269">
        <f ca="1">IF(AND(SCTR_Brokers[[#This Row],[Estado]]="FINALIZADO",SCTR_Brokers[[#This Row],[Plazo]]=LISTAS!$J$3),1,0)</f>
        <v>0</v>
      </c>
      <c r="X269">
        <f ca="1">IF(AND(SCTR_Brokers[[#This Row],[Estado]]="FINALIZADO",SCTR_Brokers[[#This Row],[Plazo]]=LISTAS!$J$4),1,0)</f>
        <v>1</v>
      </c>
      <c r="Y269">
        <f ca="1">IF(AND(SCTR_Brokers[[#This Row],[Estado]]&lt;&gt;"FINALIZADO",SCTR_Brokers[[#This Row],[Plazo]]=LISTAS!$J$4),1,0)</f>
        <v>0</v>
      </c>
      <c r="Z269">
        <f>IF(SCTR_Brokers[[#This Row],[Fecha_Solic_Informe]]="",0,1)</f>
        <v>0</v>
      </c>
      <c r="AA269">
        <f>IF(SCTR_Brokers[[#This Row],[Fecha_Informe]]="",0,1)</f>
        <v>0</v>
      </c>
      <c r="AB269">
        <f>IF(AND(SCTR_Brokers[[#This Row],[Fecha_Solic_Informe]]&lt;&gt;"",SCTR_Brokers[[#This Row],[Fecha_Informe]]=""),1,0)</f>
        <v>0</v>
      </c>
      <c r="AC26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70" spans="1:29" hidden="1">
      <c r="A270" t="s">
        <v>602</v>
      </c>
      <c r="C270" t="str">
        <f>IF(SCTR_Brokers[[#This Row],[FechaRecepcion]]="","",SCTR_Brokers[[#This Row],[ConversationId]]&amp;"-"&amp;TEXT(SCTR_Brokers[[#This Row],[FechaRecepcion]],"aaaammddhhmmss"))</f>
        <v>AAQkADdkNThjNzFkLWM0ZmMtNDJhYS04MDVlLTIwNzE4ZDI1Mzg4YgAQALFFomBjldNOnPhmIP50m0c=-20260910082615</v>
      </c>
      <c r="D270" s="16" t="s">
        <v>603</v>
      </c>
      <c r="E270" t="s">
        <v>21</v>
      </c>
      <c r="F270" s="3">
        <v>46275.3515625</v>
      </c>
      <c r="G270" s="3">
        <v>46275.3515625</v>
      </c>
      <c r="H270" t="s">
        <v>569</v>
      </c>
      <c r="I270" t="s">
        <v>7</v>
      </c>
      <c r="K270" t="s">
        <v>67</v>
      </c>
      <c r="L270" s="10"/>
      <c r="N27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70" s="3"/>
      <c r="P270" s="3"/>
      <c r="Q270" s="3">
        <v>46275.407638888886</v>
      </c>
      <c r="R27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70" t="str">
        <f>IF(SCTR_Brokers[[#This Row],[FechaRecepcion]]="","",TEXT(SCTR_Brokers[[#This Row],[FechaRecepcion]],"mmmm")&amp;" "&amp;YEAR(SCTR_Brokers[[#This Row],[FechaRecepcion]]))</f>
        <v>septiembre 2026</v>
      </c>
      <c r="U270">
        <f>IF(SCTR_Brokers[[#This Row],[Estado]]="FINALIZADO",1,0)</f>
        <v>1</v>
      </c>
      <c r="V270">
        <f>IF(SCTR_Brokers[[#This Row],[FechaRecepcion]]="","",IF(SCTR_Brokers[[#This Row],[Estado]]="FINALIZADO",0,1))</f>
        <v>0</v>
      </c>
      <c r="W270">
        <f ca="1">IF(AND(SCTR_Brokers[[#This Row],[Estado]]="FINALIZADO",SCTR_Brokers[[#This Row],[Plazo]]=LISTAS!$J$3),1,0)</f>
        <v>1</v>
      </c>
      <c r="X270">
        <f ca="1">IF(AND(SCTR_Brokers[[#This Row],[Estado]]="FINALIZADO",SCTR_Brokers[[#This Row],[Plazo]]=LISTAS!$J$4),1,0)</f>
        <v>0</v>
      </c>
      <c r="Y270">
        <f ca="1">IF(AND(SCTR_Brokers[[#This Row],[Estado]]&lt;&gt;"FINALIZADO",SCTR_Brokers[[#This Row],[Plazo]]=LISTAS!$J$4),1,0)</f>
        <v>0</v>
      </c>
      <c r="Z270">
        <f>IF(SCTR_Brokers[[#This Row],[Fecha_Solic_Informe]]="",0,1)</f>
        <v>0</v>
      </c>
      <c r="AA270">
        <f>IF(SCTR_Brokers[[#This Row],[Fecha_Informe]]="",0,1)</f>
        <v>0</v>
      </c>
      <c r="AB270">
        <f>IF(AND(SCTR_Brokers[[#This Row],[Fecha_Solic_Informe]]&lt;&gt;"",SCTR_Brokers[[#This Row],[Fecha_Informe]]=""),1,0)</f>
        <v>0</v>
      </c>
      <c r="AC27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71" spans="1:29" hidden="1">
      <c r="A271" t="s">
        <v>604</v>
      </c>
      <c r="C271" t="str">
        <f>IF(SCTR_Brokers[[#This Row],[FechaRecepcion]]="","",SCTR_Brokers[[#This Row],[ConversationId]]&amp;"-"&amp;TEXT(SCTR_Brokers[[#This Row],[FechaRecepcion]],"aaaammddhhmmss"))</f>
        <v>AAQkADdkNThjNzFkLWM0ZmMtNDJhYS04MDVlLTIwNzE4ZDI1Mzg4YgAQAB7oTg8w20jwqsfc3SHPoP0=-20260910095053</v>
      </c>
      <c r="D271" s="16" t="s">
        <v>605</v>
      </c>
      <c r="E271" t="s">
        <v>8</v>
      </c>
      <c r="F271" s="3">
        <v>46275.41033564815</v>
      </c>
      <c r="G271" s="3">
        <v>46275.41033564815</v>
      </c>
      <c r="H271" t="s">
        <v>606</v>
      </c>
      <c r="I271" t="s">
        <v>7</v>
      </c>
      <c r="K271" t="s">
        <v>67</v>
      </c>
      <c r="L271" s="10"/>
      <c r="N27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71" s="3"/>
      <c r="P271" s="3"/>
      <c r="Q271" s="3">
        <v>46275.428472222222</v>
      </c>
      <c r="R27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71" t="str">
        <f>IF(SCTR_Brokers[[#This Row],[FechaRecepcion]]="","",TEXT(SCTR_Brokers[[#This Row],[FechaRecepcion]],"mmmm")&amp;" "&amp;YEAR(SCTR_Brokers[[#This Row],[FechaRecepcion]]))</f>
        <v>septiembre 2026</v>
      </c>
      <c r="U271">
        <f>IF(SCTR_Brokers[[#This Row],[Estado]]="FINALIZADO",1,0)</f>
        <v>1</v>
      </c>
      <c r="V271">
        <f>IF(SCTR_Brokers[[#This Row],[FechaRecepcion]]="","",IF(SCTR_Brokers[[#This Row],[Estado]]="FINALIZADO",0,1))</f>
        <v>0</v>
      </c>
      <c r="W271">
        <f ca="1">IF(AND(SCTR_Brokers[[#This Row],[Estado]]="FINALIZADO",SCTR_Brokers[[#This Row],[Plazo]]=LISTAS!$J$3),1,0)</f>
        <v>1</v>
      </c>
      <c r="X271">
        <f ca="1">IF(AND(SCTR_Brokers[[#This Row],[Estado]]="FINALIZADO",SCTR_Brokers[[#This Row],[Plazo]]=LISTAS!$J$4),1,0)</f>
        <v>0</v>
      </c>
      <c r="Y271">
        <f ca="1">IF(AND(SCTR_Brokers[[#This Row],[Estado]]&lt;&gt;"FINALIZADO",SCTR_Brokers[[#This Row],[Plazo]]=LISTAS!$J$4),1,0)</f>
        <v>0</v>
      </c>
      <c r="Z271">
        <f>IF(SCTR_Brokers[[#This Row],[Fecha_Solic_Informe]]="",0,1)</f>
        <v>0</v>
      </c>
      <c r="AA271">
        <f>IF(SCTR_Brokers[[#This Row],[Fecha_Informe]]="",0,1)</f>
        <v>0</v>
      </c>
      <c r="AB271">
        <f>IF(AND(SCTR_Brokers[[#This Row],[Fecha_Solic_Informe]]&lt;&gt;"",SCTR_Brokers[[#This Row],[Fecha_Informe]]=""),1,0)</f>
        <v>0</v>
      </c>
      <c r="AC27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72" spans="1:29" hidden="1">
      <c r="A272" t="s">
        <v>607</v>
      </c>
      <c r="C272" t="str">
        <f>IF(SCTR_Brokers[[#This Row],[FechaRecepcion]]="","",SCTR_Brokers[[#This Row],[ConversationId]]&amp;"-"&amp;TEXT(SCTR_Brokers[[#This Row],[FechaRecepcion]],"aaaammddhhmmss"))</f>
        <v>AAQkADdkNThjNzFkLWM0ZmMtNDJhYS04MDVlLTIwNzE4ZDI1Mzg4YgAQAMWbopnoW9ZOrOV3R29jKDs=-20260910113620</v>
      </c>
      <c r="D272" s="16" t="s">
        <v>608</v>
      </c>
      <c r="E272" t="s">
        <v>8</v>
      </c>
      <c r="F272" s="3">
        <v>46275.483564814815</v>
      </c>
      <c r="G272" s="3">
        <v>46275.843877314815</v>
      </c>
      <c r="H272" t="s">
        <v>609</v>
      </c>
      <c r="I272" t="s">
        <v>7</v>
      </c>
      <c r="K272" t="s">
        <v>67</v>
      </c>
      <c r="L272" s="10"/>
      <c r="N27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72" s="3"/>
      <c r="P272" s="3"/>
      <c r="Q272" s="3">
        <v>46275.758333333331</v>
      </c>
      <c r="R27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72" t="str">
        <f>IF(SCTR_Brokers[[#This Row],[FechaRecepcion]]="","",TEXT(SCTR_Brokers[[#This Row],[FechaRecepcion]],"mmmm")&amp;" "&amp;YEAR(SCTR_Brokers[[#This Row],[FechaRecepcion]]))</f>
        <v>septiembre 2026</v>
      </c>
      <c r="U272">
        <f>IF(SCTR_Brokers[[#This Row],[Estado]]="FINALIZADO",1,0)</f>
        <v>1</v>
      </c>
      <c r="V272">
        <f>IF(SCTR_Brokers[[#This Row],[FechaRecepcion]]="","",IF(SCTR_Brokers[[#This Row],[Estado]]="FINALIZADO",0,1))</f>
        <v>0</v>
      </c>
      <c r="W272">
        <f ca="1">IF(AND(SCTR_Brokers[[#This Row],[Estado]]="FINALIZADO",SCTR_Brokers[[#This Row],[Plazo]]=LISTAS!$J$3),1,0)</f>
        <v>1</v>
      </c>
      <c r="X272">
        <f ca="1">IF(AND(SCTR_Brokers[[#This Row],[Estado]]="FINALIZADO",SCTR_Brokers[[#This Row],[Plazo]]=LISTAS!$J$4),1,0)</f>
        <v>0</v>
      </c>
      <c r="Y272">
        <f ca="1">IF(AND(SCTR_Brokers[[#This Row],[Estado]]&lt;&gt;"FINALIZADO",SCTR_Brokers[[#This Row],[Plazo]]=LISTAS!$J$4),1,0)</f>
        <v>0</v>
      </c>
      <c r="Z272">
        <f>IF(SCTR_Brokers[[#This Row],[Fecha_Solic_Informe]]="",0,1)</f>
        <v>0</v>
      </c>
      <c r="AA272">
        <f>IF(SCTR_Brokers[[#This Row],[Fecha_Informe]]="",0,1)</f>
        <v>0</v>
      </c>
      <c r="AB272">
        <f>IF(AND(SCTR_Brokers[[#This Row],[Fecha_Solic_Informe]]&lt;&gt;"",SCTR_Brokers[[#This Row],[Fecha_Informe]]=""),1,0)</f>
        <v>0</v>
      </c>
      <c r="AC27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73" spans="1:29" hidden="1">
      <c r="A273" t="s">
        <v>610</v>
      </c>
      <c r="C273" t="str">
        <f>IF(SCTR_Brokers[[#This Row],[FechaRecepcion]]="","",SCTR_Brokers[[#This Row],[ConversationId]]&amp;"-"&amp;TEXT(SCTR_Brokers[[#This Row],[FechaRecepcion]],"aaaammddhhmmss"))</f>
        <v>AAQkADdkNThjNzFkLWM0ZmMtNDJhYS04MDVlLTIwNzE4ZDI1Mzg4YgAQAPtNfUbNSKxOrlPz3jpLLcE=-20260910122237</v>
      </c>
      <c r="D273" s="16" t="s">
        <v>611</v>
      </c>
      <c r="E273" t="s">
        <v>8</v>
      </c>
      <c r="F273" s="3">
        <v>46275.515706018516</v>
      </c>
      <c r="G273" s="3">
        <v>46275.515706018516</v>
      </c>
      <c r="H273" t="s">
        <v>208</v>
      </c>
      <c r="I273" t="s">
        <v>7</v>
      </c>
      <c r="K273" t="s">
        <v>67</v>
      </c>
      <c r="L273" s="10"/>
      <c r="N27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73" s="3"/>
      <c r="P273" s="3"/>
      <c r="Q273" s="3">
        <v>46275.626388888886</v>
      </c>
      <c r="R27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73" t="str">
        <f>IF(SCTR_Brokers[[#This Row],[FechaRecepcion]]="","",TEXT(SCTR_Brokers[[#This Row],[FechaRecepcion]],"mmmm")&amp;" "&amp;YEAR(SCTR_Brokers[[#This Row],[FechaRecepcion]]))</f>
        <v>septiembre 2026</v>
      </c>
      <c r="U273">
        <f>IF(SCTR_Brokers[[#This Row],[Estado]]="FINALIZADO",1,0)</f>
        <v>1</v>
      </c>
      <c r="V273">
        <f>IF(SCTR_Brokers[[#This Row],[FechaRecepcion]]="","",IF(SCTR_Brokers[[#This Row],[Estado]]="FINALIZADO",0,1))</f>
        <v>0</v>
      </c>
      <c r="W273">
        <f ca="1">IF(AND(SCTR_Brokers[[#This Row],[Estado]]="FINALIZADO",SCTR_Brokers[[#This Row],[Plazo]]=LISTAS!$J$3),1,0)</f>
        <v>1</v>
      </c>
      <c r="X273">
        <f ca="1">IF(AND(SCTR_Brokers[[#This Row],[Estado]]="FINALIZADO",SCTR_Brokers[[#This Row],[Plazo]]=LISTAS!$J$4),1,0)</f>
        <v>0</v>
      </c>
      <c r="Y273">
        <f ca="1">IF(AND(SCTR_Brokers[[#This Row],[Estado]]&lt;&gt;"FINALIZADO",SCTR_Brokers[[#This Row],[Plazo]]=LISTAS!$J$4),1,0)</f>
        <v>0</v>
      </c>
      <c r="Z273">
        <f>IF(SCTR_Brokers[[#This Row],[Fecha_Solic_Informe]]="",0,1)</f>
        <v>0</v>
      </c>
      <c r="AA273">
        <f>IF(SCTR_Brokers[[#This Row],[Fecha_Informe]]="",0,1)</f>
        <v>0</v>
      </c>
      <c r="AB273">
        <f>IF(AND(SCTR_Brokers[[#This Row],[Fecha_Solic_Informe]]&lt;&gt;"",SCTR_Brokers[[#This Row],[Fecha_Informe]]=""),1,0)</f>
        <v>0</v>
      </c>
      <c r="AC27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74" spans="1:29" hidden="1">
      <c r="A274" t="s">
        <v>612</v>
      </c>
      <c r="C274" t="str">
        <f>IF(SCTR_Brokers[[#This Row],[FechaRecepcion]]="","",SCTR_Brokers[[#This Row],[ConversationId]]&amp;"-"&amp;TEXT(SCTR_Brokers[[#This Row],[FechaRecepcion]],"aaaammddhhmmss"))</f>
        <v>AAQkADdkNThjNzFkLWM0ZmMtNDJhYS04MDVlLTIwNzE4ZDI1Mzg4YgAQAOnpwxHajVZKngv1o5721Gg=-20260910125813</v>
      </c>
      <c r="D274" s="16" t="s">
        <v>613</v>
      </c>
      <c r="E274" t="s">
        <v>20</v>
      </c>
      <c r="F274" s="3">
        <v>46275.54042824074</v>
      </c>
      <c r="G274" s="3">
        <v>46275.6871875</v>
      </c>
      <c r="H274" t="s">
        <v>338</v>
      </c>
      <c r="I274" t="s">
        <v>7</v>
      </c>
      <c r="K274" t="s">
        <v>67</v>
      </c>
      <c r="L274" s="10"/>
      <c r="N27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74" s="3"/>
      <c r="P274" s="3"/>
      <c r="Q274" s="3">
        <v>46275.696527777778</v>
      </c>
      <c r="R27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74" t="str">
        <f>IF(SCTR_Brokers[[#This Row],[FechaRecepcion]]="","",TEXT(SCTR_Brokers[[#This Row],[FechaRecepcion]],"mmmm")&amp;" "&amp;YEAR(SCTR_Brokers[[#This Row],[FechaRecepcion]]))</f>
        <v>septiembre 2026</v>
      </c>
      <c r="U274">
        <f>IF(SCTR_Brokers[[#This Row],[Estado]]="FINALIZADO",1,0)</f>
        <v>1</v>
      </c>
      <c r="V274">
        <f>IF(SCTR_Brokers[[#This Row],[FechaRecepcion]]="","",IF(SCTR_Brokers[[#This Row],[Estado]]="FINALIZADO",0,1))</f>
        <v>0</v>
      </c>
      <c r="W274">
        <f ca="1">IF(AND(SCTR_Brokers[[#This Row],[Estado]]="FINALIZADO",SCTR_Brokers[[#This Row],[Plazo]]=LISTAS!$J$3),1,0)</f>
        <v>1</v>
      </c>
      <c r="X274">
        <f ca="1">IF(AND(SCTR_Brokers[[#This Row],[Estado]]="FINALIZADO",SCTR_Brokers[[#This Row],[Plazo]]=LISTAS!$J$4),1,0)</f>
        <v>0</v>
      </c>
      <c r="Y274">
        <f ca="1">IF(AND(SCTR_Brokers[[#This Row],[Estado]]&lt;&gt;"FINALIZADO",SCTR_Brokers[[#This Row],[Plazo]]=LISTAS!$J$4),1,0)</f>
        <v>0</v>
      </c>
      <c r="Z274">
        <f>IF(SCTR_Brokers[[#This Row],[Fecha_Solic_Informe]]="",0,1)</f>
        <v>0</v>
      </c>
      <c r="AA274">
        <f>IF(SCTR_Brokers[[#This Row],[Fecha_Informe]]="",0,1)</f>
        <v>0</v>
      </c>
      <c r="AB274">
        <f>IF(AND(SCTR_Brokers[[#This Row],[Fecha_Solic_Informe]]&lt;&gt;"",SCTR_Brokers[[#This Row],[Fecha_Informe]]=""),1,0)</f>
        <v>0</v>
      </c>
      <c r="AC27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75" spans="1:29" hidden="1">
      <c r="A275" t="s">
        <v>614</v>
      </c>
      <c r="C275" t="str">
        <f>IF(SCTR_Brokers[[#This Row],[FechaRecepcion]]="","",SCTR_Brokers[[#This Row],[ConversationId]]&amp;"-"&amp;TEXT(SCTR_Brokers[[#This Row],[FechaRecepcion]],"aaaammddhhmmss"))</f>
        <v>AAQkADdkNThjNzFkLWM0ZmMtNDJhYS04MDVlLTIwNzE4ZDI1Mzg4YgAQAO-YWiOJ0YxFkO8zQjJTzF0=-20260910145110</v>
      </c>
      <c r="D275" s="16" t="s">
        <v>615</v>
      </c>
      <c r="E275" t="s">
        <v>21</v>
      </c>
      <c r="F275" s="3">
        <v>46275.61886574074</v>
      </c>
      <c r="G275" s="3">
        <v>46275.61886574074</v>
      </c>
      <c r="H275" t="s">
        <v>90</v>
      </c>
      <c r="I275" t="s">
        <v>7</v>
      </c>
      <c r="K275" t="s">
        <v>67</v>
      </c>
      <c r="L275" s="10"/>
      <c r="N27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75" s="3"/>
      <c r="P275" s="3"/>
      <c r="Q275" s="3">
        <v>46275.825694444444</v>
      </c>
      <c r="R27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75" t="str">
        <f>IF(SCTR_Brokers[[#This Row],[FechaRecepcion]]="","",TEXT(SCTR_Brokers[[#This Row],[FechaRecepcion]],"mmmm")&amp;" "&amp;YEAR(SCTR_Brokers[[#This Row],[FechaRecepcion]]))</f>
        <v>septiembre 2026</v>
      </c>
      <c r="U275">
        <f>IF(SCTR_Brokers[[#This Row],[Estado]]="FINALIZADO",1,0)</f>
        <v>1</v>
      </c>
      <c r="V275">
        <f>IF(SCTR_Brokers[[#This Row],[FechaRecepcion]]="","",IF(SCTR_Brokers[[#This Row],[Estado]]="FINALIZADO",0,1))</f>
        <v>0</v>
      </c>
      <c r="W275">
        <f ca="1">IF(AND(SCTR_Brokers[[#This Row],[Estado]]="FINALIZADO",SCTR_Brokers[[#This Row],[Plazo]]=LISTAS!$J$3),1,0)</f>
        <v>1</v>
      </c>
      <c r="X275">
        <f ca="1">IF(AND(SCTR_Brokers[[#This Row],[Estado]]="FINALIZADO",SCTR_Brokers[[#This Row],[Plazo]]=LISTAS!$J$4),1,0)</f>
        <v>0</v>
      </c>
      <c r="Y275">
        <f ca="1">IF(AND(SCTR_Brokers[[#This Row],[Estado]]&lt;&gt;"FINALIZADO",SCTR_Brokers[[#This Row],[Plazo]]=LISTAS!$J$4),1,0)</f>
        <v>0</v>
      </c>
      <c r="Z275">
        <f>IF(SCTR_Brokers[[#This Row],[Fecha_Solic_Informe]]="",0,1)</f>
        <v>0</v>
      </c>
      <c r="AA275">
        <f>IF(SCTR_Brokers[[#This Row],[Fecha_Informe]]="",0,1)</f>
        <v>0</v>
      </c>
      <c r="AB275">
        <f>IF(AND(SCTR_Brokers[[#This Row],[Fecha_Solic_Informe]]&lt;&gt;"",SCTR_Brokers[[#This Row],[Fecha_Informe]]=""),1,0)</f>
        <v>0</v>
      </c>
      <c r="AC27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76" spans="1:29" hidden="1">
      <c r="A276" t="s">
        <v>616</v>
      </c>
      <c r="C276" t="str">
        <f>IF(SCTR_Brokers[[#This Row],[FechaRecepcion]]="","",SCTR_Brokers[[#This Row],[ConversationId]]&amp;"-"&amp;TEXT(SCTR_Brokers[[#This Row],[FechaRecepcion]],"aaaammddhhmmss"))</f>
        <v>AAQkADdkNThjNzFkLWM0ZmMtNDJhYS04MDVlLTIwNzE4ZDI1Mzg4YgAQAGbXE-g7k0H7hpW2rR6go1w=-20260910154348</v>
      </c>
      <c r="D276" s="16" t="s">
        <v>617</v>
      </c>
      <c r="E276" t="s">
        <v>14</v>
      </c>
      <c r="F276" s="3">
        <v>46275.655416666668</v>
      </c>
      <c r="G276" s="3">
        <v>46275.655416666668</v>
      </c>
      <c r="H276" t="s">
        <v>105</v>
      </c>
      <c r="I276" t="s">
        <v>7</v>
      </c>
      <c r="J276" t="s">
        <v>618</v>
      </c>
      <c r="K276" t="s">
        <v>67</v>
      </c>
      <c r="L276" s="10"/>
      <c r="N27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76" s="3"/>
      <c r="P276" s="3"/>
      <c r="Q276" s="3">
        <v>46275.655416666668</v>
      </c>
      <c r="R27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276" t="s">
        <v>164</v>
      </c>
      <c r="T276" t="str">
        <f>IF(SCTR_Brokers[[#This Row],[FechaRecepcion]]="","",TEXT(SCTR_Brokers[[#This Row],[FechaRecepcion]],"mmmm")&amp;" "&amp;YEAR(SCTR_Brokers[[#This Row],[FechaRecepcion]]))</f>
        <v>septiembre 2026</v>
      </c>
      <c r="U276">
        <f>IF(SCTR_Brokers[[#This Row],[Estado]]="FINALIZADO",1,0)</f>
        <v>1</v>
      </c>
      <c r="V276">
        <f>IF(SCTR_Brokers[[#This Row],[FechaRecepcion]]="","",IF(SCTR_Brokers[[#This Row],[Estado]]="FINALIZADO",0,1))</f>
        <v>0</v>
      </c>
      <c r="W276">
        <f ca="1">IF(AND(SCTR_Brokers[[#This Row],[Estado]]="FINALIZADO",SCTR_Brokers[[#This Row],[Plazo]]=LISTAS!$J$3),1,0)</f>
        <v>1</v>
      </c>
      <c r="X276">
        <f ca="1">IF(AND(SCTR_Brokers[[#This Row],[Estado]]="FINALIZADO",SCTR_Brokers[[#This Row],[Plazo]]=LISTAS!$J$4),1,0)</f>
        <v>0</v>
      </c>
      <c r="Y276">
        <f ca="1">IF(AND(SCTR_Brokers[[#This Row],[Estado]]&lt;&gt;"FINALIZADO",SCTR_Brokers[[#This Row],[Plazo]]=LISTAS!$J$4),1,0)</f>
        <v>0</v>
      </c>
      <c r="Z276">
        <f>IF(SCTR_Brokers[[#This Row],[Fecha_Solic_Informe]]="",0,1)</f>
        <v>0</v>
      </c>
      <c r="AA276">
        <f>IF(SCTR_Brokers[[#This Row],[Fecha_Informe]]="",0,1)</f>
        <v>0</v>
      </c>
      <c r="AB276">
        <f>IF(AND(SCTR_Brokers[[#This Row],[Fecha_Solic_Informe]]&lt;&gt;"",SCTR_Brokers[[#This Row],[Fecha_Informe]]=""),1,0)</f>
        <v>0</v>
      </c>
      <c r="AC27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77" spans="1:29" hidden="1">
      <c r="A277" t="s">
        <v>619</v>
      </c>
      <c r="C277" t="str">
        <f>IF(SCTR_Brokers[[#This Row],[FechaRecepcion]]="","",SCTR_Brokers[[#This Row],[ConversationId]]&amp;"-"&amp;TEXT(SCTR_Brokers[[#This Row],[FechaRecepcion]],"aaaammddhhmmss"))</f>
        <v>AAQkADdkNThjNzFkLWM0ZmMtNDJhYS04MDVlLTIwNzE4ZDI1Mzg4YgAQAGRV7qOc2OlKtorasflW13g=-20260910155730</v>
      </c>
      <c r="D277" s="16" t="s">
        <v>620</v>
      </c>
      <c r="E277" t="s">
        <v>20</v>
      </c>
      <c r="F277" s="3">
        <v>46275.664930555555</v>
      </c>
      <c r="G277" s="3">
        <v>46275.664930555555</v>
      </c>
      <c r="H277" t="s">
        <v>338</v>
      </c>
      <c r="I277" t="s">
        <v>7</v>
      </c>
      <c r="J277" t="s">
        <v>618</v>
      </c>
      <c r="K277" t="s">
        <v>67</v>
      </c>
      <c r="L277" s="10"/>
      <c r="N27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77" s="3"/>
      <c r="P277" s="3"/>
      <c r="Q277" s="3">
        <v>46275.664930555555</v>
      </c>
      <c r="R27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277" t="s">
        <v>164</v>
      </c>
      <c r="T277" t="str">
        <f>IF(SCTR_Brokers[[#This Row],[FechaRecepcion]]="","",TEXT(SCTR_Brokers[[#This Row],[FechaRecepcion]],"mmmm")&amp;" "&amp;YEAR(SCTR_Brokers[[#This Row],[FechaRecepcion]]))</f>
        <v>septiembre 2026</v>
      </c>
      <c r="U277">
        <f>IF(SCTR_Brokers[[#This Row],[Estado]]="FINALIZADO",1,0)</f>
        <v>1</v>
      </c>
      <c r="V277">
        <f>IF(SCTR_Brokers[[#This Row],[FechaRecepcion]]="","",IF(SCTR_Brokers[[#This Row],[Estado]]="FINALIZADO",0,1))</f>
        <v>0</v>
      </c>
      <c r="W277">
        <f ca="1">IF(AND(SCTR_Brokers[[#This Row],[Estado]]="FINALIZADO",SCTR_Brokers[[#This Row],[Plazo]]=LISTAS!$J$3),1,0)</f>
        <v>1</v>
      </c>
      <c r="X277">
        <f ca="1">IF(AND(SCTR_Brokers[[#This Row],[Estado]]="FINALIZADO",SCTR_Brokers[[#This Row],[Plazo]]=LISTAS!$J$4),1,0)</f>
        <v>0</v>
      </c>
      <c r="Y277">
        <f ca="1">IF(AND(SCTR_Brokers[[#This Row],[Estado]]&lt;&gt;"FINALIZADO",SCTR_Brokers[[#This Row],[Plazo]]=LISTAS!$J$4),1,0)</f>
        <v>0</v>
      </c>
      <c r="Z277">
        <f>IF(SCTR_Brokers[[#This Row],[Fecha_Solic_Informe]]="",0,1)</f>
        <v>0</v>
      </c>
      <c r="AA277">
        <f>IF(SCTR_Brokers[[#This Row],[Fecha_Informe]]="",0,1)</f>
        <v>0</v>
      </c>
      <c r="AB277">
        <f>IF(AND(SCTR_Brokers[[#This Row],[Fecha_Solic_Informe]]&lt;&gt;"",SCTR_Brokers[[#This Row],[Fecha_Informe]]=""),1,0)</f>
        <v>0</v>
      </c>
      <c r="AC27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78" spans="1:29" hidden="1">
      <c r="A278" t="s">
        <v>621</v>
      </c>
      <c r="C278" t="str">
        <f>IF(SCTR_Brokers[[#This Row],[FechaRecepcion]]="","",SCTR_Brokers[[#This Row],[ConversationId]]&amp;"-"&amp;TEXT(SCTR_Brokers[[#This Row],[FechaRecepcion]],"aaaammddhhmmss"))</f>
        <v>AAQkADdkNThjNzFkLWM0ZmMtNDJhYS04MDVlLTIwNzE4ZDI1Mzg4YgAQABB3BiIsE0yXoNSWyS803bw=-20260910161455</v>
      </c>
      <c r="D278" s="16" t="s">
        <v>622</v>
      </c>
      <c r="E278" t="s">
        <v>21</v>
      </c>
      <c r="F278" s="3">
        <v>46275.677025462966</v>
      </c>
      <c r="G278" s="3">
        <v>46275.677025462966</v>
      </c>
      <c r="H278" t="s">
        <v>424</v>
      </c>
      <c r="I278" t="s">
        <v>7</v>
      </c>
      <c r="K278" t="s">
        <v>67</v>
      </c>
      <c r="L278" s="10"/>
      <c r="N27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78" s="3"/>
      <c r="P278" s="3"/>
      <c r="Q278" s="3">
        <v>46275.691666666666</v>
      </c>
      <c r="R27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78" t="str">
        <f>IF(SCTR_Brokers[[#This Row],[FechaRecepcion]]="","",TEXT(SCTR_Brokers[[#This Row],[FechaRecepcion]],"mmmm")&amp;" "&amp;YEAR(SCTR_Brokers[[#This Row],[FechaRecepcion]]))</f>
        <v>septiembre 2026</v>
      </c>
      <c r="U278">
        <f>IF(SCTR_Brokers[[#This Row],[Estado]]="FINALIZADO",1,0)</f>
        <v>1</v>
      </c>
      <c r="V278">
        <f>IF(SCTR_Brokers[[#This Row],[FechaRecepcion]]="","",IF(SCTR_Brokers[[#This Row],[Estado]]="FINALIZADO",0,1))</f>
        <v>0</v>
      </c>
      <c r="W278">
        <f ca="1">IF(AND(SCTR_Brokers[[#This Row],[Estado]]="FINALIZADO",SCTR_Brokers[[#This Row],[Plazo]]=LISTAS!$J$3),1,0)</f>
        <v>1</v>
      </c>
      <c r="X278">
        <f ca="1">IF(AND(SCTR_Brokers[[#This Row],[Estado]]="FINALIZADO",SCTR_Brokers[[#This Row],[Plazo]]=LISTAS!$J$4),1,0)</f>
        <v>0</v>
      </c>
      <c r="Y278">
        <f ca="1">IF(AND(SCTR_Brokers[[#This Row],[Estado]]&lt;&gt;"FINALIZADO",SCTR_Brokers[[#This Row],[Plazo]]=LISTAS!$J$4),1,0)</f>
        <v>0</v>
      </c>
      <c r="Z278">
        <f>IF(SCTR_Brokers[[#This Row],[Fecha_Solic_Informe]]="",0,1)</f>
        <v>0</v>
      </c>
      <c r="AA278">
        <f>IF(SCTR_Brokers[[#This Row],[Fecha_Informe]]="",0,1)</f>
        <v>0</v>
      </c>
      <c r="AB278">
        <f>IF(AND(SCTR_Brokers[[#This Row],[Fecha_Solic_Informe]]&lt;&gt;"",SCTR_Brokers[[#This Row],[Fecha_Informe]]=""),1,0)</f>
        <v>0</v>
      </c>
      <c r="AC27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79" spans="1:29" hidden="1">
      <c r="A279" t="s">
        <v>623</v>
      </c>
      <c r="C279" t="str">
        <f>IF(SCTR_Brokers[[#This Row],[FechaRecepcion]]="","",SCTR_Brokers[[#This Row],[ConversationId]]&amp;"-"&amp;TEXT(SCTR_Brokers[[#This Row],[FechaRecepcion]],"aaaammddhhmmss"))</f>
        <v>AAQkADdkNThjNzFkLWM0ZmMtNDJhYS04MDVlLTIwNzE4ZDI1Mzg4YgAQAD7hu1HUT0wKq41Zbvy6pek=-20260910162604</v>
      </c>
      <c r="D279" s="16" t="s">
        <v>624</v>
      </c>
      <c r="E279" t="s">
        <v>21</v>
      </c>
      <c r="F279" s="3">
        <v>46275.68476851852</v>
      </c>
      <c r="G279" s="3">
        <v>46275.68476851852</v>
      </c>
      <c r="H279" t="s">
        <v>625</v>
      </c>
      <c r="I279" t="s">
        <v>7</v>
      </c>
      <c r="K279" t="s">
        <v>67</v>
      </c>
      <c r="L279" s="10"/>
      <c r="N27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79" s="3"/>
      <c r="P279" s="3"/>
      <c r="Q279" s="3">
        <v>46275.717361111114</v>
      </c>
      <c r="R27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79" t="str">
        <f>IF(SCTR_Brokers[[#This Row],[FechaRecepcion]]="","",TEXT(SCTR_Brokers[[#This Row],[FechaRecepcion]],"mmmm")&amp;" "&amp;YEAR(SCTR_Brokers[[#This Row],[FechaRecepcion]]))</f>
        <v>septiembre 2026</v>
      </c>
      <c r="U279">
        <f>IF(SCTR_Brokers[[#This Row],[Estado]]="FINALIZADO",1,0)</f>
        <v>1</v>
      </c>
      <c r="V279">
        <f>IF(SCTR_Brokers[[#This Row],[FechaRecepcion]]="","",IF(SCTR_Brokers[[#This Row],[Estado]]="FINALIZADO",0,1))</f>
        <v>0</v>
      </c>
      <c r="W279">
        <f ca="1">IF(AND(SCTR_Brokers[[#This Row],[Estado]]="FINALIZADO",SCTR_Brokers[[#This Row],[Plazo]]=LISTAS!$J$3),1,0)</f>
        <v>1</v>
      </c>
      <c r="X279">
        <f ca="1">IF(AND(SCTR_Brokers[[#This Row],[Estado]]="FINALIZADO",SCTR_Brokers[[#This Row],[Plazo]]=LISTAS!$J$4),1,0)</f>
        <v>0</v>
      </c>
      <c r="Y279">
        <f ca="1">IF(AND(SCTR_Brokers[[#This Row],[Estado]]&lt;&gt;"FINALIZADO",SCTR_Brokers[[#This Row],[Plazo]]=LISTAS!$J$4),1,0)</f>
        <v>0</v>
      </c>
      <c r="Z279">
        <f>IF(SCTR_Brokers[[#This Row],[Fecha_Solic_Informe]]="",0,1)</f>
        <v>0</v>
      </c>
      <c r="AA279">
        <f>IF(SCTR_Brokers[[#This Row],[Fecha_Informe]]="",0,1)</f>
        <v>0</v>
      </c>
      <c r="AB279">
        <f>IF(AND(SCTR_Brokers[[#This Row],[Fecha_Solic_Informe]]&lt;&gt;"",SCTR_Brokers[[#This Row],[Fecha_Informe]]=""),1,0)</f>
        <v>0</v>
      </c>
      <c r="AC27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80" spans="1:29" hidden="1">
      <c r="A280" t="s">
        <v>626</v>
      </c>
      <c r="C280" t="str">
        <f>IF(SCTR_Brokers[[#This Row],[FechaRecepcion]]="","",SCTR_Brokers[[#This Row],[ConversationId]]&amp;"-"&amp;TEXT(SCTR_Brokers[[#This Row],[FechaRecepcion]],"aaaammddhhmmss"))</f>
        <v>AAQkADdkNThjNzFkLWM0ZmMtNDJhYS04MDVlLTIwNzE4ZDI1Mzg4YgAQACbsiDHMFUU4i9BqdFncPvE=-20260910173843</v>
      </c>
      <c r="D280" s="16" t="s">
        <v>627</v>
      </c>
      <c r="E280" t="s">
        <v>21</v>
      </c>
      <c r="F280" s="3">
        <v>46275.735219907408</v>
      </c>
      <c r="G280" s="3">
        <v>46275.735219907408</v>
      </c>
      <c r="H280" t="s">
        <v>252</v>
      </c>
      <c r="I280" t="s">
        <v>7</v>
      </c>
      <c r="K280" t="s">
        <v>67</v>
      </c>
      <c r="L280" s="10"/>
      <c r="N28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80" s="3"/>
      <c r="P280" s="3"/>
      <c r="Q280" s="3">
        <v>46275.743055555555</v>
      </c>
      <c r="R28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80" t="str">
        <f>IF(SCTR_Brokers[[#This Row],[FechaRecepcion]]="","",TEXT(SCTR_Brokers[[#This Row],[FechaRecepcion]],"mmmm")&amp;" "&amp;YEAR(SCTR_Brokers[[#This Row],[FechaRecepcion]]))</f>
        <v>septiembre 2026</v>
      </c>
      <c r="U280">
        <f>IF(SCTR_Brokers[[#This Row],[Estado]]="FINALIZADO",1,0)</f>
        <v>1</v>
      </c>
      <c r="V280">
        <f>IF(SCTR_Brokers[[#This Row],[FechaRecepcion]]="","",IF(SCTR_Brokers[[#This Row],[Estado]]="FINALIZADO",0,1))</f>
        <v>0</v>
      </c>
      <c r="W280">
        <f ca="1">IF(AND(SCTR_Brokers[[#This Row],[Estado]]="FINALIZADO",SCTR_Brokers[[#This Row],[Plazo]]=LISTAS!$J$3),1,0)</f>
        <v>1</v>
      </c>
      <c r="X280">
        <f ca="1">IF(AND(SCTR_Brokers[[#This Row],[Estado]]="FINALIZADO",SCTR_Brokers[[#This Row],[Plazo]]=LISTAS!$J$4),1,0)</f>
        <v>0</v>
      </c>
      <c r="Y280">
        <f ca="1">IF(AND(SCTR_Brokers[[#This Row],[Estado]]&lt;&gt;"FINALIZADO",SCTR_Brokers[[#This Row],[Plazo]]=LISTAS!$J$4),1,0)</f>
        <v>0</v>
      </c>
      <c r="Z280">
        <f>IF(SCTR_Brokers[[#This Row],[Fecha_Solic_Informe]]="",0,1)</f>
        <v>0</v>
      </c>
      <c r="AA280">
        <f>IF(SCTR_Brokers[[#This Row],[Fecha_Informe]]="",0,1)</f>
        <v>0</v>
      </c>
      <c r="AB280">
        <f>IF(AND(SCTR_Brokers[[#This Row],[Fecha_Solic_Informe]]&lt;&gt;"",SCTR_Brokers[[#This Row],[Fecha_Informe]]=""),1,0)</f>
        <v>0</v>
      </c>
      <c r="AC28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81" spans="1:29" hidden="1">
      <c r="A281" t="s">
        <v>628</v>
      </c>
      <c r="C281" t="str">
        <f>IF(SCTR_Brokers[[#This Row],[FechaRecepcion]]="","",SCTR_Brokers[[#This Row],[ConversationId]]&amp;"-"&amp;TEXT(SCTR_Brokers[[#This Row],[FechaRecepcion]],"aaaammddhhmmss"))</f>
        <v>AAQkADdkNThjNzFkLWM0ZmMtNDJhYS04MDVlLTIwNzE4ZDI1Mzg4YgAQAOaw-sPx9mFIsswGRkSizKs=-20260910175745</v>
      </c>
      <c r="D281" s="16" t="s">
        <v>629</v>
      </c>
      <c r="E281" t="s">
        <v>23</v>
      </c>
      <c r="F281" s="3">
        <v>46275.748437499999</v>
      </c>
      <c r="G281" s="3">
        <v>46275.748437499999</v>
      </c>
      <c r="H281" t="s">
        <v>144</v>
      </c>
      <c r="I281" t="s">
        <v>7</v>
      </c>
      <c r="K281" t="s">
        <v>67</v>
      </c>
      <c r="L281" s="10"/>
      <c r="N28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81" s="3"/>
      <c r="P281" s="3"/>
      <c r="Q281" s="3">
        <v>46275.755555555559</v>
      </c>
      <c r="R28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81" t="str">
        <f>IF(SCTR_Brokers[[#This Row],[FechaRecepcion]]="","",TEXT(SCTR_Brokers[[#This Row],[FechaRecepcion]],"mmmm")&amp;" "&amp;YEAR(SCTR_Brokers[[#This Row],[FechaRecepcion]]))</f>
        <v>septiembre 2026</v>
      </c>
      <c r="U281">
        <f>IF(SCTR_Brokers[[#This Row],[Estado]]="FINALIZADO",1,0)</f>
        <v>1</v>
      </c>
      <c r="V281">
        <f>IF(SCTR_Brokers[[#This Row],[FechaRecepcion]]="","",IF(SCTR_Brokers[[#This Row],[Estado]]="FINALIZADO",0,1))</f>
        <v>0</v>
      </c>
      <c r="W281">
        <f ca="1">IF(AND(SCTR_Brokers[[#This Row],[Estado]]="FINALIZADO",SCTR_Brokers[[#This Row],[Plazo]]=LISTAS!$J$3),1,0)</f>
        <v>1</v>
      </c>
      <c r="X281">
        <f ca="1">IF(AND(SCTR_Brokers[[#This Row],[Estado]]="FINALIZADO",SCTR_Brokers[[#This Row],[Plazo]]=LISTAS!$J$4),1,0)</f>
        <v>0</v>
      </c>
      <c r="Y281">
        <f ca="1">IF(AND(SCTR_Brokers[[#This Row],[Estado]]&lt;&gt;"FINALIZADO",SCTR_Brokers[[#This Row],[Plazo]]=LISTAS!$J$4),1,0)</f>
        <v>0</v>
      </c>
      <c r="Z281">
        <f>IF(SCTR_Brokers[[#This Row],[Fecha_Solic_Informe]]="",0,1)</f>
        <v>0</v>
      </c>
      <c r="AA281">
        <f>IF(SCTR_Brokers[[#This Row],[Fecha_Informe]]="",0,1)</f>
        <v>0</v>
      </c>
      <c r="AB281">
        <f>IF(AND(SCTR_Brokers[[#This Row],[Fecha_Solic_Informe]]&lt;&gt;"",SCTR_Brokers[[#This Row],[Fecha_Informe]]=""),1,0)</f>
        <v>0</v>
      </c>
      <c r="AC28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82" spans="1:29" hidden="1">
      <c r="A282" t="s">
        <v>630</v>
      </c>
      <c r="C282" t="str">
        <f>IF(SCTR_Brokers[[#This Row],[FechaRecepcion]]="","",SCTR_Brokers[[#This Row],[ConversationId]]&amp;"-"&amp;TEXT(SCTR_Brokers[[#This Row],[FechaRecepcion]],"aaaammddhhmmss"))</f>
        <v>AAQkADdkNThjNzFkLWM0ZmMtNDJhYS04MDVlLTIwNzE4ZDI1Mzg4YgAQAIoCJJ14KM1ErIs_trmWAqE=-20260910213540</v>
      </c>
      <c r="D282" s="16" t="s">
        <v>631</v>
      </c>
      <c r="E282" t="s">
        <v>632</v>
      </c>
      <c r="F282" s="3">
        <v>46275.899768518517</v>
      </c>
      <c r="G282" s="3">
        <v>46275.899768518517</v>
      </c>
      <c r="H282" t="s">
        <v>633</v>
      </c>
      <c r="I282" t="s">
        <v>7</v>
      </c>
      <c r="K282" t="s">
        <v>67</v>
      </c>
      <c r="L282" s="10"/>
      <c r="N28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82" s="3"/>
      <c r="P282" s="3"/>
      <c r="Q282" s="3">
        <v>46276.549305555556</v>
      </c>
      <c r="R28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82" t="str">
        <f>IF(SCTR_Brokers[[#This Row],[FechaRecepcion]]="","",TEXT(SCTR_Brokers[[#This Row],[FechaRecepcion]],"mmmm")&amp;" "&amp;YEAR(SCTR_Brokers[[#This Row],[FechaRecepcion]]))</f>
        <v>septiembre 2026</v>
      </c>
      <c r="U282">
        <f>IF(SCTR_Brokers[[#This Row],[Estado]]="FINALIZADO",1,0)</f>
        <v>1</v>
      </c>
      <c r="V282">
        <f>IF(SCTR_Brokers[[#This Row],[FechaRecepcion]]="","",IF(SCTR_Brokers[[#This Row],[Estado]]="FINALIZADO",0,1))</f>
        <v>0</v>
      </c>
      <c r="W282">
        <f ca="1">IF(AND(SCTR_Brokers[[#This Row],[Estado]]="FINALIZADO",SCTR_Brokers[[#This Row],[Plazo]]=LISTAS!$J$3),1,0)</f>
        <v>1</v>
      </c>
      <c r="X282">
        <f ca="1">IF(AND(SCTR_Brokers[[#This Row],[Estado]]="FINALIZADO",SCTR_Brokers[[#This Row],[Plazo]]=LISTAS!$J$4),1,0)</f>
        <v>0</v>
      </c>
      <c r="Y282">
        <f ca="1">IF(AND(SCTR_Brokers[[#This Row],[Estado]]&lt;&gt;"FINALIZADO",SCTR_Brokers[[#This Row],[Plazo]]=LISTAS!$J$4),1,0)</f>
        <v>0</v>
      </c>
      <c r="Z282">
        <f>IF(SCTR_Brokers[[#This Row],[Fecha_Solic_Informe]]="",0,1)</f>
        <v>0</v>
      </c>
      <c r="AA282">
        <f>IF(SCTR_Brokers[[#This Row],[Fecha_Informe]]="",0,1)</f>
        <v>0</v>
      </c>
      <c r="AB282">
        <f>IF(AND(SCTR_Brokers[[#This Row],[Fecha_Solic_Informe]]&lt;&gt;"",SCTR_Brokers[[#This Row],[Fecha_Informe]]=""),1,0)</f>
        <v>0</v>
      </c>
      <c r="AC28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83" spans="1:29" hidden="1">
      <c r="A283" t="s">
        <v>634</v>
      </c>
      <c r="C283" t="str">
        <f>IF(SCTR_Brokers[[#This Row],[FechaRecepcion]]="","",SCTR_Brokers[[#This Row],[ConversationId]]&amp;"-"&amp;TEXT(SCTR_Brokers[[#This Row],[FechaRecepcion]],"aaaammddhhmmss"))</f>
        <v>AAQkADdkNThjNzFkLWM0ZmMtNDJhYS04MDVlLTIwNzE4ZDI1Mzg4YgAQAAeFqBF2aCNCn7qGZVF_9FA=-20260910223312</v>
      </c>
      <c r="D283" s="16" t="s">
        <v>635</v>
      </c>
      <c r="E283" t="s">
        <v>21</v>
      </c>
      <c r="F283" s="3">
        <v>46275.939722222225</v>
      </c>
      <c r="G283" s="3">
        <v>46275.939722222225</v>
      </c>
      <c r="H283" t="s">
        <v>424</v>
      </c>
      <c r="I283" t="s">
        <v>7</v>
      </c>
      <c r="J283" t="s">
        <v>636</v>
      </c>
      <c r="K283" t="s">
        <v>67</v>
      </c>
      <c r="L283" s="10"/>
      <c r="N28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83" s="3"/>
      <c r="P283" s="3"/>
      <c r="Q283" s="3">
        <v>46275.939722222218</v>
      </c>
      <c r="R28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283" t="s">
        <v>164</v>
      </c>
      <c r="T283" t="str">
        <f>IF(SCTR_Brokers[[#This Row],[FechaRecepcion]]="","",TEXT(SCTR_Brokers[[#This Row],[FechaRecepcion]],"mmmm")&amp;" "&amp;YEAR(SCTR_Brokers[[#This Row],[FechaRecepcion]]))</f>
        <v>septiembre 2026</v>
      </c>
      <c r="U283">
        <f>IF(SCTR_Brokers[[#This Row],[Estado]]="FINALIZADO",1,0)</f>
        <v>1</v>
      </c>
      <c r="V283">
        <f>IF(SCTR_Brokers[[#This Row],[FechaRecepcion]]="","",IF(SCTR_Brokers[[#This Row],[Estado]]="FINALIZADO",0,1))</f>
        <v>0</v>
      </c>
      <c r="W283">
        <f ca="1">IF(AND(SCTR_Brokers[[#This Row],[Estado]]="FINALIZADO",SCTR_Brokers[[#This Row],[Plazo]]=LISTAS!$J$3),1,0)</f>
        <v>1</v>
      </c>
      <c r="X283">
        <f ca="1">IF(AND(SCTR_Brokers[[#This Row],[Estado]]="FINALIZADO",SCTR_Brokers[[#This Row],[Plazo]]=LISTAS!$J$4),1,0)</f>
        <v>0</v>
      </c>
      <c r="Y283">
        <f ca="1">IF(AND(SCTR_Brokers[[#This Row],[Estado]]&lt;&gt;"FINALIZADO",SCTR_Brokers[[#This Row],[Plazo]]=LISTAS!$J$4),1,0)</f>
        <v>0</v>
      </c>
      <c r="Z283">
        <f>IF(SCTR_Brokers[[#This Row],[Fecha_Solic_Informe]]="",0,1)</f>
        <v>0</v>
      </c>
      <c r="AA283">
        <f>IF(SCTR_Brokers[[#This Row],[Fecha_Informe]]="",0,1)</f>
        <v>0</v>
      </c>
      <c r="AB283">
        <f>IF(AND(SCTR_Brokers[[#This Row],[Fecha_Solic_Informe]]&lt;&gt;"",SCTR_Brokers[[#This Row],[Fecha_Informe]]=""),1,0)</f>
        <v>0</v>
      </c>
      <c r="AC28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84" spans="1:29" hidden="1">
      <c r="A284" t="s">
        <v>637</v>
      </c>
      <c r="C284" t="str">
        <f>IF(SCTR_Brokers[[#This Row],[FechaRecepcion]]="","",SCTR_Brokers[[#This Row],[ConversationId]]&amp;"-"&amp;TEXT(SCTR_Brokers[[#This Row],[FechaRecepcion]],"aaaammddhhmmss"))</f>
        <v>AAQkADdkNThjNzFkLWM0ZmMtNDJhYS04MDVlLTIwNzE4ZDI1Mzg4YgAQAFil7khNtkvZr7Pe7uMhGd0=-20260911093606</v>
      </c>
      <c r="D284" s="16" t="s">
        <v>638</v>
      </c>
      <c r="E284" t="s">
        <v>20</v>
      </c>
      <c r="F284" s="3">
        <v>46276.400069444448</v>
      </c>
      <c r="G284" s="3">
        <v>46276.400069444448</v>
      </c>
      <c r="H284" t="s">
        <v>639</v>
      </c>
      <c r="I284" t="s">
        <v>7</v>
      </c>
      <c r="K284" t="s">
        <v>67</v>
      </c>
      <c r="L284" s="10"/>
      <c r="N28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84" s="3"/>
      <c r="P284" s="3"/>
      <c r="Q284" s="3">
        <v>46276.46875</v>
      </c>
      <c r="R28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84" t="str">
        <f>IF(SCTR_Brokers[[#This Row],[FechaRecepcion]]="","",TEXT(SCTR_Brokers[[#This Row],[FechaRecepcion]],"mmmm")&amp;" "&amp;YEAR(SCTR_Brokers[[#This Row],[FechaRecepcion]]))</f>
        <v>septiembre 2026</v>
      </c>
      <c r="U284">
        <f>IF(SCTR_Brokers[[#This Row],[Estado]]="FINALIZADO",1,0)</f>
        <v>1</v>
      </c>
      <c r="V284">
        <f>IF(SCTR_Brokers[[#This Row],[FechaRecepcion]]="","",IF(SCTR_Brokers[[#This Row],[Estado]]="FINALIZADO",0,1))</f>
        <v>0</v>
      </c>
      <c r="W284">
        <f ca="1">IF(AND(SCTR_Brokers[[#This Row],[Estado]]="FINALIZADO",SCTR_Brokers[[#This Row],[Plazo]]=LISTAS!$J$3),1,0)</f>
        <v>1</v>
      </c>
      <c r="X284">
        <f ca="1">IF(AND(SCTR_Brokers[[#This Row],[Estado]]="FINALIZADO",SCTR_Brokers[[#This Row],[Plazo]]=LISTAS!$J$4),1,0)</f>
        <v>0</v>
      </c>
      <c r="Y284">
        <f ca="1">IF(AND(SCTR_Brokers[[#This Row],[Estado]]&lt;&gt;"FINALIZADO",SCTR_Brokers[[#This Row],[Plazo]]=LISTAS!$J$4),1,0)</f>
        <v>0</v>
      </c>
      <c r="Z284">
        <f>IF(SCTR_Brokers[[#This Row],[Fecha_Solic_Informe]]="",0,1)</f>
        <v>0</v>
      </c>
      <c r="AA284">
        <f>IF(SCTR_Brokers[[#This Row],[Fecha_Informe]]="",0,1)</f>
        <v>0</v>
      </c>
      <c r="AB284">
        <f>IF(AND(SCTR_Brokers[[#This Row],[Fecha_Solic_Informe]]&lt;&gt;"",SCTR_Brokers[[#This Row],[Fecha_Informe]]=""),1,0)</f>
        <v>0</v>
      </c>
      <c r="AC28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85" spans="1:29" hidden="1">
      <c r="A285" t="s">
        <v>640</v>
      </c>
      <c r="C285" t="str">
        <f>IF(SCTR_Brokers[[#This Row],[FechaRecepcion]]="","",SCTR_Brokers[[#This Row],[ConversationId]]&amp;"-"&amp;TEXT(SCTR_Brokers[[#This Row],[FechaRecepcion]],"aaaammddhhmmss"))</f>
        <v>AAQkADdkNThjNzFkLWM0ZmMtNDJhYS04MDVlLTIwNzE4ZDI1Mzg4YgAQACayt1-seYBLu2ZDiAvyOHk=-20260911102711</v>
      </c>
      <c r="D285" s="16" t="s">
        <v>641</v>
      </c>
      <c r="E285" t="s">
        <v>20</v>
      </c>
      <c r="F285" s="3">
        <v>46276.435543981483</v>
      </c>
      <c r="G285" s="3">
        <v>46276.563333333332</v>
      </c>
      <c r="H285" t="s">
        <v>356</v>
      </c>
      <c r="I285" t="s">
        <v>7</v>
      </c>
      <c r="K285" t="s">
        <v>67</v>
      </c>
      <c r="L285" s="10"/>
      <c r="N28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85" s="3"/>
      <c r="P285" s="3"/>
      <c r="Q285" s="3">
        <v>46276.563333333332</v>
      </c>
      <c r="R28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85" t="str">
        <f>IF(SCTR_Brokers[[#This Row],[FechaRecepcion]]="","",TEXT(SCTR_Brokers[[#This Row],[FechaRecepcion]],"mmmm")&amp;" "&amp;YEAR(SCTR_Brokers[[#This Row],[FechaRecepcion]]))</f>
        <v>septiembre 2026</v>
      </c>
      <c r="U285">
        <f>IF(SCTR_Brokers[[#This Row],[Estado]]="FINALIZADO",1,0)</f>
        <v>1</v>
      </c>
      <c r="V285">
        <f>IF(SCTR_Brokers[[#This Row],[FechaRecepcion]]="","",IF(SCTR_Brokers[[#This Row],[Estado]]="FINALIZADO",0,1))</f>
        <v>0</v>
      </c>
      <c r="W285">
        <f ca="1">IF(AND(SCTR_Brokers[[#This Row],[Estado]]="FINALIZADO",SCTR_Brokers[[#This Row],[Plazo]]=LISTAS!$J$3),1,0)</f>
        <v>1</v>
      </c>
      <c r="X285">
        <f ca="1">IF(AND(SCTR_Brokers[[#This Row],[Estado]]="FINALIZADO",SCTR_Brokers[[#This Row],[Plazo]]=LISTAS!$J$4),1,0)</f>
        <v>0</v>
      </c>
      <c r="Y285">
        <f ca="1">IF(AND(SCTR_Brokers[[#This Row],[Estado]]&lt;&gt;"FINALIZADO",SCTR_Brokers[[#This Row],[Plazo]]=LISTAS!$J$4),1,0)</f>
        <v>0</v>
      </c>
      <c r="Z285">
        <f>IF(SCTR_Brokers[[#This Row],[Fecha_Solic_Informe]]="",0,1)</f>
        <v>0</v>
      </c>
      <c r="AA285">
        <f>IF(SCTR_Brokers[[#This Row],[Fecha_Informe]]="",0,1)</f>
        <v>0</v>
      </c>
      <c r="AB285">
        <f>IF(AND(SCTR_Brokers[[#This Row],[Fecha_Solic_Informe]]&lt;&gt;"",SCTR_Brokers[[#This Row],[Fecha_Informe]]=""),1,0)</f>
        <v>0</v>
      </c>
      <c r="AC28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86" spans="1:29" hidden="1">
      <c r="A286" t="s">
        <v>642</v>
      </c>
      <c r="C286" t="str">
        <f>IF(SCTR_Brokers[[#This Row],[FechaRecepcion]]="","",SCTR_Brokers[[#This Row],[ConversationId]]&amp;"-"&amp;TEXT(SCTR_Brokers[[#This Row],[FechaRecepcion]],"aaaammddhhmmss"))</f>
        <v>AAQkADdkNThjNzFkLWM0ZmMtNDJhYS04MDVlLTIwNzE4ZDI1Mzg4YgAQAO7nrBswpLtBvV1DuWkC-Z8=-20260911112927</v>
      </c>
      <c r="D286" s="16" t="s">
        <v>643</v>
      </c>
      <c r="E286" t="s">
        <v>21</v>
      </c>
      <c r="F286" s="3">
        <v>46276.478784722225</v>
      </c>
      <c r="G286" s="3">
        <v>46276.478784722225</v>
      </c>
      <c r="H286" t="s">
        <v>644</v>
      </c>
      <c r="I286" t="s">
        <v>7</v>
      </c>
      <c r="K286" t="s">
        <v>67</v>
      </c>
      <c r="L286" s="10"/>
      <c r="N28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86" s="3"/>
      <c r="P286" s="3"/>
      <c r="Q286" s="3">
        <v>46276.5</v>
      </c>
      <c r="R28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86" t="str">
        <f>IF(SCTR_Brokers[[#This Row],[FechaRecepcion]]="","",TEXT(SCTR_Brokers[[#This Row],[FechaRecepcion]],"mmmm")&amp;" "&amp;YEAR(SCTR_Brokers[[#This Row],[FechaRecepcion]]))</f>
        <v>septiembre 2026</v>
      </c>
      <c r="U286">
        <f>IF(SCTR_Brokers[[#This Row],[Estado]]="FINALIZADO",1,0)</f>
        <v>1</v>
      </c>
      <c r="V286">
        <f>IF(SCTR_Brokers[[#This Row],[FechaRecepcion]]="","",IF(SCTR_Brokers[[#This Row],[Estado]]="FINALIZADO",0,1))</f>
        <v>0</v>
      </c>
      <c r="W286">
        <f ca="1">IF(AND(SCTR_Brokers[[#This Row],[Estado]]="FINALIZADO",SCTR_Brokers[[#This Row],[Plazo]]=LISTAS!$J$3),1,0)</f>
        <v>1</v>
      </c>
      <c r="X286">
        <f ca="1">IF(AND(SCTR_Brokers[[#This Row],[Estado]]="FINALIZADO",SCTR_Brokers[[#This Row],[Plazo]]=LISTAS!$J$4),1,0)</f>
        <v>0</v>
      </c>
      <c r="Y286">
        <f ca="1">IF(AND(SCTR_Brokers[[#This Row],[Estado]]&lt;&gt;"FINALIZADO",SCTR_Brokers[[#This Row],[Plazo]]=LISTAS!$J$4),1,0)</f>
        <v>0</v>
      </c>
      <c r="Z286">
        <f>IF(SCTR_Brokers[[#This Row],[Fecha_Solic_Informe]]="",0,1)</f>
        <v>0</v>
      </c>
      <c r="AA286">
        <f>IF(SCTR_Brokers[[#This Row],[Fecha_Informe]]="",0,1)</f>
        <v>0</v>
      </c>
      <c r="AB286">
        <f>IF(AND(SCTR_Brokers[[#This Row],[Fecha_Solic_Informe]]&lt;&gt;"",SCTR_Brokers[[#This Row],[Fecha_Informe]]=""),1,0)</f>
        <v>0</v>
      </c>
      <c r="AC28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87" spans="1:29" hidden="1">
      <c r="A287" t="s">
        <v>645</v>
      </c>
      <c r="C287" t="str">
        <f>IF(SCTR_Brokers[[#This Row],[FechaRecepcion]]="","",SCTR_Brokers[[#This Row],[ConversationId]]&amp;"-"&amp;TEXT(SCTR_Brokers[[#This Row],[FechaRecepcion]],"aaaammddhhmmss"))</f>
        <v>AAQkADdkNThjNzFkLWM0ZmMtNDJhYS04MDVlLTIwNzE4ZDI1Mzg4YgAQAPKL9_vZlBBJuFLz-SqTEyc=-20260911115836</v>
      </c>
      <c r="D287" s="16" t="s">
        <v>646</v>
      </c>
      <c r="E287" t="s">
        <v>21</v>
      </c>
      <c r="F287" s="3">
        <v>46276.499027777776</v>
      </c>
      <c r="G287" s="3">
        <v>46276.499027777776</v>
      </c>
      <c r="H287" t="s">
        <v>569</v>
      </c>
      <c r="I287" t="s">
        <v>7</v>
      </c>
      <c r="K287" t="s">
        <v>67</v>
      </c>
      <c r="L287" s="10"/>
      <c r="N28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87" s="3"/>
      <c r="P287" s="3"/>
      <c r="Q287" s="3">
        <v>46276.581666666665</v>
      </c>
      <c r="R28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87" t="str">
        <f>IF(SCTR_Brokers[[#This Row],[FechaRecepcion]]="","",TEXT(SCTR_Brokers[[#This Row],[FechaRecepcion]],"mmmm")&amp;" "&amp;YEAR(SCTR_Brokers[[#This Row],[FechaRecepcion]]))</f>
        <v>septiembre 2026</v>
      </c>
      <c r="U287">
        <f>IF(SCTR_Brokers[[#This Row],[Estado]]="FINALIZADO",1,0)</f>
        <v>1</v>
      </c>
      <c r="V287">
        <f>IF(SCTR_Brokers[[#This Row],[FechaRecepcion]]="","",IF(SCTR_Brokers[[#This Row],[Estado]]="FINALIZADO",0,1))</f>
        <v>0</v>
      </c>
      <c r="W287">
        <f ca="1">IF(AND(SCTR_Brokers[[#This Row],[Estado]]="FINALIZADO",SCTR_Brokers[[#This Row],[Plazo]]=LISTAS!$J$3),1,0)</f>
        <v>1</v>
      </c>
      <c r="X287">
        <f ca="1">IF(AND(SCTR_Brokers[[#This Row],[Estado]]="FINALIZADO",SCTR_Brokers[[#This Row],[Plazo]]=LISTAS!$J$4),1,0)</f>
        <v>0</v>
      </c>
      <c r="Y287">
        <f ca="1">IF(AND(SCTR_Brokers[[#This Row],[Estado]]&lt;&gt;"FINALIZADO",SCTR_Brokers[[#This Row],[Plazo]]=LISTAS!$J$4),1,0)</f>
        <v>0</v>
      </c>
      <c r="Z287">
        <f>IF(SCTR_Brokers[[#This Row],[Fecha_Solic_Informe]]="",0,1)</f>
        <v>0</v>
      </c>
      <c r="AA287">
        <f>IF(SCTR_Brokers[[#This Row],[Fecha_Informe]]="",0,1)</f>
        <v>0</v>
      </c>
      <c r="AB287">
        <f>IF(AND(SCTR_Brokers[[#This Row],[Fecha_Solic_Informe]]&lt;&gt;"",SCTR_Brokers[[#This Row],[Fecha_Informe]]=""),1,0)</f>
        <v>0</v>
      </c>
      <c r="AC28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88" spans="1:29" hidden="1">
      <c r="A288" t="s">
        <v>647</v>
      </c>
      <c r="C288" t="str">
        <f>IF(SCTR_Brokers[[#This Row],[FechaRecepcion]]="","",SCTR_Brokers[[#This Row],[ConversationId]]&amp;"-"&amp;TEXT(SCTR_Brokers[[#This Row],[FechaRecepcion]],"aaaammddhhmmss"))</f>
        <v>AAQkADdkNThjNzFkLWM0ZmMtNDJhYS04MDVlLTIwNzE4ZDI1Mzg4YgAQAIbGYIdbX8xMvQ-iuoKjbdU=-20260911125237</v>
      </c>
      <c r="D288" s="16" t="s">
        <v>648</v>
      </c>
      <c r="E288" t="s">
        <v>23</v>
      </c>
      <c r="F288" s="3">
        <v>46276.536539351851</v>
      </c>
      <c r="G288" s="3">
        <v>46280.507743055554</v>
      </c>
      <c r="H288" t="s">
        <v>144</v>
      </c>
      <c r="I288" t="s">
        <v>7</v>
      </c>
      <c r="K288" t="s">
        <v>67</v>
      </c>
      <c r="L288" s="10"/>
      <c r="N28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88" s="3"/>
      <c r="P288" s="3"/>
      <c r="Q288" s="3">
        <v>46280.539583333331</v>
      </c>
      <c r="R28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288" t="str">
        <f>IF(SCTR_Brokers[[#This Row],[FechaRecepcion]]="","",TEXT(SCTR_Brokers[[#This Row],[FechaRecepcion]],"mmmm")&amp;" "&amp;YEAR(SCTR_Brokers[[#This Row],[FechaRecepcion]]))</f>
        <v>septiembre 2026</v>
      </c>
      <c r="U288">
        <f>IF(SCTR_Brokers[[#This Row],[Estado]]="FINALIZADO",1,0)</f>
        <v>1</v>
      </c>
      <c r="V288">
        <f>IF(SCTR_Brokers[[#This Row],[FechaRecepcion]]="","",IF(SCTR_Brokers[[#This Row],[Estado]]="FINALIZADO",0,1))</f>
        <v>0</v>
      </c>
      <c r="W288">
        <f ca="1">IF(AND(SCTR_Brokers[[#This Row],[Estado]]="FINALIZADO",SCTR_Brokers[[#This Row],[Plazo]]=LISTAS!$J$3),1,0)</f>
        <v>0</v>
      </c>
      <c r="X288">
        <f ca="1">IF(AND(SCTR_Brokers[[#This Row],[Estado]]="FINALIZADO",SCTR_Brokers[[#This Row],[Plazo]]=LISTAS!$J$4),1,0)</f>
        <v>1</v>
      </c>
      <c r="Y288">
        <f ca="1">IF(AND(SCTR_Brokers[[#This Row],[Estado]]&lt;&gt;"FINALIZADO",SCTR_Brokers[[#This Row],[Plazo]]=LISTAS!$J$4),1,0)</f>
        <v>0</v>
      </c>
      <c r="Z288">
        <f>IF(SCTR_Brokers[[#This Row],[Fecha_Solic_Informe]]="",0,1)</f>
        <v>0</v>
      </c>
      <c r="AA288">
        <f>IF(SCTR_Brokers[[#This Row],[Fecha_Informe]]="",0,1)</f>
        <v>0</v>
      </c>
      <c r="AB288">
        <f>IF(AND(SCTR_Brokers[[#This Row],[Fecha_Solic_Informe]]&lt;&gt;"",SCTR_Brokers[[#This Row],[Fecha_Informe]]=""),1,0)</f>
        <v>0</v>
      </c>
      <c r="AC28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89" spans="1:29" hidden="1">
      <c r="A289" t="s">
        <v>649</v>
      </c>
      <c r="C289" t="str">
        <f>IF(SCTR_Brokers[[#This Row],[FechaRecepcion]]="","",SCTR_Brokers[[#This Row],[ConversationId]]&amp;"-"&amp;TEXT(SCTR_Brokers[[#This Row],[FechaRecepcion]],"aaaammddhhmmss"))</f>
        <v>AAQkADdkNThjNzFkLWM0ZmMtNDJhYS04MDVlLTIwNzE4ZDI1Mzg4YgAQAFkbxFtrSkT7v9CDNQT32FM=-20260911151023</v>
      </c>
      <c r="D289" s="16" t="s">
        <v>650</v>
      </c>
      <c r="E289" t="s">
        <v>8</v>
      </c>
      <c r="F289" s="3">
        <v>46276.632210648146</v>
      </c>
      <c r="G289" s="3">
        <v>46276.632210648146</v>
      </c>
      <c r="H289" t="s">
        <v>651</v>
      </c>
      <c r="I289" t="s">
        <v>7</v>
      </c>
      <c r="K289" t="s">
        <v>67</v>
      </c>
      <c r="L289" s="10"/>
      <c r="N28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89" s="3"/>
      <c r="P289" s="3"/>
      <c r="Q289" s="3">
        <v>46276.632210648146</v>
      </c>
      <c r="R28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89" t="str">
        <f>IF(SCTR_Brokers[[#This Row],[FechaRecepcion]]="","",TEXT(SCTR_Brokers[[#This Row],[FechaRecepcion]],"mmmm")&amp;" "&amp;YEAR(SCTR_Brokers[[#This Row],[FechaRecepcion]]))</f>
        <v>septiembre 2026</v>
      </c>
      <c r="U289">
        <f>IF(SCTR_Brokers[[#This Row],[Estado]]="FINALIZADO",1,0)</f>
        <v>1</v>
      </c>
      <c r="V289">
        <f>IF(SCTR_Brokers[[#This Row],[FechaRecepcion]]="","",IF(SCTR_Brokers[[#This Row],[Estado]]="FINALIZADO",0,1))</f>
        <v>0</v>
      </c>
      <c r="W289">
        <f ca="1">IF(AND(SCTR_Brokers[[#This Row],[Estado]]="FINALIZADO",SCTR_Brokers[[#This Row],[Plazo]]=LISTAS!$J$3),1,0)</f>
        <v>1</v>
      </c>
      <c r="X289">
        <f ca="1">IF(AND(SCTR_Brokers[[#This Row],[Estado]]="FINALIZADO",SCTR_Brokers[[#This Row],[Plazo]]=LISTAS!$J$4),1,0)</f>
        <v>0</v>
      </c>
      <c r="Y289">
        <f ca="1">IF(AND(SCTR_Brokers[[#This Row],[Estado]]&lt;&gt;"FINALIZADO",SCTR_Brokers[[#This Row],[Plazo]]=LISTAS!$J$4),1,0)</f>
        <v>0</v>
      </c>
      <c r="Z289">
        <f>IF(SCTR_Brokers[[#This Row],[Fecha_Solic_Informe]]="",0,1)</f>
        <v>0</v>
      </c>
      <c r="AA289">
        <f>IF(SCTR_Brokers[[#This Row],[Fecha_Informe]]="",0,1)</f>
        <v>0</v>
      </c>
      <c r="AB289">
        <f>IF(AND(SCTR_Brokers[[#This Row],[Fecha_Solic_Informe]]&lt;&gt;"",SCTR_Brokers[[#This Row],[Fecha_Informe]]=""),1,0)</f>
        <v>0</v>
      </c>
      <c r="AC28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90" spans="1:29" hidden="1">
      <c r="A290" t="s">
        <v>652</v>
      </c>
      <c r="C290" t="str">
        <f>IF(SCTR_Brokers[[#This Row],[FechaRecepcion]]="","",SCTR_Brokers[[#This Row],[ConversationId]]&amp;"-"&amp;TEXT(SCTR_Brokers[[#This Row],[FechaRecepcion]],"aaaammddhhmmss"))</f>
        <v>AAQkADdkNThjNzFkLWM0ZmMtNDJhYS04MDVlLTIwNzE4ZDI1Mzg4YgAQAHZ-nQK1X0gVm-AR3e5G9VU=-20260911151311</v>
      </c>
      <c r="D290" s="16" t="s">
        <v>653</v>
      </c>
      <c r="E290" t="s">
        <v>14</v>
      </c>
      <c r="F290" s="3">
        <v>46276.634155092594</v>
      </c>
      <c r="G290" s="3">
        <v>46276.634155092594</v>
      </c>
      <c r="H290" t="s">
        <v>115</v>
      </c>
      <c r="I290" t="s">
        <v>7</v>
      </c>
      <c r="K290" t="s">
        <v>67</v>
      </c>
      <c r="L290" s="10"/>
      <c r="N29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90" s="3"/>
      <c r="P290" s="3"/>
      <c r="Q290" s="3">
        <v>46279.40347222222</v>
      </c>
      <c r="R29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90" t="str">
        <f>IF(SCTR_Brokers[[#This Row],[FechaRecepcion]]="","",TEXT(SCTR_Brokers[[#This Row],[FechaRecepcion]],"mmmm")&amp;" "&amp;YEAR(SCTR_Brokers[[#This Row],[FechaRecepcion]]))</f>
        <v>septiembre 2026</v>
      </c>
      <c r="U290">
        <f>IF(SCTR_Brokers[[#This Row],[Estado]]="FINALIZADO",1,0)</f>
        <v>1</v>
      </c>
      <c r="V290">
        <f>IF(SCTR_Brokers[[#This Row],[FechaRecepcion]]="","",IF(SCTR_Brokers[[#This Row],[Estado]]="FINALIZADO",0,1))</f>
        <v>0</v>
      </c>
      <c r="W290">
        <f ca="1">IF(AND(SCTR_Brokers[[#This Row],[Estado]]="FINALIZADO",SCTR_Brokers[[#This Row],[Plazo]]=LISTAS!$J$3),1,0)</f>
        <v>1</v>
      </c>
      <c r="X290">
        <f ca="1">IF(AND(SCTR_Brokers[[#This Row],[Estado]]="FINALIZADO",SCTR_Brokers[[#This Row],[Plazo]]=LISTAS!$J$4),1,0)</f>
        <v>0</v>
      </c>
      <c r="Y290">
        <f ca="1">IF(AND(SCTR_Brokers[[#This Row],[Estado]]&lt;&gt;"FINALIZADO",SCTR_Brokers[[#This Row],[Plazo]]=LISTAS!$J$4),1,0)</f>
        <v>0</v>
      </c>
      <c r="Z290">
        <f>IF(SCTR_Brokers[[#This Row],[Fecha_Solic_Informe]]="",0,1)</f>
        <v>0</v>
      </c>
      <c r="AA290">
        <f>IF(SCTR_Brokers[[#This Row],[Fecha_Informe]]="",0,1)</f>
        <v>0</v>
      </c>
      <c r="AB290">
        <f>IF(AND(SCTR_Brokers[[#This Row],[Fecha_Solic_Informe]]&lt;&gt;"",SCTR_Brokers[[#This Row],[Fecha_Informe]]=""),1,0)</f>
        <v>0</v>
      </c>
      <c r="AC29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91" spans="1:29" hidden="1">
      <c r="A291" t="s">
        <v>654</v>
      </c>
      <c r="C291" t="str">
        <f>IF(SCTR_Brokers[[#This Row],[FechaRecepcion]]="","",SCTR_Brokers[[#This Row],[ConversationId]]&amp;"-"&amp;TEXT(SCTR_Brokers[[#This Row],[FechaRecepcion]],"aaaammddhhmmss"))</f>
        <v>AAQkADdkNThjNzFkLWM0ZmMtNDJhYS04MDVlLTIwNzE4ZDI1Mzg4YgAQAF5jBRg57UKvkXO9QzrdVUY=-20260911173933</v>
      </c>
      <c r="D291" s="16" t="s">
        <v>655</v>
      </c>
      <c r="E291" t="s">
        <v>23</v>
      </c>
      <c r="F291" s="3">
        <v>46276.735798611109</v>
      </c>
      <c r="G291" s="3">
        <v>46276.735798611109</v>
      </c>
      <c r="H291" t="s">
        <v>144</v>
      </c>
      <c r="I291" t="s">
        <v>7</v>
      </c>
      <c r="K291" t="s">
        <v>67</v>
      </c>
      <c r="L291" s="10"/>
      <c r="N29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91" s="3"/>
      <c r="P291" s="3"/>
      <c r="Q291" s="3">
        <v>46279.382638888892</v>
      </c>
      <c r="R29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91" t="str">
        <f>IF(SCTR_Brokers[[#This Row],[FechaRecepcion]]="","",TEXT(SCTR_Brokers[[#This Row],[FechaRecepcion]],"mmmm")&amp;" "&amp;YEAR(SCTR_Brokers[[#This Row],[FechaRecepcion]]))</f>
        <v>septiembre 2026</v>
      </c>
      <c r="U291">
        <f>IF(SCTR_Brokers[[#This Row],[Estado]]="FINALIZADO",1,0)</f>
        <v>1</v>
      </c>
      <c r="V291">
        <f>IF(SCTR_Brokers[[#This Row],[FechaRecepcion]]="","",IF(SCTR_Brokers[[#This Row],[Estado]]="FINALIZADO",0,1))</f>
        <v>0</v>
      </c>
      <c r="W291">
        <f ca="1">IF(AND(SCTR_Brokers[[#This Row],[Estado]]="FINALIZADO",SCTR_Brokers[[#This Row],[Plazo]]=LISTAS!$J$3),1,0)</f>
        <v>1</v>
      </c>
      <c r="X291">
        <f ca="1">IF(AND(SCTR_Brokers[[#This Row],[Estado]]="FINALIZADO",SCTR_Brokers[[#This Row],[Plazo]]=LISTAS!$J$4),1,0)</f>
        <v>0</v>
      </c>
      <c r="Y291">
        <f ca="1">IF(AND(SCTR_Brokers[[#This Row],[Estado]]&lt;&gt;"FINALIZADO",SCTR_Brokers[[#This Row],[Plazo]]=LISTAS!$J$4),1,0)</f>
        <v>0</v>
      </c>
      <c r="Z291">
        <f>IF(SCTR_Brokers[[#This Row],[Fecha_Solic_Informe]]="",0,1)</f>
        <v>0</v>
      </c>
      <c r="AA291">
        <f>IF(SCTR_Brokers[[#This Row],[Fecha_Informe]]="",0,1)</f>
        <v>0</v>
      </c>
      <c r="AB291">
        <f>IF(AND(SCTR_Brokers[[#This Row],[Fecha_Solic_Informe]]&lt;&gt;"",SCTR_Brokers[[#This Row],[Fecha_Informe]]=""),1,0)</f>
        <v>0</v>
      </c>
      <c r="AC29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92" spans="1:29" hidden="1">
      <c r="A292" t="s">
        <v>656</v>
      </c>
      <c r="C292" t="str">
        <f>IF(SCTR_Brokers[[#This Row],[FechaRecepcion]]="","",SCTR_Brokers[[#This Row],[ConversationId]]&amp;"-"&amp;TEXT(SCTR_Brokers[[#This Row],[FechaRecepcion]],"aaaammddhhmmss"))</f>
        <v>AAQkADdkNThjNzFkLWM0ZmMtNDJhYS04MDVlLTIwNzE4ZDI1Mzg4YgAQABpiZT-7SUBHh0pnzCMqDaY=-20260911182348</v>
      </c>
      <c r="D292" s="16" t="s">
        <v>657</v>
      </c>
      <c r="E292" t="s">
        <v>21</v>
      </c>
      <c r="F292" s="3">
        <v>46276.766527777778</v>
      </c>
      <c r="G292" s="3">
        <v>46276.790902777779</v>
      </c>
      <c r="H292" t="s">
        <v>644</v>
      </c>
      <c r="I292" t="s">
        <v>7</v>
      </c>
      <c r="K292" t="s">
        <v>67</v>
      </c>
      <c r="L292" s="10"/>
      <c r="N29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92" s="3"/>
      <c r="P292" s="3"/>
      <c r="Q292" s="3">
        <v>46276.790902777779</v>
      </c>
      <c r="R29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92" t="str">
        <f>IF(SCTR_Brokers[[#This Row],[FechaRecepcion]]="","",TEXT(SCTR_Brokers[[#This Row],[FechaRecepcion]],"mmmm")&amp;" "&amp;YEAR(SCTR_Brokers[[#This Row],[FechaRecepcion]]))</f>
        <v>septiembre 2026</v>
      </c>
      <c r="U292">
        <f>IF(SCTR_Brokers[[#This Row],[Estado]]="FINALIZADO",1,0)</f>
        <v>1</v>
      </c>
      <c r="V292">
        <f>IF(SCTR_Brokers[[#This Row],[FechaRecepcion]]="","",IF(SCTR_Brokers[[#This Row],[Estado]]="FINALIZADO",0,1))</f>
        <v>0</v>
      </c>
      <c r="W292">
        <f ca="1">IF(AND(SCTR_Brokers[[#This Row],[Estado]]="FINALIZADO",SCTR_Brokers[[#This Row],[Plazo]]=LISTAS!$J$3),1,0)</f>
        <v>1</v>
      </c>
      <c r="X292">
        <f ca="1">IF(AND(SCTR_Brokers[[#This Row],[Estado]]="FINALIZADO",SCTR_Brokers[[#This Row],[Plazo]]=LISTAS!$J$4),1,0)</f>
        <v>0</v>
      </c>
      <c r="Y292">
        <f ca="1">IF(AND(SCTR_Brokers[[#This Row],[Estado]]&lt;&gt;"FINALIZADO",SCTR_Brokers[[#This Row],[Plazo]]=LISTAS!$J$4),1,0)</f>
        <v>0</v>
      </c>
      <c r="Z292">
        <f>IF(SCTR_Brokers[[#This Row],[Fecha_Solic_Informe]]="",0,1)</f>
        <v>0</v>
      </c>
      <c r="AA292">
        <f>IF(SCTR_Brokers[[#This Row],[Fecha_Informe]]="",0,1)</f>
        <v>0</v>
      </c>
      <c r="AB292">
        <f>IF(AND(SCTR_Brokers[[#This Row],[Fecha_Solic_Informe]]&lt;&gt;"",SCTR_Brokers[[#This Row],[Fecha_Informe]]=""),1,0)</f>
        <v>0</v>
      </c>
      <c r="AC29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93" spans="1:29" hidden="1">
      <c r="A293" t="s">
        <v>658</v>
      </c>
      <c r="C293" t="str">
        <f>IF(SCTR_Brokers[[#This Row],[FechaRecepcion]]="","",SCTR_Brokers[[#This Row],[ConversationId]]&amp;"-"&amp;TEXT(SCTR_Brokers[[#This Row],[FechaRecepcion]],"aaaammddhhmmss"))</f>
        <v>AAQkADdkNThjNzFkLWM0ZmMtNDJhYS04MDVlLTIwNzE4ZDI1Mzg4YgAQAIJMaveE2ECkmf2mWVIFPIA=-20260911182918</v>
      </c>
      <c r="D293" s="16" t="s">
        <v>659</v>
      </c>
      <c r="E293" t="s">
        <v>21</v>
      </c>
      <c r="F293" s="3">
        <v>46276.77034722222</v>
      </c>
      <c r="G293" s="3">
        <v>46276.77034722222</v>
      </c>
      <c r="H293" t="s">
        <v>644</v>
      </c>
      <c r="I293" t="s">
        <v>7</v>
      </c>
      <c r="K293" t="s">
        <v>67</v>
      </c>
      <c r="L293" s="10"/>
      <c r="N29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93" s="3"/>
      <c r="P293" s="3"/>
      <c r="Q293" s="3">
        <v>46279.34375</v>
      </c>
      <c r="R29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93" t="str">
        <f>IF(SCTR_Brokers[[#This Row],[FechaRecepcion]]="","",TEXT(SCTR_Brokers[[#This Row],[FechaRecepcion]],"mmmm")&amp;" "&amp;YEAR(SCTR_Brokers[[#This Row],[FechaRecepcion]]))</f>
        <v>septiembre 2026</v>
      </c>
      <c r="U293">
        <f>IF(SCTR_Brokers[[#This Row],[Estado]]="FINALIZADO",1,0)</f>
        <v>1</v>
      </c>
      <c r="V293">
        <f>IF(SCTR_Brokers[[#This Row],[FechaRecepcion]]="","",IF(SCTR_Brokers[[#This Row],[Estado]]="FINALIZADO",0,1))</f>
        <v>0</v>
      </c>
      <c r="W293">
        <f ca="1">IF(AND(SCTR_Brokers[[#This Row],[Estado]]="FINALIZADO",SCTR_Brokers[[#This Row],[Plazo]]=LISTAS!$J$3),1,0)</f>
        <v>1</v>
      </c>
      <c r="X293">
        <f ca="1">IF(AND(SCTR_Brokers[[#This Row],[Estado]]="FINALIZADO",SCTR_Brokers[[#This Row],[Plazo]]=LISTAS!$J$4),1,0)</f>
        <v>0</v>
      </c>
      <c r="Y293">
        <f ca="1">IF(AND(SCTR_Brokers[[#This Row],[Estado]]&lt;&gt;"FINALIZADO",SCTR_Brokers[[#This Row],[Plazo]]=LISTAS!$J$4),1,0)</f>
        <v>0</v>
      </c>
      <c r="Z293">
        <f>IF(SCTR_Brokers[[#This Row],[Fecha_Solic_Informe]]="",0,1)</f>
        <v>0</v>
      </c>
      <c r="AA293">
        <f>IF(SCTR_Brokers[[#This Row],[Fecha_Informe]]="",0,1)</f>
        <v>0</v>
      </c>
      <c r="AB293">
        <f>IF(AND(SCTR_Brokers[[#This Row],[Fecha_Solic_Informe]]&lt;&gt;"",SCTR_Brokers[[#This Row],[Fecha_Informe]]=""),1,0)</f>
        <v>0</v>
      </c>
      <c r="AC29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94" spans="1:29" hidden="1">
      <c r="A294" t="s">
        <v>660</v>
      </c>
      <c r="C294" t="str">
        <f>IF(SCTR_Brokers[[#This Row],[FechaRecepcion]]="","",SCTR_Brokers[[#This Row],[ConversationId]]&amp;"-"&amp;TEXT(SCTR_Brokers[[#This Row],[FechaRecepcion]],"aaaammddhhmmss"))</f>
        <v>AAQkADdkNThjNzFkLWM0ZmMtNDJhYS04MDVlLTIwNzE4ZDI1Mzg4YgAQAKRCHXpzI0VBiepqyQ6je3M=-20260912120556</v>
      </c>
      <c r="D294" s="16" t="s">
        <v>661</v>
      </c>
      <c r="E294" t="s">
        <v>21</v>
      </c>
      <c r="F294" s="3">
        <v>46277.504120370373</v>
      </c>
      <c r="G294" s="3">
        <v>46277.504999999997</v>
      </c>
      <c r="H294" t="s">
        <v>662</v>
      </c>
      <c r="I294" t="s">
        <v>7</v>
      </c>
      <c r="K294" t="s">
        <v>67</v>
      </c>
      <c r="L294" s="10"/>
      <c r="N29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94" s="3"/>
      <c r="P294" s="3"/>
      <c r="Q294" s="3">
        <v>46279.397916666669</v>
      </c>
      <c r="R29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94" t="str">
        <f>IF(SCTR_Brokers[[#This Row],[FechaRecepcion]]="","",TEXT(SCTR_Brokers[[#This Row],[FechaRecepcion]],"mmmm")&amp;" "&amp;YEAR(SCTR_Brokers[[#This Row],[FechaRecepcion]]))</f>
        <v>septiembre 2026</v>
      </c>
      <c r="U294">
        <f>IF(SCTR_Brokers[[#This Row],[Estado]]="FINALIZADO",1,0)</f>
        <v>1</v>
      </c>
      <c r="V294">
        <f>IF(SCTR_Brokers[[#This Row],[FechaRecepcion]]="","",IF(SCTR_Brokers[[#This Row],[Estado]]="FINALIZADO",0,1))</f>
        <v>0</v>
      </c>
      <c r="W294">
        <f ca="1">IF(AND(SCTR_Brokers[[#This Row],[Estado]]="FINALIZADO",SCTR_Brokers[[#This Row],[Plazo]]=LISTAS!$J$3),1,0)</f>
        <v>1</v>
      </c>
      <c r="X294">
        <f ca="1">IF(AND(SCTR_Brokers[[#This Row],[Estado]]="FINALIZADO",SCTR_Brokers[[#This Row],[Plazo]]=LISTAS!$J$4),1,0)</f>
        <v>0</v>
      </c>
      <c r="Y294">
        <f ca="1">IF(AND(SCTR_Brokers[[#This Row],[Estado]]&lt;&gt;"FINALIZADO",SCTR_Brokers[[#This Row],[Plazo]]=LISTAS!$J$4),1,0)</f>
        <v>0</v>
      </c>
      <c r="Z294">
        <f>IF(SCTR_Brokers[[#This Row],[Fecha_Solic_Informe]]="",0,1)</f>
        <v>0</v>
      </c>
      <c r="AA294">
        <f>IF(SCTR_Brokers[[#This Row],[Fecha_Informe]]="",0,1)</f>
        <v>0</v>
      </c>
      <c r="AB294">
        <f>IF(AND(SCTR_Brokers[[#This Row],[Fecha_Solic_Informe]]&lt;&gt;"",SCTR_Brokers[[#This Row],[Fecha_Informe]]=""),1,0)</f>
        <v>0</v>
      </c>
      <c r="AC29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95" spans="1:29" hidden="1">
      <c r="A295" t="s">
        <v>663</v>
      </c>
      <c r="C295" t="str">
        <f>IF(SCTR_Brokers[[#This Row],[FechaRecepcion]]="","",SCTR_Brokers[[#This Row],[ConversationId]]&amp;"-"&amp;TEXT(SCTR_Brokers[[#This Row],[FechaRecepcion]],"aaaammddhhmmss"))</f>
        <v>AAQkADdkNThjNzFkLWM0ZmMtNDJhYS04MDVlLTIwNzE4ZDI1Mzg4YgAQABv2nOys2AVBq003K7i1Rb0=-20260914082125</v>
      </c>
      <c r="D295" s="16" t="s">
        <v>664</v>
      </c>
      <c r="E295" t="s">
        <v>21</v>
      </c>
      <c r="F295" s="3">
        <v>46279.34820601852</v>
      </c>
      <c r="G295" s="3">
        <v>46279.34820601852</v>
      </c>
      <c r="H295" t="s">
        <v>569</v>
      </c>
      <c r="I295" t="s">
        <v>7</v>
      </c>
      <c r="K295" t="s">
        <v>67</v>
      </c>
      <c r="L295" s="10"/>
      <c r="N29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95" s="3"/>
      <c r="P295" s="3"/>
      <c r="Q295" s="3">
        <v>46279.401388888888</v>
      </c>
      <c r="R29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95" t="str">
        <f>IF(SCTR_Brokers[[#This Row],[FechaRecepcion]]="","",TEXT(SCTR_Brokers[[#This Row],[FechaRecepcion]],"mmmm")&amp;" "&amp;YEAR(SCTR_Brokers[[#This Row],[FechaRecepcion]]))</f>
        <v>septiembre 2026</v>
      </c>
      <c r="U295">
        <f>IF(SCTR_Brokers[[#This Row],[Estado]]="FINALIZADO",1,0)</f>
        <v>1</v>
      </c>
      <c r="V295">
        <f>IF(SCTR_Brokers[[#This Row],[FechaRecepcion]]="","",IF(SCTR_Brokers[[#This Row],[Estado]]="FINALIZADO",0,1))</f>
        <v>0</v>
      </c>
      <c r="W295">
        <f ca="1">IF(AND(SCTR_Brokers[[#This Row],[Estado]]="FINALIZADO",SCTR_Brokers[[#This Row],[Plazo]]=LISTAS!$J$3),1,0)</f>
        <v>1</v>
      </c>
      <c r="X295">
        <f ca="1">IF(AND(SCTR_Brokers[[#This Row],[Estado]]="FINALIZADO",SCTR_Brokers[[#This Row],[Plazo]]=LISTAS!$J$4),1,0)</f>
        <v>0</v>
      </c>
      <c r="Y295">
        <f ca="1">IF(AND(SCTR_Brokers[[#This Row],[Estado]]&lt;&gt;"FINALIZADO",SCTR_Brokers[[#This Row],[Plazo]]=LISTAS!$J$4),1,0)</f>
        <v>0</v>
      </c>
      <c r="Z295">
        <f>IF(SCTR_Brokers[[#This Row],[Fecha_Solic_Informe]]="",0,1)</f>
        <v>0</v>
      </c>
      <c r="AA295">
        <f>IF(SCTR_Brokers[[#This Row],[Fecha_Informe]]="",0,1)</f>
        <v>0</v>
      </c>
      <c r="AB295">
        <f>IF(AND(SCTR_Brokers[[#This Row],[Fecha_Solic_Informe]]&lt;&gt;"",SCTR_Brokers[[#This Row],[Fecha_Informe]]=""),1,0)</f>
        <v>0</v>
      </c>
      <c r="AC29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96" spans="1:29" hidden="1">
      <c r="A296" t="s">
        <v>665</v>
      </c>
      <c r="C296" t="str">
        <f>IF(SCTR_Brokers[[#This Row],[FechaRecepcion]]="","",SCTR_Brokers[[#This Row],[ConversationId]]&amp;"-"&amp;TEXT(SCTR_Brokers[[#This Row],[FechaRecepcion]],"aaaammddhhmmss"))</f>
        <v>AAQkADdkNThjNzFkLWM0ZmMtNDJhYS04MDVlLTIwNzE4ZDI1Mzg4YgAQABKVgXyNzSZGgDO9BNwKrdo=-20260914091549</v>
      </c>
      <c r="D296" s="16" t="s">
        <v>666</v>
      </c>
      <c r="E296" t="s">
        <v>21</v>
      </c>
      <c r="F296" s="3">
        <v>46279.385983796295</v>
      </c>
      <c r="G296" s="3">
        <v>46279.385983796295</v>
      </c>
      <c r="H296" t="s">
        <v>424</v>
      </c>
      <c r="I296" t="s">
        <v>7</v>
      </c>
      <c r="K296" t="s">
        <v>67</v>
      </c>
      <c r="L296" s="10"/>
      <c r="N29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96" s="3"/>
      <c r="P296" s="3"/>
      <c r="Q296" s="3">
        <v>46279.385983796295</v>
      </c>
      <c r="R29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96" t="str">
        <f>IF(SCTR_Brokers[[#This Row],[FechaRecepcion]]="","",TEXT(SCTR_Brokers[[#This Row],[FechaRecepcion]],"mmmm")&amp;" "&amp;YEAR(SCTR_Brokers[[#This Row],[FechaRecepcion]]))</f>
        <v>septiembre 2026</v>
      </c>
      <c r="U296">
        <f>IF(SCTR_Brokers[[#This Row],[Estado]]="FINALIZADO",1,0)</f>
        <v>1</v>
      </c>
      <c r="V296">
        <f>IF(SCTR_Brokers[[#This Row],[FechaRecepcion]]="","",IF(SCTR_Brokers[[#This Row],[Estado]]="FINALIZADO",0,1))</f>
        <v>0</v>
      </c>
      <c r="W296">
        <f ca="1">IF(AND(SCTR_Brokers[[#This Row],[Estado]]="FINALIZADO",SCTR_Brokers[[#This Row],[Plazo]]=LISTAS!$J$3),1,0)</f>
        <v>1</v>
      </c>
      <c r="X296">
        <f ca="1">IF(AND(SCTR_Brokers[[#This Row],[Estado]]="FINALIZADO",SCTR_Brokers[[#This Row],[Plazo]]=LISTAS!$J$4),1,0)</f>
        <v>0</v>
      </c>
      <c r="Y296">
        <f ca="1">IF(AND(SCTR_Brokers[[#This Row],[Estado]]&lt;&gt;"FINALIZADO",SCTR_Brokers[[#This Row],[Plazo]]=LISTAS!$J$4),1,0)</f>
        <v>0</v>
      </c>
      <c r="Z296">
        <f>IF(SCTR_Brokers[[#This Row],[Fecha_Solic_Informe]]="",0,1)</f>
        <v>0</v>
      </c>
      <c r="AA296">
        <f>IF(SCTR_Brokers[[#This Row],[Fecha_Informe]]="",0,1)</f>
        <v>0</v>
      </c>
      <c r="AB296">
        <f>IF(AND(SCTR_Brokers[[#This Row],[Fecha_Solic_Informe]]&lt;&gt;"",SCTR_Brokers[[#This Row],[Fecha_Informe]]=""),1,0)</f>
        <v>0</v>
      </c>
      <c r="AC29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97" spans="1:29" hidden="1">
      <c r="A297" t="s">
        <v>667</v>
      </c>
      <c r="C297" t="str">
        <f>IF(SCTR_Brokers[[#This Row],[FechaRecepcion]]="","",SCTR_Brokers[[#This Row],[ConversationId]]&amp;"-"&amp;TEXT(SCTR_Brokers[[#This Row],[FechaRecepcion]],"aaaammddhhmmss"))</f>
        <v>AAQkADdkNThjNzFkLWM0ZmMtNDJhYS04MDVlLTIwNzE4ZDI1Mzg4YgAQALzNGG52rEr3hStYrznV0os=-20260914092500</v>
      </c>
      <c r="D297" s="16" t="s">
        <v>668</v>
      </c>
      <c r="E297" t="s">
        <v>8</v>
      </c>
      <c r="F297" s="3">
        <v>46279.392361111109</v>
      </c>
      <c r="G297" s="3">
        <v>46279.392361111109</v>
      </c>
      <c r="H297" t="s">
        <v>609</v>
      </c>
      <c r="I297" t="s">
        <v>7</v>
      </c>
      <c r="K297" t="s">
        <v>67</v>
      </c>
      <c r="L297" s="10"/>
      <c r="N29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97" s="3"/>
      <c r="P297" s="3"/>
      <c r="Q297" s="3">
        <v>46279.445833333331</v>
      </c>
      <c r="R29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97" t="str">
        <f>IF(SCTR_Brokers[[#This Row],[FechaRecepcion]]="","",TEXT(SCTR_Brokers[[#This Row],[FechaRecepcion]],"mmmm")&amp;" "&amp;YEAR(SCTR_Brokers[[#This Row],[FechaRecepcion]]))</f>
        <v>septiembre 2026</v>
      </c>
      <c r="U297">
        <f>IF(SCTR_Brokers[[#This Row],[Estado]]="FINALIZADO",1,0)</f>
        <v>1</v>
      </c>
      <c r="V297">
        <f>IF(SCTR_Brokers[[#This Row],[FechaRecepcion]]="","",IF(SCTR_Brokers[[#This Row],[Estado]]="FINALIZADO",0,1))</f>
        <v>0</v>
      </c>
      <c r="W297">
        <f ca="1">IF(AND(SCTR_Brokers[[#This Row],[Estado]]="FINALIZADO",SCTR_Brokers[[#This Row],[Plazo]]=LISTAS!$J$3),1,0)</f>
        <v>1</v>
      </c>
      <c r="X297">
        <f ca="1">IF(AND(SCTR_Brokers[[#This Row],[Estado]]="FINALIZADO",SCTR_Brokers[[#This Row],[Plazo]]=LISTAS!$J$4),1,0)</f>
        <v>0</v>
      </c>
      <c r="Y297">
        <f ca="1">IF(AND(SCTR_Brokers[[#This Row],[Estado]]&lt;&gt;"FINALIZADO",SCTR_Brokers[[#This Row],[Plazo]]=LISTAS!$J$4),1,0)</f>
        <v>0</v>
      </c>
      <c r="Z297">
        <f>IF(SCTR_Brokers[[#This Row],[Fecha_Solic_Informe]]="",0,1)</f>
        <v>0</v>
      </c>
      <c r="AA297">
        <f>IF(SCTR_Brokers[[#This Row],[Fecha_Informe]]="",0,1)</f>
        <v>0</v>
      </c>
      <c r="AB297">
        <f>IF(AND(SCTR_Brokers[[#This Row],[Fecha_Solic_Informe]]&lt;&gt;"",SCTR_Brokers[[#This Row],[Fecha_Informe]]=""),1,0)</f>
        <v>0</v>
      </c>
      <c r="AC29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98" spans="1:29" hidden="1">
      <c r="A298" t="s">
        <v>669</v>
      </c>
      <c r="C298" t="str">
        <f>IF(SCTR_Brokers[[#This Row],[FechaRecepcion]]="","",SCTR_Brokers[[#This Row],[ConversationId]]&amp;"-"&amp;TEXT(SCTR_Brokers[[#This Row],[FechaRecepcion]],"aaaammddhhmmss"))</f>
        <v>AAQkADdkNThjNzFkLWM0ZmMtNDJhYS04MDVlLTIwNzE4ZDI1Mzg4YgAQACO5kSZpLyxNpnzvZpARW_8=-20260914105722</v>
      </c>
      <c r="D298" s="16" t="s">
        <v>670</v>
      </c>
      <c r="E298" t="s">
        <v>8</v>
      </c>
      <c r="F298" s="3">
        <v>46279.456504629627</v>
      </c>
      <c r="G298" s="3">
        <v>46279.456504629627</v>
      </c>
      <c r="H298" t="s">
        <v>671</v>
      </c>
      <c r="I298" t="s">
        <v>7</v>
      </c>
      <c r="K298" t="s">
        <v>67</v>
      </c>
      <c r="L298" s="10"/>
      <c r="N29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98" s="3"/>
      <c r="P298" s="3"/>
      <c r="Q298" s="3">
        <v>46279.459027777775</v>
      </c>
      <c r="R29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98" t="str">
        <f>IF(SCTR_Brokers[[#This Row],[FechaRecepcion]]="","",TEXT(SCTR_Brokers[[#This Row],[FechaRecepcion]],"mmmm")&amp;" "&amp;YEAR(SCTR_Brokers[[#This Row],[FechaRecepcion]]))</f>
        <v>septiembre 2026</v>
      </c>
      <c r="U298">
        <f>IF(SCTR_Brokers[[#This Row],[Estado]]="FINALIZADO",1,0)</f>
        <v>1</v>
      </c>
      <c r="V298">
        <f>IF(SCTR_Brokers[[#This Row],[FechaRecepcion]]="","",IF(SCTR_Brokers[[#This Row],[Estado]]="FINALIZADO",0,1))</f>
        <v>0</v>
      </c>
      <c r="W298">
        <f ca="1">IF(AND(SCTR_Brokers[[#This Row],[Estado]]="FINALIZADO",SCTR_Brokers[[#This Row],[Plazo]]=LISTAS!$J$3),1,0)</f>
        <v>1</v>
      </c>
      <c r="X298">
        <f ca="1">IF(AND(SCTR_Brokers[[#This Row],[Estado]]="FINALIZADO",SCTR_Brokers[[#This Row],[Plazo]]=LISTAS!$J$4),1,0)</f>
        <v>0</v>
      </c>
      <c r="Y298">
        <f ca="1">IF(AND(SCTR_Brokers[[#This Row],[Estado]]&lt;&gt;"FINALIZADO",SCTR_Brokers[[#This Row],[Plazo]]=LISTAS!$J$4),1,0)</f>
        <v>0</v>
      </c>
      <c r="Z298">
        <f>IF(SCTR_Brokers[[#This Row],[Fecha_Solic_Informe]]="",0,1)</f>
        <v>0</v>
      </c>
      <c r="AA298">
        <f>IF(SCTR_Brokers[[#This Row],[Fecha_Informe]]="",0,1)</f>
        <v>0</v>
      </c>
      <c r="AB298">
        <f>IF(AND(SCTR_Brokers[[#This Row],[Fecha_Solic_Informe]]&lt;&gt;"",SCTR_Brokers[[#This Row],[Fecha_Informe]]=""),1,0)</f>
        <v>0</v>
      </c>
      <c r="AC29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299" spans="1:29" hidden="1">
      <c r="A299" t="s">
        <v>672</v>
      </c>
      <c r="C299" t="str">
        <f>IF(SCTR_Brokers[[#This Row],[FechaRecepcion]]="","",SCTR_Brokers[[#This Row],[ConversationId]]&amp;"-"&amp;TEXT(SCTR_Brokers[[#This Row],[FechaRecepcion]],"aaaammddhhmmss"))</f>
        <v>AAQkADdkNThjNzFkLWM0ZmMtNDJhYS04MDVlLTIwNzE4ZDI1Mzg4YgAQAMS07gxvgrJNvPJkCyCGQnM=-20260914112104</v>
      </c>
      <c r="D299" s="16" t="s">
        <v>673</v>
      </c>
      <c r="E299" t="s">
        <v>21</v>
      </c>
      <c r="F299" s="3">
        <v>46279.472962962966</v>
      </c>
      <c r="G299" s="3">
        <v>46279.472962962966</v>
      </c>
      <c r="H299" t="s">
        <v>674</v>
      </c>
      <c r="I299" t="s">
        <v>7</v>
      </c>
      <c r="K299" t="s">
        <v>67</v>
      </c>
      <c r="L299" s="10"/>
      <c r="N29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299" s="3"/>
      <c r="P299" s="3"/>
      <c r="Q299" s="3">
        <v>46279.513194444444</v>
      </c>
      <c r="R29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299" t="str">
        <f>IF(SCTR_Brokers[[#This Row],[FechaRecepcion]]="","",TEXT(SCTR_Brokers[[#This Row],[FechaRecepcion]],"mmmm")&amp;" "&amp;YEAR(SCTR_Brokers[[#This Row],[FechaRecepcion]]))</f>
        <v>septiembre 2026</v>
      </c>
      <c r="U299">
        <f>IF(SCTR_Brokers[[#This Row],[Estado]]="FINALIZADO",1,0)</f>
        <v>1</v>
      </c>
      <c r="V299">
        <f>IF(SCTR_Brokers[[#This Row],[FechaRecepcion]]="","",IF(SCTR_Brokers[[#This Row],[Estado]]="FINALIZADO",0,1))</f>
        <v>0</v>
      </c>
      <c r="W299">
        <f ca="1">IF(AND(SCTR_Brokers[[#This Row],[Estado]]="FINALIZADO",SCTR_Brokers[[#This Row],[Plazo]]=LISTAS!$J$3),1,0)</f>
        <v>1</v>
      </c>
      <c r="X299">
        <f ca="1">IF(AND(SCTR_Brokers[[#This Row],[Estado]]="FINALIZADO",SCTR_Brokers[[#This Row],[Plazo]]=LISTAS!$J$4),1,0)</f>
        <v>0</v>
      </c>
      <c r="Y299">
        <f ca="1">IF(AND(SCTR_Brokers[[#This Row],[Estado]]&lt;&gt;"FINALIZADO",SCTR_Brokers[[#This Row],[Plazo]]=LISTAS!$J$4),1,0)</f>
        <v>0</v>
      </c>
      <c r="Z299">
        <f>IF(SCTR_Brokers[[#This Row],[Fecha_Solic_Informe]]="",0,1)</f>
        <v>0</v>
      </c>
      <c r="AA299">
        <f>IF(SCTR_Brokers[[#This Row],[Fecha_Informe]]="",0,1)</f>
        <v>0</v>
      </c>
      <c r="AB299">
        <f>IF(AND(SCTR_Brokers[[#This Row],[Fecha_Solic_Informe]]&lt;&gt;"",SCTR_Brokers[[#This Row],[Fecha_Informe]]=""),1,0)</f>
        <v>0</v>
      </c>
      <c r="AC29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00" spans="1:29" hidden="1">
      <c r="A300" t="s">
        <v>675</v>
      </c>
      <c r="C300" t="str">
        <f>IF(SCTR_Brokers[[#This Row],[FechaRecepcion]]="","",SCTR_Brokers[[#This Row],[ConversationId]]&amp;"-"&amp;TEXT(SCTR_Brokers[[#This Row],[FechaRecepcion]],"aaaammddhhmmss"))</f>
        <v>AAQkADdkNThjNzFkLWM0ZmMtNDJhYS04MDVlLTIwNzE4ZDI1Mzg4YgAQAB6QX_JeU8VNt5egbnLknrA=-20260914123641</v>
      </c>
      <c r="D300" s="16" t="s">
        <v>676</v>
      </c>
      <c r="E300" t="s">
        <v>20</v>
      </c>
      <c r="F300" s="3">
        <v>46279.52547453704</v>
      </c>
      <c r="G300" s="3">
        <v>46280.662002314813</v>
      </c>
      <c r="H300" t="s">
        <v>356</v>
      </c>
      <c r="I300" t="s">
        <v>7</v>
      </c>
      <c r="K300" t="s">
        <v>67</v>
      </c>
      <c r="L300" s="10"/>
      <c r="N30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00" s="3"/>
      <c r="P300" s="3"/>
      <c r="Q300" s="3">
        <v>46280.662002314813</v>
      </c>
      <c r="R30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00" t="str">
        <f>IF(SCTR_Brokers[[#This Row],[FechaRecepcion]]="","",TEXT(SCTR_Brokers[[#This Row],[FechaRecepcion]],"mmmm")&amp;" "&amp;YEAR(SCTR_Brokers[[#This Row],[FechaRecepcion]]))</f>
        <v>septiembre 2026</v>
      </c>
      <c r="U300">
        <f>IF(SCTR_Brokers[[#This Row],[Estado]]="FINALIZADO",1,0)</f>
        <v>1</v>
      </c>
      <c r="V300">
        <f>IF(SCTR_Brokers[[#This Row],[FechaRecepcion]]="","",IF(SCTR_Brokers[[#This Row],[Estado]]="FINALIZADO",0,1))</f>
        <v>0</v>
      </c>
      <c r="W300">
        <f ca="1">IF(AND(SCTR_Brokers[[#This Row],[Estado]]="FINALIZADO",SCTR_Brokers[[#This Row],[Plazo]]=LISTAS!$J$3),1,0)</f>
        <v>0</v>
      </c>
      <c r="X300">
        <f ca="1">IF(AND(SCTR_Brokers[[#This Row],[Estado]]="FINALIZADO",SCTR_Brokers[[#This Row],[Plazo]]=LISTAS!$J$4),1,0)</f>
        <v>1</v>
      </c>
      <c r="Y300">
        <f ca="1">IF(AND(SCTR_Brokers[[#This Row],[Estado]]&lt;&gt;"FINALIZADO",SCTR_Brokers[[#This Row],[Plazo]]=LISTAS!$J$4),1,0)</f>
        <v>0</v>
      </c>
      <c r="Z300">
        <f>IF(SCTR_Brokers[[#This Row],[Fecha_Solic_Informe]]="",0,1)</f>
        <v>0</v>
      </c>
      <c r="AA300">
        <f>IF(SCTR_Brokers[[#This Row],[Fecha_Informe]]="",0,1)</f>
        <v>0</v>
      </c>
      <c r="AB300">
        <f>IF(AND(SCTR_Brokers[[#This Row],[Fecha_Solic_Informe]]&lt;&gt;"",SCTR_Brokers[[#This Row],[Fecha_Informe]]=""),1,0)</f>
        <v>0</v>
      </c>
      <c r="AC30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01" spans="1:29" hidden="1">
      <c r="A301" t="s">
        <v>677</v>
      </c>
      <c r="C301" t="str">
        <f>IF(SCTR_Brokers[[#This Row],[FechaRecepcion]]="","",SCTR_Brokers[[#This Row],[ConversationId]]&amp;"-"&amp;TEXT(SCTR_Brokers[[#This Row],[FechaRecepcion]],"aaaammddhhmmss"))</f>
        <v>AAQkADdkNThjNzFkLWM0ZmMtNDJhYS04MDVlLTIwNzE4ZDI1Mzg4YgAQAIH5gKySn-RDkn6M9BKiRRw=-20260914124720</v>
      </c>
      <c r="D301" s="16" t="s">
        <v>678</v>
      </c>
      <c r="E301" t="s">
        <v>20</v>
      </c>
      <c r="F301" s="3">
        <v>46279.532870370371</v>
      </c>
      <c r="G301" s="3">
        <v>46279.532870370371</v>
      </c>
      <c r="H301" t="s">
        <v>338</v>
      </c>
      <c r="I301" t="s">
        <v>7</v>
      </c>
      <c r="K301" t="s">
        <v>67</v>
      </c>
      <c r="L301" s="10"/>
      <c r="M301" t="s">
        <v>9</v>
      </c>
      <c r="N30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01" s="3">
        <v>46279.534722222219</v>
      </c>
      <c r="P301" s="3">
        <v>46279.621527777781</v>
      </c>
      <c r="Q301" s="3">
        <v>46279.637499999997</v>
      </c>
      <c r="R30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01" t="str">
        <f>IF(SCTR_Brokers[[#This Row],[FechaRecepcion]]="","",TEXT(SCTR_Brokers[[#This Row],[FechaRecepcion]],"mmmm")&amp;" "&amp;YEAR(SCTR_Brokers[[#This Row],[FechaRecepcion]]))</f>
        <v>septiembre 2026</v>
      </c>
      <c r="U301">
        <f>IF(SCTR_Brokers[[#This Row],[Estado]]="FINALIZADO",1,0)</f>
        <v>1</v>
      </c>
      <c r="V301">
        <f>IF(SCTR_Brokers[[#This Row],[FechaRecepcion]]="","",IF(SCTR_Brokers[[#This Row],[Estado]]="FINALIZADO",0,1))</f>
        <v>0</v>
      </c>
      <c r="W301">
        <f ca="1">IF(AND(SCTR_Brokers[[#This Row],[Estado]]="FINALIZADO",SCTR_Brokers[[#This Row],[Plazo]]=LISTAS!$J$3),1,0)</f>
        <v>1</v>
      </c>
      <c r="X301">
        <f ca="1">IF(AND(SCTR_Brokers[[#This Row],[Estado]]="FINALIZADO",SCTR_Brokers[[#This Row],[Plazo]]=LISTAS!$J$4),1,0)</f>
        <v>0</v>
      </c>
      <c r="Y301">
        <f ca="1">IF(AND(SCTR_Brokers[[#This Row],[Estado]]&lt;&gt;"FINALIZADO",SCTR_Brokers[[#This Row],[Plazo]]=LISTAS!$J$4),1,0)</f>
        <v>0</v>
      </c>
      <c r="Z301">
        <f>IF(SCTR_Brokers[[#This Row],[Fecha_Solic_Informe]]="",0,1)</f>
        <v>1</v>
      </c>
      <c r="AA301">
        <f>IF(SCTR_Brokers[[#This Row],[Fecha_Informe]]="",0,1)</f>
        <v>1</v>
      </c>
      <c r="AB301">
        <f>IF(AND(SCTR_Brokers[[#This Row],[Fecha_Solic_Informe]]&lt;&gt;"",SCTR_Brokers[[#This Row],[Fecha_Informe]]=""),1,0)</f>
        <v>0</v>
      </c>
      <c r="AC301">
        <f>IF(AND(SCTR_Brokers[[#This Row],[Fecha_Solic_Informe]]&lt;&gt;"",SCTR_Brokers[[#This Row],[Fecha_Informe]]&lt;&gt;""),ROUND((SCTR_Brokers[[#This Row],[Fecha_Informe]]-SCTR_Brokers[[#This Row],[Fecha_Solic_Informe]])*24,1),"")</f>
        <v>2.1</v>
      </c>
    </row>
    <row r="302" spans="1:29" hidden="1">
      <c r="A302" t="s">
        <v>679</v>
      </c>
      <c r="C302" t="str">
        <f>IF(SCTR_Brokers[[#This Row],[FechaRecepcion]]="","",SCTR_Brokers[[#This Row],[ConversationId]]&amp;"-"&amp;TEXT(SCTR_Brokers[[#This Row],[FechaRecepcion]],"aaaammddhhmmss"))</f>
        <v>AAQkADdkNThjNzFkLWM0ZmMtNDJhYS04MDVlLTIwNzE4ZDI1Mzg4YgAQAPqEFg33HzBCk0a7Qyhj1n4=-20260914125536</v>
      </c>
      <c r="D302" s="16" t="s">
        <v>680</v>
      </c>
      <c r="E302" t="s">
        <v>8</v>
      </c>
      <c r="F302" s="3">
        <v>46279.538611111115</v>
      </c>
      <c r="G302" s="3">
        <v>46279.538611111115</v>
      </c>
      <c r="H302" t="s">
        <v>671</v>
      </c>
      <c r="I302" t="s">
        <v>7</v>
      </c>
      <c r="K302" t="s">
        <v>67</v>
      </c>
      <c r="L302" s="10"/>
      <c r="N30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02" s="3"/>
      <c r="P302" s="3"/>
      <c r="Q302" s="3">
        <v>46279.567361111112</v>
      </c>
      <c r="R30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02" t="str">
        <f>IF(SCTR_Brokers[[#This Row],[FechaRecepcion]]="","",TEXT(SCTR_Brokers[[#This Row],[FechaRecepcion]],"mmmm")&amp;" "&amp;YEAR(SCTR_Brokers[[#This Row],[FechaRecepcion]]))</f>
        <v>septiembre 2026</v>
      </c>
      <c r="U302">
        <f>IF(SCTR_Brokers[[#This Row],[Estado]]="FINALIZADO",1,0)</f>
        <v>1</v>
      </c>
      <c r="V302">
        <f>IF(SCTR_Brokers[[#This Row],[FechaRecepcion]]="","",IF(SCTR_Brokers[[#This Row],[Estado]]="FINALIZADO",0,1))</f>
        <v>0</v>
      </c>
      <c r="W302">
        <f ca="1">IF(AND(SCTR_Brokers[[#This Row],[Estado]]="FINALIZADO",SCTR_Brokers[[#This Row],[Plazo]]=LISTAS!$J$3),1,0)</f>
        <v>1</v>
      </c>
      <c r="X302">
        <f ca="1">IF(AND(SCTR_Brokers[[#This Row],[Estado]]="FINALIZADO",SCTR_Brokers[[#This Row],[Plazo]]=LISTAS!$J$4),1,0)</f>
        <v>0</v>
      </c>
      <c r="Y302">
        <f ca="1">IF(AND(SCTR_Brokers[[#This Row],[Estado]]&lt;&gt;"FINALIZADO",SCTR_Brokers[[#This Row],[Plazo]]=LISTAS!$J$4),1,0)</f>
        <v>0</v>
      </c>
      <c r="Z302">
        <f>IF(SCTR_Brokers[[#This Row],[Fecha_Solic_Informe]]="",0,1)</f>
        <v>0</v>
      </c>
      <c r="AA302">
        <f>IF(SCTR_Brokers[[#This Row],[Fecha_Informe]]="",0,1)</f>
        <v>0</v>
      </c>
      <c r="AB302">
        <f>IF(AND(SCTR_Brokers[[#This Row],[Fecha_Solic_Informe]]&lt;&gt;"",SCTR_Brokers[[#This Row],[Fecha_Informe]]=""),1,0)</f>
        <v>0</v>
      </c>
      <c r="AC30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03" spans="1:29" hidden="1">
      <c r="A303" t="s">
        <v>681</v>
      </c>
      <c r="C303" t="str">
        <f>IF(SCTR_Brokers[[#This Row],[FechaRecepcion]]="","",SCTR_Brokers[[#This Row],[ConversationId]]&amp;"-"&amp;TEXT(SCTR_Brokers[[#This Row],[FechaRecepcion]],"aaaammddhhmmss"))</f>
        <v>AAQkADdkNThjNzFkLWM0ZmMtNDJhYS04MDVlLTIwNzE4ZDI1Mzg4YgAQAGs5U0Et3QlOtnluAcwe0eM=-20260914130928</v>
      </c>
      <c r="D303" s="16" t="s">
        <v>682</v>
      </c>
      <c r="E303" t="s">
        <v>21</v>
      </c>
      <c r="F303" s="3">
        <v>46279.54824074074</v>
      </c>
      <c r="G303" s="3">
        <v>46279.613680555558</v>
      </c>
      <c r="H303" t="s">
        <v>683</v>
      </c>
      <c r="I303" t="s">
        <v>7</v>
      </c>
      <c r="K303" t="s">
        <v>67</v>
      </c>
      <c r="L303" s="10"/>
      <c r="N30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03" s="3"/>
      <c r="P303" s="3"/>
      <c r="Q303" s="3">
        <v>46279.634027777778</v>
      </c>
      <c r="R30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03" t="str">
        <f>IF(SCTR_Brokers[[#This Row],[FechaRecepcion]]="","",TEXT(SCTR_Brokers[[#This Row],[FechaRecepcion]],"mmmm")&amp;" "&amp;YEAR(SCTR_Brokers[[#This Row],[FechaRecepcion]]))</f>
        <v>septiembre 2026</v>
      </c>
      <c r="U303">
        <f>IF(SCTR_Brokers[[#This Row],[Estado]]="FINALIZADO",1,0)</f>
        <v>1</v>
      </c>
      <c r="V303">
        <f>IF(SCTR_Brokers[[#This Row],[FechaRecepcion]]="","",IF(SCTR_Brokers[[#This Row],[Estado]]="FINALIZADO",0,1))</f>
        <v>0</v>
      </c>
      <c r="W303">
        <f ca="1">IF(AND(SCTR_Brokers[[#This Row],[Estado]]="FINALIZADO",SCTR_Brokers[[#This Row],[Plazo]]=LISTAS!$J$3),1,0)</f>
        <v>1</v>
      </c>
      <c r="X303">
        <f ca="1">IF(AND(SCTR_Brokers[[#This Row],[Estado]]="FINALIZADO",SCTR_Brokers[[#This Row],[Plazo]]=LISTAS!$J$4),1,0)</f>
        <v>0</v>
      </c>
      <c r="Y303">
        <f ca="1">IF(AND(SCTR_Brokers[[#This Row],[Estado]]&lt;&gt;"FINALIZADO",SCTR_Brokers[[#This Row],[Plazo]]=LISTAS!$J$4),1,0)</f>
        <v>0</v>
      </c>
      <c r="Z303">
        <f>IF(SCTR_Brokers[[#This Row],[Fecha_Solic_Informe]]="",0,1)</f>
        <v>0</v>
      </c>
      <c r="AA303">
        <f>IF(SCTR_Brokers[[#This Row],[Fecha_Informe]]="",0,1)</f>
        <v>0</v>
      </c>
      <c r="AB303">
        <f>IF(AND(SCTR_Brokers[[#This Row],[Fecha_Solic_Informe]]&lt;&gt;"",SCTR_Brokers[[#This Row],[Fecha_Informe]]=""),1,0)</f>
        <v>0</v>
      </c>
      <c r="AC30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04" spans="1:29" hidden="1">
      <c r="A304" t="s">
        <v>684</v>
      </c>
      <c r="C304" t="str">
        <f>IF(SCTR_Brokers[[#This Row],[FechaRecepcion]]="","",SCTR_Brokers[[#This Row],[ConversationId]]&amp;"-"&amp;TEXT(SCTR_Brokers[[#This Row],[FechaRecepcion]],"aaaammddhhmmss"))</f>
        <v>AAQkADdkNThjNzFkLWM0ZmMtNDJhYS04MDVlLTIwNzE4ZDI1Mzg4YgAQABUjnOWbgyVGreydq861slE=-20260914145621</v>
      </c>
      <c r="D304" s="16" t="s">
        <v>685</v>
      </c>
      <c r="E304" t="s">
        <v>21</v>
      </c>
      <c r="F304" s="3">
        <v>46279.622465277775</v>
      </c>
      <c r="G304" s="3">
        <v>46279.649513888886</v>
      </c>
      <c r="H304" t="s">
        <v>252</v>
      </c>
      <c r="I304" t="s">
        <v>7</v>
      </c>
      <c r="K304" t="s">
        <v>67</v>
      </c>
      <c r="L304" s="10"/>
      <c r="N30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04" s="3"/>
      <c r="P304" s="3"/>
      <c r="Q304" s="3">
        <v>46279.707638888889</v>
      </c>
      <c r="R30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04" t="str">
        <f>IF(SCTR_Brokers[[#This Row],[FechaRecepcion]]="","",TEXT(SCTR_Brokers[[#This Row],[FechaRecepcion]],"mmmm")&amp;" "&amp;YEAR(SCTR_Brokers[[#This Row],[FechaRecepcion]]))</f>
        <v>septiembre 2026</v>
      </c>
      <c r="U304">
        <f>IF(SCTR_Brokers[[#This Row],[Estado]]="FINALIZADO",1,0)</f>
        <v>1</v>
      </c>
      <c r="V304">
        <f>IF(SCTR_Brokers[[#This Row],[FechaRecepcion]]="","",IF(SCTR_Brokers[[#This Row],[Estado]]="FINALIZADO",0,1))</f>
        <v>0</v>
      </c>
      <c r="W304">
        <f ca="1">IF(AND(SCTR_Brokers[[#This Row],[Estado]]="FINALIZADO",SCTR_Brokers[[#This Row],[Plazo]]=LISTAS!$J$3),1,0)</f>
        <v>1</v>
      </c>
      <c r="X304">
        <f ca="1">IF(AND(SCTR_Brokers[[#This Row],[Estado]]="FINALIZADO",SCTR_Brokers[[#This Row],[Plazo]]=LISTAS!$J$4),1,0)</f>
        <v>0</v>
      </c>
      <c r="Y304">
        <f ca="1">IF(AND(SCTR_Brokers[[#This Row],[Estado]]&lt;&gt;"FINALIZADO",SCTR_Brokers[[#This Row],[Plazo]]=LISTAS!$J$4),1,0)</f>
        <v>0</v>
      </c>
      <c r="Z304">
        <f>IF(SCTR_Brokers[[#This Row],[Fecha_Solic_Informe]]="",0,1)</f>
        <v>0</v>
      </c>
      <c r="AA304">
        <f>IF(SCTR_Brokers[[#This Row],[Fecha_Informe]]="",0,1)</f>
        <v>0</v>
      </c>
      <c r="AB304">
        <f>IF(AND(SCTR_Brokers[[#This Row],[Fecha_Solic_Informe]]&lt;&gt;"",SCTR_Brokers[[#This Row],[Fecha_Informe]]=""),1,0)</f>
        <v>0</v>
      </c>
      <c r="AC30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05" spans="1:29" hidden="1">
      <c r="A305" t="s">
        <v>686</v>
      </c>
      <c r="C305" t="str">
        <f>IF(SCTR_Brokers[[#This Row],[FechaRecepcion]]="","",SCTR_Brokers[[#This Row],[ConversationId]]&amp;"-"&amp;TEXT(SCTR_Brokers[[#This Row],[FechaRecepcion]],"aaaammddhhmmss"))</f>
        <v>AAQkADdkNThjNzFkLWM0ZmMtNDJhYS04MDVlLTIwNzE4ZDI1Mzg4YgAQAMUd3GUYGT9GmwU6neuEH-g=-20260914163917</v>
      </c>
      <c r="D305" s="16" t="s">
        <v>687</v>
      </c>
      <c r="E305" t="s">
        <v>8</v>
      </c>
      <c r="F305" s="3">
        <v>46279.69394675926</v>
      </c>
      <c r="G305" s="3">
        <v>46279.694247685184</v>
      </c>
      <c r="H305" t="s">
        <v>73</v>
      </c>
      <c r="I305" t="s">
        <v>7</v>
      </c>
      <c r="K305" t="s">
        <v>67</v>
      </c>
      <c r="L305" s="10"/>
      <c r="N30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05" s="3"/>
      <c r="P305" s="3"/>
      <c r="Q305" s="3">
        <v>46279.690972222219</v>
      </c>
      <c r="R30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05" t="str">
        <f>IF(SCTR_Brokers[[#This Row],[FechaRecepcion]]="","",TEXT(SCTR_Brokers[[#This Row],[FechaRecepcion]],"mmmm")&amp;" "&amp;YEAR(SCTR_Brokers[[#This Row],[FechaRecepcion]]))</f>
        <v>septiembre 2026</v>
      </c>
      <c r="U305">
        <f>IF(SCTR_Brokers[[#This Row],[Estado]]="FINALIZADO",1,0)</f>
        <v>1</v>
      </c>
      <c r="V305">
        <f>IF(SCTR_Brokers[[#This Row],[FechaRecepcion]]="","",IF(SCTR_Brokers[[#This Row],[Estado]]="FINALIZADO",0,1))</f>
        <v>0</v>
      </c>
      <c r="W305">
        <f ca="1">IF(AND(SCTR_Brokers[[#This Row],[Estado]]="FINALIZADO",SCTR_Brokers[[#This Row],[Plazo]]=LISTAS!$J$3),1,0)</f>
        <v>1</v>
      </c>
      <c r="X305">
        <f ca="1">IF(AND(SCTR_Brokers[[#This Row],[Estado]]="FINALIZADO",SCTR_Brokers[[#This Row],[Plazo]]=LISTAS!$J$4),1,0)</f>
        <v>0</v>
      </c>
      <c r="Y305">
        <f ca="1">IF(AND(SCTR_Brokers[[#This Row],[Estado]]&lt;&gt;"FINALIZADO",SCTR_Brokers[[#This Row],[Plazo]]=LISTAS!$J$4),1,0)</f>
        <v>0</v>
      </c>
      <c r="Z305">
        <f>IF(SCTR_Brokers[[#This Row],[Fecha_Solic_Informe]]="",0,1)</f>
        <v>0</v>
      </c>
      <c r="AA305">
        <f>IF(SCTR_Brokers[[#This Row],[Fecha_Informe]]="",0,1)</f>
        <v>0</v>
      </c>
      <c r="AB305">
        <f>IF(AND(SCTR_Brokers[[#This Row],[Fecha_Solic_Informe]]&lt;&gt;"",SCTR_Brokers[[#This Row],[Fecha_Informe]]=""),1,0)</f>
        <v>0</v>
      </c>
      <c r="AC30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06" spans="1:29" hidden="1">
      <c r="A306" t="s">
        <v>688</v>
      </c>
      <c r="C306" t="str">
        <f>IF(SCTR_Brokers[[#This Row],[FechaRecepcion]]="","",SCTR_Brokers[[#This Row],[ConversationId]]&amp;"-"&amp;TEXT(SCTR_Brokers[[#This Row],[FechaRecepcion]],"aaaammddhhmmss"))</f>
        <v>AAQkADdkNThjNzFkLWM0ZmMtNDJhYS04MDVlLTIwNzE4ZDI1Mzg4YgAQAJ1b5DC20KBEpZNgtp4iWxg=-20260914172825</v>
      </c>
      <c r="D306" s="16" t="s">
        <v>689</v>
      </c>
      <c r="E306" t="s">
        <v>20</v>
      </c>
      <c r="F306" s="3">
        <v>46279.728067129632</v>
      </c>
      <c r="G306" s="3">
        <v>46279.735150462962</v>
      </c>
      <c r="H306" t="s">
        <v>338</v>
      </c>
      <c r="I306" t="s">
        <v>7</v>
      </c>
      <c r="K306" t="s">
        <v>67</v>
      </c>
      <c r="L306" s="10"/>
      <c r="N30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06" s="3"/>
      <c r="P306" s="3"/>
      <c r="Q306" s="3">
        <v>46280.763888888891</v>
      </c>
      <c r="R30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06" t="str">
        <f>IF(SCTR_Brokers[[#This Row],[FechaRecepcion]]="","",TEXT(SCTR_Brokers[[#This Row],[FechaRecepcion]],"mmmm")&amp;" "&amp;YEAR(SCTR_Brokers[[#This Row],[FechaRecepcion]]))</f>
        <v>septiembre 2026</v>
      </c>
      <c r="U306">
        <f>IF(SCTR_Brokers[[#This Row],[Estado]]="FINALIZADO",1,0)</f>
        <v>1</v>
      </c>
      <c r="V306">
        <f>IF(SCTR_Brokers[[#This Row],[FechaRecepcion]]="","",IF(SCTR_Brokers[[#This Row],[Estado]]="FINALIZADO",0,1))</f>
        <v>0</v>
      </c>
      <c r="W306">
        <f ca="1">IF(AND(SCTR_Brokers[[#This Row],[Estado]]="FINALIZADO",SCTR_Brokers[[#This Row],[Plazo]]=LISTAS!$J$3),1,0)</f>
        <v>0</v>
      </c>
      <c r="X306">
        <f ca="1">IF(AND(SCTR_Brokers[[#This Row],[Estado]]="FINALIZADO",SCTR_Brokers[[#This Row],[Plazo]]=LISTAS!$J$4),1,0)</f>
        <v>1</v>
      </c>
      <c r="Y306">
        <f ca="1">IF(AND(SCTR_Brokers[[#This Row],[Estado]]&lt;&gt;"FINALIZADO",SCTR_Brokers[[#This Row],[Plazo]]=LISTAS!$J$4),1,0)</f>
        <v>0</v>
      </c>
      <c r="Z306">
        <f>IF(SCTR_Brokers[[#This Row],[Fecha_Solic_Informe]]="",0,1)</f>
        <v>0</v>
      </c>
      <c r="AA306">
        <f>IF(SCTR_Brokers[[#This Row],[Fecha_Informe]]="",0,1)</f>
        <v>0</v>
      </c>
      <c r="AB306">
        <f>IF(AND(SCTR_Brokers[[#This Row],[Fecha_Solic_Informe]]&lt;&gt;"",SCTR_Brokers[[#This Row],[Fecha_Informe]]=""),1,0)</f>
        <v>0</v>
      </c>
      <c r="AC30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07" spans="1:29" hidden="1">
      <c r="A307" t="s">
        <v>690</v>
      </c>
      <c r="C307" t="str">
        <f>IF(SCTR_Brokers[[#This Row],[FechaRecepcion]]="","",SCTR_Brokers[[#This Row],[ConversationId]]&amp;"-"&amp;TEXT(SCTR_Brokers[[#This Row],[FechaRecepcion]],"aaaammddhhmmss"))</f>
        <v>AAQkADdkNThjNzFkLWM0ZmMtNDJhYS04MDVlLTIwNzE4ZDI1Mzg4YgAQAMEGX12GIAJLicZtKujESTk=-20260914173432</v>
      </c>
      <c r="D307" s="16" t="s">
        <v>691</v>
      </c>
      <c r="E307" t="s">
        <v>8</v>
      </c>
      <c r="F307" s="3">
        <v>46279.732314814813</v>
      </c>
      <c r="G307" s="3">
        <v>46279.732314814813</v>
      </c>
      <c r="H307" t="s">
        <v>609</v>
      </c>
      <c r="I307" t="s">
        <v>7</v>
      </c>
      <c r="K307" t="s">
        <v>67</v>
      </c>
      <c r="L307" s="10"/>
      <c r="N30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07" s="3"/>
      <c r="P307" s="3"/>
      <c r="Q307" s="3">
        <v>46280.840277777781</v>
      </c>
      <c r="R30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07" t="str">
        <f>IF(SCTR_Brokers[[#This Row],[FechaRecepcion]]="","",TEXT(SCTR_Brokers[[#This Row],[FechaRecepcion]],"mmmm")&amp;" "&amp;YEAR(SCTR_Brokers[[#This Row],[FechaRecepcion]]))</f>
        <v>septiembre 2026</v>
      </c>
      <c r="U307">
        <f>IF(SCTR_Brokers[[#This Row],[Estado]]="FINALIZADO",1,0)</f>
        <v>1</v>
      </c>
      <c r="V307">
        <f>IF(SCTR_Brokers[[#This Row],[FechaRecepcion]]="","",IF(SCTR_Brokers[[#This Row],[Estado]]="FINALIZADO",0,1))</f>
        <v>0</v>
      </c>
      <c r="W307">
        <f ca="1">IF(AND(SCTR_Brokers[[#This Row],[Estado]]="FINALIZADO",SCTR_Brokers[[#This Row],[Plazo]]=LISTAS!$J$3),1,0)</f>
        <v>0</v>
      </c>
      <c r="X307">
        <f ca="1">IF(AND(SCTR_Brokers[[#This Row],[Estado]]="FINALIZADO",SCTR_Brokers[[#This Row],[Plazo]]=LISTAS!$J$4),1,0)</f>
        <v>1</v>
      </c>
      <c r="Y307">
        <f ca="1">IF(AND(SCTR_Brokers[[#This Row],[Estado]]&lt;&gt;"FINALIZADO",SCTR_Brokers[[#This Row],[Plazo]]=LISTAS!$J$4),1,0)</f>
        <v>0</v>
      </c>
      <c r="Z307">
        <f>IF(SCTR_Brokers[[#This Row],[Fecha_Solic_Informe]]="",0,1)</f>
        <v>0</v>
      </c>
      <c r="AA307">
        <f>IF(SCTR_Brokers[[#This Row],[Fecha_Informe]]="",0,1)</f>
        <v>0</v>
      </c>
      <c r="AB307">
        <f>IF(AND(SCTR_Brokers[[#This Row],[Fecha_Solic_Informe]]&lt;&gt;"",SCTR_Brokers[[#This Row],[Fecha_Informe]]=""),1,0)</f>
        <v>0</v>
      </c>
      <c r="AC30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08" spans="1:29" hidden="1">
      <c r="A308" t="s">
        <v>692</v>
      </c>
      <c r="C308" t="str">
        <f>IF(SCTR_Brokers[[#This Row],[FechaRecepcion]]="","",SCTR_Brokers[[#This Row],[ConversationId]]&amp;"-"&amp;TEXT(SCTR_Brokers[[#This Row],[FechaRecepcion]],"aaaammddhhmmss"))</f>
        <v>AAQkADdkNThjNzFkLWM0ZmMtNDJhYS04MDVlLTIwNzE4ZDI1Mzg4YgAQAEitfoieuhpKoThHkfeVo_c=-20260914175531</v>
      </c>
      <c r="D308" s="16" t="s">
        <v>693</v>
      </c>
      <c r="E308" t="s">
        <v>23</v>
      </c>
      <c r="F308" s="3">
        <v>46279.746886574074</v>
      </c>
      <c r="G308" s="3">
        <v>46279.746886574074</v>
      </c>
      <c r="H308" t="s">
        <v>144</v>
      </c>
      <c r="I308" t="s">
        <v>7</v>
      </c>
      <c r="K308" t="s">
        <v>67</v>
      </c>
      <c r="L308" s="10"/>
      <c r="N30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08" s="3"/>
      <c r="P308" s="3"/>
      <c r="Q308" s="3">
        <v>46280.456250000003</v>
      </c>
      <c r="R30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08" t="str">
        <f>IF(SCTR_Brokers[[#This Row],[FechaRecepcion]]="","",TEXT(SCTR_Brokers[[#This Row],[FechaRecepcion]],"mmmm")&amp;" "&amp;YEAR(SCTR_Brokers[[#This Row],[FechaRecepcion]]))</f>
        <v>septiembre 2026</v>
      </c>
      <c r="U308">
        <f>IF(SCTR_Brokers[[#This Row],[Estado]]="FINALIZADO",1,0)</f>
        <v>1</v>
      </c>
      <c r="V308">
        <f>IF(SCTR_Brokers[[#This Row],[FechaRecepcion]]="","",IF(SCTR_Brokers[[#This Row],[Estado]]="FINALIZADO",0,1))</f>
        <v>0</v>
      </c>
      <c r="W308">
        <f ca="1">IF(AND(SCTR_Brokers[[#This Row],[Estado]]="FINALIZADO",SCTR_Brokers[[#This Row],[Plazo]]=LISTAS!$J$3),1,0)</f>
        <v>1</v>
      </c>
      <c r="X308">
        <f ca="1">IF(AND(SCTR_Brokers[[#This Row],[Estado]]="FINALIZADO",SCTR_Brokers[[#This Row],[Plazo]]=LISTAS!$J$4),1,0)</f>
        <v>0</v>
      </c>
      <c r="Y308">
        <f ca="1">IF(AND(SCTR_Brokers[[#This Row],[Estado]]&lt;&gt;"FINALIZADO",SCTR_Brokers[[#This Row],[Plazo]]=LISTAS!$J$4),1,0)</f>
        <v>0</v>
      </c>
      <c r="Z308">
        <f>IF(SCTR_Brokers[[#This Row],[Fecha_Solic_Informe]]="",0,1)</f>
        <v>0</v>
      </c>
      <c r="AA308">
        <f>IF(SCTR_Brokers[[#This Row],[Fecha_Informe]]="",0,1)</f>
        <v>0</v>
      </c>
      <c r="AB308">
        <f>IF(AND(SCTR_Brokers[[#This Row],[Fecha_Solic_Informe]]&lt;&gt;"",SCTR_Brokers[[#This Row],[Fecha_Informe]]=""),1,0)</f>
        <v>0</v>
      </c>
      <c r="AC30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09" spans="1:29" hidden="1">
      <c r="A309" t="s">
        <v>694</v>
      </c>
      <c r="C309" t="str">
        <f>IF(SCTR_Brokers[[#This Row],[FechaRecepcion]]="","",SCTR_Brokers[[#This Row],[ConversationId]]&amp;"-"&amp;TEXT(SCTR_Brokers[[#This Row],[FechaRecepcion]],"aaaammddhhmmss"))</f>
        <v>AAQkADdkNThjNzFkLWM0ZmMtNDJhYS04MDVlLTIwNzE4ZDI1Mzg4YgAQABrL_3ahp00sip5YoXAqBGg=-20260914184821</v>
      </c>
      <c r="D309" s="16" t="s">
        <v>695</v>
      </c>
      <c r="E309" t="s">
        <v>21</v>
      </c>
      <c r="F309" s="3">
        <v>46279.783576388887</v>
      </c>
      <c r="G309" s="3">
        <v>46280.537048611113</v>
      </c>
      <c r="H309" t="s">
        <v>696</v>
      </c>
      <c r="I309" t="s">
        <v>7</v>
      </c>
      <c r="K309" t="s">
        <v>67</v>
      </c>
      <c r="L309" s="10"/>
      <c r="N30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09" s="3"/>
      <c r="P309" s="3"/>
      <c r="Q309" s="3">
        <v>46280.861111111109</v>
      </c>
      <c r="R30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09" t="str">
        <f>IF(SCTR_Brokers[[#This Row],[FechaRecepcion]]="","",TEXT(SCTR_Brokers[[#This Row],[FechaRecepcion]],"mmmm")&amp;" "&amp;YEAR(SCTR_Brokers[[#This Row],[FechaRecepcion]]))</f>
        <v>septiembre 2026</v>
      </c>
      <c r="U309">
        <f>IF(SCTR_Brokers[[#This Row],[Estado]]="FINALIZADO",1,0)</f>
        <v>1</v>
      </c>
      <c r="V309">
        <f>IF(SCTR_Brokers[[#This Row],[FechaRecepcion]]="","",IF(SCTR_Brokers[[#This Row],[Estado]]="FINALIZADO",0,1))</f>
        <v>0</v>
      </c>
      <c r="W309">
        <f ca="1">IF(AND(SCTR_Brokers[[#This Row],[Estado]]="FINALIZADO",SCTR_Brokers[[#This Row],[Plazo]]=LISTAS!$J$3),1,0)</f>
        <v>0</v>
      </c>
      <c r="X309">
        <f ca="1">IF(AND(SCTR_Brokers[[#This Row],[Estado]]="FINALIZADO",SCTR_Brokers[[#This Row],[Plazo]]=LISTAS!$J$4),1,0)</f>
        <v>1</v>
      </c>
      <c r="Y309">
        <f ca="1">IF(AND(SCTR_Brokers[[#This Row],[Estado]]&lt;&gt;"FINALIZADO",SCTR_Brokers[[#This Row],[Plazo]]=LISTAS!$J$4),1,0)</f>
        <v>0</v>
      </c>
      <c r="Z309">
        <f>IF(SCTR_Brokers[[#This Row],[Fecha_Solic_Informe]]="",0,1)</f>
        <v>0</v>
      </c>
      <c r="AA309">
        <f>IF(SCTR_Brokers[[#This Row],[Fecha_Informe]]="",0,1)</f>
        <v>0</v>
      </c>
      <c r="AB309">
        <f>IF(AND(SCTR_Brokers[[#This Row],[Fecha_Solic_Informe]]&lt;&gt;"",SCTR_Brokers[[#This Row],[Fecha_Informe]]=""),1,0)</f>
        <v>0</v>
      </c>
      <c r="AC30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10" spans="1:29" hidden="1">
      <c r="A310" t="s">
        <v>697</v>
      </c>
      <c r="C310" t="str">
        <f>IF(SCTR_Brokers[[#This Row],[FechaRecepcion]]="","",SCTR_Brokers[[#This Row],[ConversationId]]&amp;"-"&amp;TEXT(SCTR_Brokers[[#This Row],[FechaRecepcion]],"aaaammddhhmmss"))</f>
        <v>AAQkADdkNThjNzFkLWM0ZmMtNDJhYS04MDVlLTIwNzE4ZDI1Mzg4YgAQAAApjtw4NUs-gmCNyJsdViQ=-20260914213721</v>
      </c>
      <c r="D310" s="16" t="s">
        <v>698</v>
      </c>
      <c r="E310" t="s">
        <v>21</v>
      </c>
      <c r="F310" s="3">
        <v>46279.900937500002</v>
      </c>
      <c r="G310" s="3">
        <v>46281.438043981485</v>
      </c>
      <c r="H310" t="s">
        <v>644</v>
      </c>
      <c r="I310" t="s">
        <v>7</v>
      </c>
      <c r="K310" t="s">
        <v>67</v>
      </c>
      <c r="L310" s="10"/>
      <c r="N31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10" s="3"/>
      <c r="P310" s="3"/>
      <c r="Q310" s="3">
        <v>46281.42291666667</v>
      </c>
      <c r="R31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10" t="str">
        <f>IF(SCTR_Brokers[[#This Row],[FechaRecepcion]]="","",TEXT(SCTR_Brokers[[#This Row],[FechaRecepcion]],"mmmm")&amp;" "&amp;YEAR(SCTR_Brokers[[#This Row],[FechaRecepcion]]))</f>
        <v>septiembre 2026</v>
      </c>
      <c r="U310">
        <f>IF(SCTR_Brokers[[#This Row],[Estado]]="FINALIZADO",1,0)</f>
        <v>1</v>
      </c>
      <c r="V310">
        <f>IF(SCTR_Brokers[[#This Row],[FechaRecepcion]]="","",IF(SCTR_Brokers[[#This Row],[Estado]]="FINALIZADO",0,1))</f>
        <v>0</v>
      </c>
      <c r="W310">
        <f ca="1">IF(AND(SCTR_Brokers[[#This Row],[Estado]]="FINALIZADO",SCTR_Brokers[[#This Row],[Plazo]]=LISTAS!$J$3),1,0)</f>
        <v>0</v>
      </c>
      <c r="X310">
        <f ca="1">IF(AND(SCTR_Brokers[[#This Row],[Estado]]="FINALIZADO",SCTR_Brokers[[#This Row],[Plazo]]=LISTAS!$J$4),1,0)</f>
        <v>1</v>
      </c>
      <c r="Y310">
        <f ca="1">IF(AND(SCTR_Brokers[[#This Row],[Estado]]&lt;&gt;"FINALIZADO",SCTR_Brokers[[#This Row],[Plazo]]=LISTAS!$J$4),1,0)</f>
        <v>0</v>
      </c>
      <c r="Z310">
        <f>IF(SCTR_Brokers[[#This Row],[Fecha_Solic_Informe]]="",0,1)</f>
        <v>0</v>
      </c>
      <c r="AA310">
        <f>IF(SCTR_Brokers[[#This Row],[Fecha_Informe]]="",0,1)</f>
        <v>0</v>
      </c>
      <c r="AB310">
        <f>IF(AND(SCTR_Brokers[[#This Row],[Fecha_Solic_Informe]]&lt;&gt;"",SCTR_Brokers[[#This Row],[Fecha_Informe]]=""),1,0)</f>
        <v>0</v>
      </c>
      <c r="AC31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11" spans="1:29" hidden="1">
      <c r="A311" t="s">
        <v>699</v>
      </c>
      <c r="C311" t="str">
        <f>IF(SCTR_Brokers[[#This Row],[FechaRecepcion]]="","",SCTR_Brokers[[#This Row],[ConversationId]]&amp;"-"&amp;TEXT(SCTR_Brokers[[#This Row],[FechaRecepcion]],"aaaammddhhmmss"))</f>
        <v>AAQkADdkNThjNzFkLWM0ZmMtNDJhYS04MDVlLTIwNzE4ZDI1Mzg4YgAQABH2gPGK5yhNo0XHJF64UGY=-20260915084151</v>
      </c>
      <c r="D311" s="16" t="s">
        <v>700</v>
      </c>
      <c r="E311" t="s">
        <v>14</v>
      </c>
      <c r="F311" s="3">
        <v>46280.362395833334</v>
      </c>
      <c r="G311" s="3">
        <v>46280.451041666667</v>
      </c>
      <c r="H311" t="s">
        <v>115</v>
      </c>
      <c r="I311" t="s">
        <v>7</v>
      </c>
      <c r="J311" t="s">
        <v>701</v>
      </c>
      <c r="K311" t="s">
        <v>67</v>
      </c>
      <c r="L311" s="10"/>
      <c r="N31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11" s="3"/>
      <c r="P311" s="3"/>
      <c r="Q311" s="3">
        <v>46280.451041666667</v>
      </c>
      <c r="R31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311" t="s">
        <v>164</v>
      </c>
      <c r="T311" t="str">
        <f>IF(SCTR_Brokers[[#This Row],[FechaRecepcion]]="","",TEXT(SCTR_Brokers[[#This Row],[FechaRecepcion]],"mmmm")&amp;" "&amp;YEAR(SCTR_Brokers[[#This Row],[FechaRecepcion]]))</f>
        <v>septiembre 2026</v>
      </c>
      <c r="U311">
        <f>IF(SCTR_Brokers[[#This Row],[Estado]]="FINALIZADO",1,0)</f>
        <v>1</v>
      </c>
      <c r="V311">
        <f>IF(SCTR_Brokers[[#This Row],[FechaRecepcion]]="","",IF(SCTR_Brokers[[#This Row],[Estado]]="FINALIZADO",0,1))</f>
        <v>0</v>
      </c>
      <c r="W311">
        <f ca="1">IF(AND(SCTR_Brokers[[#This Row],[Estado]]="FINALIZADO",SCTR_Brokers[[#This Row],[Plazo]]=LISTAS!$J$3),1,0)</f>
        <v>1</v>
      </c>
      <c r="X311">
        <f ca="1">IF(AND(SCTR_Brokers[[#This Row],[Estado]]="FINALIZADO",SCTR_Brokers[[#This Row],[Plazo]]=LISTAS!$J$4),1,0)</f>
        <v>0</v>
      </c>
      <c r="Y311">
        <f ca="1">IF(AND(SCTR_Brokers[[#This Row],[Estado]]&lt;&gt;"FINALIZADO",SCTR_Brokers[[#This Row],[Plazo]]=LISTAS!$J$4),1,0)</f>
        <v>0</v>
      </c>
      <c r="Z311">
        <f>IF(SCTR_Brokers[[#This Row],[Fecha_Solic_Informe]]="",0,1)</f>
        <v>0</v>
      </c>
      <c r="AA311">
        <f>IF(SCTR_Brokers[[#This Row],[Fecha_Informe]]="",0,1)</f>
        <v>0</v>
      </c>
      <c r="AB311">
        <f>IF(AND(SCTR_Brokers[[#This Row],[Fecha_Solic_Informe]]&lt;&gt;"",SCTR_Brokers[[#This Row],[Fecha_Informe]]=""),1,0)</f>
        <v>0</v>
      </c>
      <c r="AC31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12" spans="1:29" hidden="1">
      <c r="A312" t="s">
        <v>702</v>
      </c>
      <c r="C312" t="str">
        <f>IF(SCTR_Brokers[[#This Row],[FechaRecepcion]]="","",SCTR_Brokers[[#This Row],[ConversationId]]&amp;"-"&amp;TEXT(SCTR_Brokers[[#This Row],[FechaRecepcion]],"aaaammddhhmmss"))</f>
        <v>AAQkADdkNThjNzFkLWM0ZmMtNDJhYS04MDVlLTIwNzE4ZDI1Mzg4YgAQAIefW7vXfA9Bu8w6pwiUo9g=-20260915163655</v>
      </c>
      <c r="D312" s="16" t="s">
        <v>703</v>
      </c>
      <c r="E312" t="s">
        <v>14</v>
      </c>
      <c r="F312" s="3">
        <v>46280.692303240743</v>
      </c>
      <c r="G312" s="3">
        <v>46281.435312499998</v>
      </c>
      <c r="H312" t="s">
        <v>135</v>
      </c>
      <c r="I312" t="s">
        <v>7</v>
      </c>
      <c r="K312" t="s">
        <v>67</v>
      </c>
      <c r="L312" s="10"/>
      <c r="N31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12" s="3"/>
      <c r="P312" s="3"/>
      <c r="Q312" s="3">
        <v>46281.438194444447</v>
      </c>
      <c r="R31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12" t="str">
        <f>IF(SCTR_Brokers[[#This Row],[FechaRecepcion]]="","",TEXT(SCTR_Brokers[[#This Row],[FechaRecepcion]],"mmmm")&amp;" "&amp;YEAR(SCTR_Brokers[[#This Row],[FechaRecepcion]]))</f>
        <v>septiembre 2026</v>
      </c>
      <c r="U312">
        <f>IF(SCTR_Brokers[[#This Row],[Estado]]="FINALIZADO",1,0)</f>
        <v>1</v>
      </c>
      <c r="V312">
        <f>IF(SCTR_Brokers[[#This Row],[FechaRecepcion]]="","",IF(SCTR_Brokers[[#This Row],[Estado]]="FINALIZADO",0,1))</f>
        <v>0</v>
      </c>
      <c r="W312">
        <f ca="1">IF(AND(SCTR_Brokers[[#This Row],[Estado]]="FINALIZADO",SCTR_Brokers[[#This Row],[Plazo]]=LISTAS!$J$3),1,0)</f>
        <v>1</v>
      </c>
      <c r="X312">
        <f ca="1">IF(AND(SCTR_Brokers[[#This Row],[Estado]]="FINALIZADO",SCTR_Brokers[[#This Row],[Plazo]]=LISTAS!$J$4),1,0)</f>
        <v>0</v>
      </c>
      <c r="Y312">
        <f ca="1">IF(AND(SCTR_Brokers[[#This Row],[Estado]]&lt;&gt;"FINALIZADO",SCTR_Brokers[[#This Row],[Plazo]]=LISTAS!$J$4),1,0)</f>
        <v>0</v>
      </c>
      <c r="Z312">
        <f>IF(SCTR_Brokers[[#This Row],[Fecha_Solic_Informe]]="",0,1)</f>
        <v>0</v>
      </c>
      <c r="AA312">
        <f>IF(SCTR_Brokers[[#This Row],[Fecha_Informe]]="",0,1)</f>
        <v>0</v>
      </c>
      <c r="AB312">
        <f>IF(AND(SCTR_Brokers[[#This Row],[Fecha_Solic_Informe]]&lt;&gt;"",SCTR_Brokers[[#This Row],[Fecha_Informe]]=""),1,0)</f>
        <v>0</v>
      </c>
      <c r="AC31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13" spans="1:29" hidden="1">
      <c r="A313" t="s">
        <v>704</v>
      </c>
      <c r="C313" t="str">
        <f>IF(SCTR_Brokers[[#This Row],[FechaRecepcion]]="","",SCTR_Brokers[[#This Row],[ConversationId]]&amp;"-"&amp;TEXT(SCTR_Brokers[[#This Row],[FechaRecepcion]],"aaaammddhhmmss"))</f>
        <v>AAQkADdkNThjNzFkLWM0ZmMtNDJhYS04MDVlLTIwNzE4ZDI1Mzg4YgAQAIB-icYgwF9CrRBvnudtOkI=-20260915180628</v>
      </c>
      <c r="D313" s="16" t="s">
        <v>705</v>
      </c>
      <c r="E313" t="s">
        <v>21</v>
      </c>
      <c r="F313" s="3">
        <v>46280.754490740743</v>
      </c>
      <c r="G313" s="3">
        <v>46280.754490740743</v>
      </c>
      <c r="H313" t="s">
        <v>90</v>
      </c>
      <c r="I313" t="s">
        <v>7</v>
      </c>
      <c r="K313" t="s">
        <v>67</v>
      </c>
      <c r="L313" s="10"/>
      <c r="N31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13" s="3"/>
      <c r="P313" s="3"/>
      <c r="Q313" s="3">
        <v>46280.761805555558</v>
      </c>
      <c r="R31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13" t="str">
        <f>IF(SCTR_Brokers[[#This Row],[FechaRecepcion]]="","",TEXT(SCTR_Brokers[[#This Row],[FechaRecepcion]],"mmmm")&amp;" "&amp;YEAR(SCTR_Brokers[[#This Row],[FechaRecepcion]]))</f>
        <v>septiembre 2026</v>
      </c>
      <c r="U313">
        <f>IF(SCTR_Brokers[[#This Row],[Estado]]="FINALIZADO",1,0)</f>
        <v>1</v>
      </c>
      <c r="V313">
        <f>IF(SCTR_Brokers[[#This Row],[FechaRecepcion]]="","",IF(SCTR_Brokers[[#This Row],[Estado]]="FINALIZADO",0,1))</f>
        <v>0</v>
      </c>
      <c r="W313">
        <f ca="1">IF(AND(SCTR_Brokers[[#This Row],[Estado]]="FINALIZADO",SCTR_Brokers[[#This Row],[Plazo]]=LISTAS!$J$3),1,0)</f>
        <v>1</v>
      </c>
      <c r="X313">
        <f ca="1">IF(AND(SCTR_Brokers[[#This Row],[Estado]]="FINALIZADO",SCTR_Brokers[[#This Row],[Plazo]]=LISTAS!$J$4),1,0)</f>
        <v>0</v>
      </c>
      <c r="Y313">
        <f ca="1">IF(AND(SCTR_Brokers[[#This Row],[Estado]]&lt;&gt;"FINALIZADO",SCTR_Brokers[[#This Row],[Plazo]]=LISTAS!$J$4),1,0)</f>
        <v>0</v>
      </c>
      <c r="Z313">
        <f>IF(SCTR_Brokers[[#This Row],[Fecha_Solic_Informe]]="",0,1)</f>
        <v>0</v>
      </c>
      <c r="AA313">
        <f>IF(SCTR_Brokers[[#This Row],[Fecha_Informe]]="",0,1)</f>
        <v>0</v>
      </c>
      <c r="AB313">
        <f>IF(AND(SCTR_Brokers[[#This Row],[Fecha_Solic_Informe]]&lt;&gt;"",SCTR_Brokers[[#This Row],[Fecha_Informe]]=""),1,0)</f>
        <v>0</v>
      </c>
      <c r="AC31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14" spans="1:29" hidden="1">
      <c r="A314" t="s">
        <v>706</v>
      </c>
      <c r="C314" t="str">
        <f>IF(SCTR_Brokers[[#This Row],[FechaRecepcion]]="","",SCTR_Brokers[[#This Row],[ConversationId]]&amp;"-"&amp;TEXT(SCTR_Brokers[[#This Row],[FechaRecepcion]],"aaaammddhhmmss"))</f>
        <v>AAQkADdkNThjNzFkLWM0ZmMtNDJhYS04MDVlLTIwNzE4ZDI1Mzg4YgAQAFBXLKfW8EA1tHn2e2xW7LA=-20260915181157</v>
      </c>
      <c r="D314" s="16" t="s">
        <v>707</v>
      </c>
      <c r="E314" t="s">
        <v>21</v>
      </c>
      <c r="F314" s="3">
        <v>46280.758298611108</v>
      </c>
      <c r="G314" s="3">
        <v>46280.758298611108</v>
      </c>
      <c r="H314" t="s">
        <v>708</v>
      </c>
      <c r="I314" t="s">
        <v>7</v>
      </c>
      <c r="K314" t="s">
        <v>67</v>
      </c>
      <c r="L314" s="10"/>
      <c r="N31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14" s="3"/>
      <c r="P314" s="3"/>
      <c r="Q314" s="3">
        <v>46281.429861111108</v>
      </c>
      <c r="R31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14" t="str">
        <f>IF(SCTR_Brokers[[#This Row],[FechaRecepcion]]="","",TEXT(SCTR_Brokers[[#This Row],[FechaRecepcion]],"mmmm")&amp;" "&amp;YEAR(SCTR_Brokers[[#This Row],[FechaRecepcion]]))</f>
        <v>septiembre 2026</v>
      </c>
      <c r="U314">
        <f>IF(SCTR_Brokers[[#This Row],[Estado]]="FINALIZADO",1,0)</f>
        <v>1</v>
      </c>
      <c r="V314">
        <f>IF(SCTR_Brokers[[#This Row],[FechaRecepcion]]="","",IF(SCTR_Brokers[[#This Row],[Estado]]="FINALIZADO",0,1))</f>
        <v>0</v>
      </c>
      <c r="W314">
        <f ca="1">IF(AND(SCTR_Brokers[[#This Row],[Estado]]="FINALIZADO",SCTR_Brokers[[#This Row],[Plazo]]=LISTAS!$J$3),1,0)</f>
        <v>1</v>
      </c>
      <c r="X314">
        <f ca="1">IF(AND(SCTR_Brokers[[#This Row],[Estado]]="FINALIZADO",SCTR_Brokers[[#This Row],[Plazo]]=LISTAS!$J$4),1,0)</f>
        <v>0</v>
      </c>
      <c r="Y314">
        <f ca="1">IF(AND(SCTR_Brokers[[#This Row],[Estado]]&lt;&gt;"FINALIZADO",SCTR_Brokers[[#This Row],[Plazo]]=LISTAS!$J$4),1,0)</f>
        <v>0</v>
      </c>
      <c r="Z314">
        <f>IF(SCTR_Brokers[[#This Row],[Fecha_Solic_Informe]]="",0,1)</f>
        <v>0</v>
      </c>
      <c r="AA314">
        <f>IF(SCTR_Brokers[[#This Row],[Fecha_Informe]]="",0,1)</f>
        <v>0</v>
      </c>
      <c r="AB314">
        <f>IF(AND(SCTR_Brokers[[#This Row],[Fecha_Solic_Informe]]&lt;&gt;"",SCTR_Brokers[[#This Row],[Fecha_Informe]]=""),1,0)</f>
        <v>0</v>
      </c>
      <c r="AC31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15" spans="1:29" hidden="1">
      <c r="A315" t="s">
        <v>709</v>
      </c>
      <c r="C315" t="str">
        <f>IF(SCTR_Brokers[[#This Row],[FechaRecepcion]]="","",SCTR_Brokers[[#This Row],[ConversationId]]&amp;"-"&amp;TEXT(SCTR_Brokers[[#This Row],[FechaRecepcion]],"aaaammddhhmmss"))</f>
        <v>AAQkADdkNThjNzFkLWM0ZmMtNDJhYS04MDVlLTIwNzE4ZDI1Mzg4YgAQAGe7HeEcSJtOsYmuZzSK2_s=-20260915200356</v>
      </c>
      <c r="D315" s="16" t="s">
        <v>710</v>
      </c>
      <c r="E315" t="s">
        <v>8</v>
      </c>
      <c r="F315" s="3">
        <v>46280.836064814815</v>
      </c>
      <c r="G315" s="3">
        <v>46280.836064814815</v>
      </c>
      <c r="H315" t="s">
        <v>711</v>
      </c>
      <c r="I315" t="s">
        <v>7</v>
      </c>
      <c r="K315" t="s">
        <v>67</v>
      </c>
      <c r="L315" s="10"/>
      <c r="N31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15" s="3"/>
      <c r="P315" s="3"/>
      <c r="Q315" s="3">
        <v>46280.864583333336</v>
      </c>
      <c r="R31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15" t="str">
        <f>IF(SCTR_Brokers[[#This Row],[FechaRecepcion]]="","",TEXT(SCTR_Brokers[[#This Row],[FechaRecepcion]],"mmmm")&amp;" "&amp;YEAR(SCTR_Brokers[[#This Row],[FechaRecepcion]]))</f>
        <v>septiembre 2026</v>
      </c>
      <c r="U315">
        <f>IF(SCTR_Brokers[[#This Row],[Estado]]="FINALIZADO",1,0)</f>
        <v>1</v>
      </c>
      <c r="V315">
        <f>IF(SCTR_Brokers[[#This Row],[FechaRecepcion]]="","",IF(SCTR_Brokers[[#This Row],[Estado]]="FINALIZADO",0,1))</f>
        <v>0</v>
      </c>
      <c r="W315">
        <f ca="1">IF(AND(SCTR_Brokers[[#This Row],[Estado]]="FINALIZADO",SCTR_Brokers[[#This Row],[Plazo]]=LISTAS!$J$3),1,0)</f>
        <v>1</v>
      </c>
      <c r="X315">
        <f ca="1">IF(AND(SCTR_Brokers[[#This Row],[Estado]]="FINALIZADO",SCTR_Brokers[[#This Row],[Plazo]]=LISTAS!$J$4),1,0)</f>
        <v>0</v>
      </c>
      <c r="Y315">
        <f ca="1">IF(AND(SCTR_Brokers[[#This Row],[Estado]]&lt;&gt;"FINALIZADO",SCTR_Brokers[[#This Row],[Plazo]]=LISTAS!$J$4),1,0)</f>
        <v>0</v>
      </c>
      <c r="Z315">
        <f>IF(SCTR_Brokers[[#This Row],[Fecha_Solic_Informe]]="",0,1)</f>
        <v>0</v>
      </c>
      <c r="AA315">
        <f>IF(SCTR_Brokers[[#This Row],[Fecha_Informe]]="",0,1)</f>
        <v>0</v>
      </c>
      <c r="AB315">
        <f>IF(AND(SCTR_Brokers[[#This Row],[Fecha_Solic_Informe]]&lt;&gt;"",SCTR_Brokers[[#This Row],[Fecha_Informe]]=""),1,0)</f>
        <v>0</v>
      </c>
      <c r="AC31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16" spans="1:29" hidden="1">
      <c r="A316" t="s">
        <v>712</v>
      </c>
      <c r="C316" t="str">
        <f>IF(SCTR_Brokers[[#This Row],[FechaRecepcion]]="","",SCTR_Brokers[[#This Row],[ConversationId]]&amp;"-"&amp;TEXT(SCTR_Brokers[[#This Row],[FechaRecepcion]],"aaaammddhhmmss"))</f>
        <v>AAQkADdkNThjNzFkLWM0ZmMtNDJhYS04MDVlLTIwNzE4ZDI1Mzg4YgAQAAn5nSnfkkQUk-ttwFSSXVk=-20260916091030</v>
      </c>
      <c r="D316" s="16" t="s">
        <v>713</v>
      </c>
      <c r="E316" t="s">
        <v>14</v>
      </c>
      <c r="F316" s="3">
        <v>46281.382291666669</v>
      </c>
      <c r="G316" s="3">
        <v>46281.382291666669</v>
      </c>
      <c r="H316" t="s">
        <v>115</v>
      </c>
      <c r="I316" t="s">
        <v>7</v>
      </c>
      <c r="K316" t="s">
        <v>67</v>
      </c>
      <c r="L316" s="10"/>
      <c r="N31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16" s="3"/>
      <c r="P316" s="3"/>
      <c r="Q316" s="3">
        <v>46281.44027777778</v>
      </c>
      <c r="R31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16" t="str">
        <f>IF(SCTR_Brokers[[#This Row],[FechaRecepcion]]="","",TEXT(SCTR_Brokers[[#This Row],[FechaRecepcion]],"mmmm")&amp;" "&amp;YEAR(SCTR_Brokers[[#This Row],[FechaRecepcion]]))</f>
        <v>septiembre 2026</v>
      </c>
      <c r="U316">
        <f>IF(SCTR_Brokers[[#This Row],[Estado]]="FINALIZADO",1,0)</f>
        <v>1</v>
      </c>
      <c r="V316">
        <f>IF(SCTR_Brokers[[#This Row],[FechaRecepcion]]="","",IF(SCTR_Brokers[[#This Row],[Estado]]="FINALIZADO",0,1))</f>
        <v>0</v>
      </c>
      <c r="W316">
        <f ca="1">IF(AND(SCTR_Brokers[[#This Row],[Estado]]="FINALIZADO",SCTR_Brokers[[#This Row],[Plazo]]=LISTAS!$J$3),1,0)</f>
        <v>1</v>
      </c>
      <c r="X316">
        <f ca="1">IF(AND(SCTR_Brokers[[#This Row],[Estado]]="FINALIZADO",SCTR_Brokers[[#This Row],[Plazo]]=LISTAS!$J$4),1,0)</f>
        <v>0</v>
      </c>
      <c r="Y316">
        <f ca="1">IF(AND(SCTR_Brokers[[#This Row],[Estado]]&lt;&gt;"FINALIZADO",SCTR_Brokers[[#This Row],[Plazo]]=LISTAS!$J$4),1,0)</f>
        <v>0</v>
      </c>
      <c r="Z316">
        <f>IF(SCTR_Brokers[[#This Row],[Fecha_Solic_Informe]]="",0,1)</f>
        <v>0</v>
      </c>
      <c r="AA316">
        <f>IF(SCTR_Brokers[[#This Row],[Fecha_Informe]]="",0,1)</f>
        <v>0</v>
      </c>
      <c r="AB316">
        <f>IF(AND(SCTR_Brokers[[#This Row],[Fecha_Solic_Informe]]&lt;&gt;"",SCTR_Brokers[[#This Row],[Fecha_Informe]]=""),1,0)</f>
        <v>0</v>
      </c>
      <c r="AC31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17" spans="1:29" hidden="1">
      <c r="A317" t="s">
        <v>714</v>
      </c>
      <c r="C317" t="str">
        <f>IF(SCTR_Brokers[[#This Row],[FechaRecepcion]]="","",SCTR_Brokers[[#This Row],[ConversationId]]&amp;"-"&amp;TEXT(SCTR_Brokers[[#This Row],[FechaRecepcion]],"aaaammddhhmmss"))</f>
        <v>AAQkADdkNThjNzFkLWM0ZmMtNDJhYS04MDVlLTIwNzE4ZDI1Mzg4YgAQAHr1qFrjTZ5LurlWI74YXGg=-20260916111510</v>
      </c>
      <c r="D317" s="16" t="s">
        <v>715</v>
      </c>
      <c r="E317" t="s">
        <v>21</v>
      </c>
      <c r="F317" s="3">
        <v>46281.468865740739</v>
      </c>
      <c r="G317" s="3">
        <v>46281.52107638889</v>
      </c>
      <c r="H317" t="s">
        <v>716</v>
      </c>
      <c r="I317" t="s">
        <v>7</v>
      </c>
      <c r="K317" t="s">
        <v>67</v>
      </c>
      <c r="L317" s="10"/>
      <c r="N31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17" s="3"/>
      <c r="P317" s="3"/>
      <c r="Q317" s="3">
        <v>46281.61041666667</v>
      </c>
      <c r="R31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17" t="str">
        <f>IF(SCTR_Brokers[[#This Row],[FechaRecepcion]]="","",TEXT(SCTR_Brokers[[#This Row],[FechaRecepcion]],"mmmm")&amp;" "&amp;YEAR(SCTR_Brokers[[#This Row],[FechaRecepcion]]))</f>
        <v>septiembre 2026</v>
      </c>
      <c r="U317">
        <f>IF(SCTR_Brokers[[#This Row],[Estado]]="FINALIZADO",1,0)</f>
        <v>1</v>
      </c>
      <c r="V317">
        <f>IF(SCTR_Brokers[[#This Row],[FechaRecepcion]]="","",IF(SCTR_Brokers[[#This Row],[Estado]]="FINALIZADO",0,1))</f>
        <v>0</v>
      </c>
      <c r="W317">
        <f ca="1">IF(AND(SCTR_Brokers[[#This Row],[Estado]]="FINALIZADO",SCTR_Brokers[[#This Row],[Plazo]]=LISTAS!$J$3),1,0)</f>
        <v>1</v>
      </c>
      <c r="X317">
        <f ca="1">IF(AND(SCTR_Brokers[[#This Row],[Estado]]="FINALIZADO",SCTR_Brokers[[#This Row],[Plazo]]=LISTAS!$J$4),1,0)</f>
        <v>0</v>
      </c>
      <c r="Y317">
        <f ca="1">IF(AND(SCTR_Brokers[[#This Row],[Estado]]&lt;&gt;"FINALIZADO",SCTR_Brokers[[#This Row],[Plazo]]=LISTAS!$J$4),1,0)</f>
        <v>0</v>
      </c>
      <c r="Z317">
        <f>IF(SCTR_Brokers[[#This Row],[Fecha_Solic_Informe]]="",0,1)</f>
        <v>0</v>
      </c>
      <c r="AA317">
        <f>IF(SCTR_Brokers[[#This Row],[Fecha_Informe]]="",0,1)</f>
        <v>0</v>
      </c>
      <c r="AB317">
        <f>IF(AND(SCTR_Brokers[[#This Row],[Fecha_Solic_Informe]]&lt;&gt;"",SCTR_Brokers[[#This Row],[Fecha_Informe]]=""),1,0)</f>
        <v>0</v>
      </c>
      <c r="AC31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18" spans="1:29" hidden="1">
      <c r="A318" t="s">
        <v>717</v>
      </c>
      <c r="C318" t="str">
        <f>IF(SCTR_Brokers[[#This Row],[FechaRecepcion]]="","",SCTR_Brokers[[#This Row],[ConversationId]]&amp;"-"&amp;TEXT(SCTR_Brokers[[#This Row],[FechaRecepcion]],"aaaammddhhmmss"))</f>
        <v>AAQkADdkNThjNzFkLWM0ZmMtNDJhYS04MDVlLTIwNzE4ZDI1Mzg4YgAQAEX3RsgPcU7CpVkGHfCKbns=-20260916112511</v>
      </c>
      <c r="D318" s="16" t="s">
        <v>718</v>
      </c>
      <c r="E318" t="s">
        <v>21</v>
      </c>
      <c r="F318" s="3">
        <v>46281.475821759261</v>
      </c>
      <c r="G318" s="3">
        <v>46281.475821759261</v>
      </c>
      <c r="H318" t="s">
        <v>252</v>
      </c>
      <c r="I318" t="s">
        <v>7</v>
      </c>
      <c r="K318" t="s">
        <v>67</v>
      </c>
      <c r="L318" s="10"/>
      <c r="N31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18" s="3"/>
      <c r="P318" s="3"/>
      <c r="Q318" s="3">
        <v>46281.488888888889</v>
      </c>
      <c r="R31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18" t="str">
        <f>IF(SCTR_Brokers[[#This Row],[FechaRecepcion]]="","",TEXT(SCTR_Brokers[[#This Row],[FechaRecepcion]],"mmmm")&amp;" "&amp;YEAR(SCTR_Brokers[[#This Row],[FechaRecepcion]]))</f>
        <v>septiembre 2026</v>
      </c>
      <c r="U318">
        <f>IF(SCTR_Brokers[[#This Row],[Estado]]="FINALIZADO",1,0)</f>
        <v>1</v>
      </c>
      <c r="V318">
        <f>IF(SCTR_Brokers[[#This Row],[FechaRecepcion]]="","",IF(SCTR_Brokers[[#This Row],[Estado]]="FINALIZADO",0,1))</f>
        <v>0</v>
      </c>
      <c r="W318">
        <f ca="1">IF(AND(SCTR_Brokers[[#This Row],[Estado]]="FINALIZADO",SCTR_Brokers[[#This Row],[Plazo]]=LISTAS!$J$3),1,0)</f>
        <v>1</v>
      </c>
      <c r="X318">
        <f ca="1">IF(AND(SCTR_Brokers[[#This Row],[Estado]]="FINALIZADO",SCTR_Brokers[[#This Row],[Plazo]]=LISTAS!$J$4),1,0)</f>
        <v>0</v>
      </c>
      <c r="Y318">
        <f ca="1">IF(AND(SCTR_Brokers[[#This Row],[Estado]]&lt;&gt;"FINALIZADO",SCTR_Brokers[[#This Row],[Plazo]]=LISTAS!$J$4),1,0)</f>
        <v>0</v>
      </c>
      <c r="Z318">
        <f>IF(SCTR_Brokers[[#This Row],[Fecha_Solic_Informe]]="",0,1)</f>
        <v>0</v>
      </c>
      <c r="AA318">
        <f>IF(SCTR_Brokers[[#This Row],[Fecha_Informe]]="",0,1)</f>
        <v>0</v>
      </c>
      <c r="AB318">
        <f>IF(AND(SCTR_Brokers[[#This Row],[Fecha_Solic_Informe]]&lt;&gt;"",SCTR_Brokers[[#This Row],[Fecha_Informe]]=""),1,0)</f>
        <v>0</v>
      </c>
      <c r="AC31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19" spans="1:29" hidden="1">
      <c r="A319" t="s">
        <v>719</v>
      </c>
      <c r="C319" t="str">
        <f>IF(SCTR_Brokers[[#This Row],[FechaRecepcion]]="","",SCTR_Brokers[[#This Row],[ConversationId]]&amp;"-"&amp;TEXT(SCTR_Brokers[[#This Row],[FechaRecepcion]],"aaaammddhhmmss"))</f>
        <v>AAQkADdkNThjNzFkLWM0ZmMtNDJhYS04MDVlLTIwNzE4ZDI1Mzg4YgAQAEyNgDfy8E_NoKgxJETifTc=-20260916124636</v>
      </c>
      <c r="D319" s="16" t="s">
        <v>720</v>
      </c>
      <c r="E319" t="s">
        <v>8</v>
      </c>
      <c r="F319" s="3">
        <v>46281.532361111109</v>
      </c>
      <c r="G319" s="3">
        <v>46281.532361111109</v>
      </c>
      <c r="H319" t="s">
        <v>721</v>
      </c>
      <c r="I319" t="s">
        <v>7</v>
      </c>
      <c r="K319" t="s">
        <v>67</v>
      </c>
      <c r="L319" s="10"/>
      <c r="N31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19" s="3"/>
      <c r="P319" s="3"/>
      <c r="Q319" s="3">
        <v>46281.618750000001</v>
      </c>
      <c r="R31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19" t="str">
        <f>IF(SCTR_Brokers[[#This Row],[FechaRecepcion]]="","",TEXT(SCTR_Brokers[[#This Row],[FechaRecepcion]],"mmmm")&amp;" "&amp;YEAR(SCTR_Brokers[[#This Row],[FechaRecepcion]]))</f>
        <v>septiembre 2026</v>
      </c>
      <c r="U319">
        <f>IF(SCTR_Brokers[[#This Row],[Estado]]="FINALIZADO",1,0)</f>
        <v>1</v>
      </c>
      <c r="V319">
        <f>IF(SCTR_Brokers[[#This Row],[FechaRecepcion]]="","",IF(SCTR_Brokers[[#This Row],[Estado]]="FINALIZADO",0,1))</f>
        <v>0</v>
      </c>
      <c r="W319">
        <f ca="1">IF(AND(SCTR_Brokers[[#This Row],[Estado]]="FINALIZADO",SCTR_Brokers[[#This Row],[Plazo]]=LISTAS!$J$3),1,0)</f>
        <v>1</v>
      </c>
      <c r="X319">
        <f ca="1">IF(AND(SCTR_Brokers[[#This Row],[Estado]]="FINALIZADO",SCTR_Brokers[[#This Row],[Plazo]]=LISTAS!$J$4),1,0)</f>
        <v>0</v>
      </c>
      <c r="Y319">
        <f ca="1">IF(AND(SCTR_Brokers[[#This Row],[Estado]]&lt;&gt;"FINALIZADO",SCTR_Brokers[[#This Row],[Plazo]]=LISTAS!$J$4),1,0)</f>
        <v>0</v>
      </c>
      <c r="Z319">
        <f>IF(SCTR_Brokers[[#This Row],[Fecha_Solic_Informe]]="",0,1)</f>
        <v>0</v>
      </c>
      <c r="AA319">
        <f>IF(SCTR_Brokers[[#This Row],[Fecha_Informe]]="",0,1)</f>
        <v>0</v>
      </c>
      <c r="AB319">
        <f>IF(AND(SCTR_Brokers[[#This Row],[Fecha_Solic_Informe]]&lt;&gt;"",SCTR_Brokers[[#This Row],[Fecha_Informe]]=""),1,0)</f>
        <v>0</v>
      </c>
      <c r="AC31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20" spans="1:29" hidden="1">
      <c r="A320" t="s">
        <v>722</v>
      </c>
      <c r="C320" t="str">
        <f>IF(SCTR_Brokers[[#This Row],[FechaRecepcion]]="","",SCTR_Brokers[[#This Row],[ConversationId]]&amp;"-"&amp;TEXT(SCTR_Brokers[[#This Row],[FechaRecepcion]],"aaaammddhhmmss"))</f>
        <v>AAQkADdkNThjNzFkLWM0ZmMtNDJhYS04MDVlLTIwNzE4ZDI1Mzg4YgAQAHIGjFbqSmBBuQUixwtSbZg=-20260916130811</v>
      </c>
      <c r="D320" s="16" t="s">
        <v>723</v>
      </c>
      <c r="E320" t="s">
        <v>20</v>
      </c>
      <c r="F320" s="3">
        <v>46281.547349537039</v>
      </c>
      <c r="G320" s="3">
        <v>46281.547349537039</v>
      </c>
      <c r="H320" t="s">
        <v>356</v>
      </c>
      <c r="I320" t="s">
        <v>7</v>
      </c>
      <c r="K320" t="s">
        <v>67</v>
      </c>
      <c r="L320" s="10"/>
      <c r="N32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20" s="3"/>
      <c r="P320" s="3"/>
      <c r="Q320" s="3">
        <v>46281.615972222222</v>
      </c>
      <c r="R32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20" t="str">
        <f>IF(SCTR_Brokers[[#This Row],[FechaRecepcion]]="","",TEXT(SCTR_Brokers[[#This Row],[FechaRecepcion]],"mmmm")&amp;" "&amp;YEAR(SCTR_Brokers[[#This Row],[FechaRecepcion]]))</f>
        <v>septiembre 2026</v>
      </c>
      <c r="U320">
        <f>IF(SCTR_Brokers[[#This Row],[Estado]]="FINALIZADO",1,0)</f>
        <v>1</v>
      </c>
      <c r="V320">
        <f>IF(SCTR_Brokers[[#This Row],[FechaRecepcion]]="","",IF(SCTR_Brokers[[#This Row],[Estado]]="FINALIZADO",0,1))</f>
        <v>0</v>
      </c>
      <c r="W320">
        <f ca="1">IF(AND(SCTR_Brokers[[#This Row],[Estado]]="FINALIZADO",SCTR_Brokers[[#This Row],[Plazo]]=LISTAS!$J$3),1,0)</f>
        <v>1</v>
      </c>
      <c r="X320">
        <f ca="1">IF(AND(SCTR_Brokers[[#This Row],[Estado]]="FINALIZADO",SCTR_Brokers[[#This Row],[Plazo]]=LISTAS!$J$4),1,0)</f>
        <v>0</v>
      </c>
      <c r="Y320">
        <f ca="1">IF(AND(SCTR_Brokers[[#This Row],[Estado]]&lt;&gt;"FINALIZADO",SCTR_Brokers[[#This Row],[Plazo]]=LISTAS!$J$4),1,0)</f>
        <v>0</v>
      </c>
      <c r="Z320">
        <f>IF(SCTR_Brokers[[#This Row],[Fecha_Solic_Informe]]="",0,1)</f>
        <v>0</v>
      </c>
      <c r="AA320">
        <f>IF(SCTR_Brokers[[#This Row],[Fecha_Informe]]="",0,1)</f>
        <v>0</v>
      </c>
      <c r="AB320">
        <f>IF(AND(SCTR_Brokers[[#This Row],[Fecha_Solic_Informe]]&lt;&gt;"",SCTR_Brokers[[#This Row],[Fecha_Informe]]=""),1,0)</f>
        <v>0</v>
      </c>
      <c r="AC32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21" spans="1:29" hidden="1">
      <c r="A321" t="s">
        <v>724</v>
      </c>
      <c r="C321" t="str">
        <f>IF(SCTR_Brokers[[#This Row],[FechaRecepcion]]="","",SCTR_Brokers[[#This Row],[ConversationId]]&amp;"-"&amp;TEXT(SCTR_Brokers[[#This Row],[FechaRecepcion]],"aaaammddhhmmss"))</f>
        <v>AAQkADdkNThjNzFkLWM0ZmMtNDJhYS04MDVlLTIwNzE4ZDI1Mzg4YgAQAEPI0mAn9E50rrMBRhlcolQ=-20260916154348</v>
      </c>
      <c r="D321" s="16" t="s">
        <v>725</v>
      </c>
      <c r="E321" t="s">
        <v>23</v>
      </c>
      <c r="F321" s="3">
        <v>46281.655416666668</v>
      </c>
      <c r="G321" s="3">
        <v>46281.655416666668</v>
      </c>
      <c r="H321" t="s">
        <v>325</v>
      </c>
      <c r="I321" t="s">
        <v>7</v>
      </c>
      <c r="K321" t="s">
        <v>67</v>
      </c>
      <c r="L321" s="10"/>
      <c r="N32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21" s="3"/>
      <c r="P321" s="3"/>
      <c r="Q321" s="3">
        <v>46281.684027777781</v>
      </c>
      <c r="R32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21" t="str">
        <f>IF(SCTR_Brokers[[#This Row],[FechaRecepcion]]="","",TEXT(SCTR_Brokers[[#This Row],[FechaRecepcion]],"mmmm")&amp;" "&amp;YEAR(SCTR_Brokers[[#This Row],[FechaRecepcion]]))</f>
        <v>septiembre 2026</v>
      </c>
      <c r="U321">
        <f>IF(SCTR_Brokers[[#This Row],[Estado]]="FINALIZADO",1,0)</f>
        <v>1</v>
      </c>
      <c r="V321">
        <f>IF(SCTR_Brokers[[#This Row],[FechaRecepcion]]="","",IF(SCTR_Brokers[[#This Row],[Estado]]="FINALIZADO",0,1))</f>
        <v>0</v>
      </c>
      <c r="W321">
        <f ca="1">IF(AND(SCTR_Brokers[[#This Row],[Estado]]="FINALIZADO",SCTR_Brokers[[#This Row],[Plazo]]=LISTAS!$J$3),1,0)</f>
        <v>1</v>
      </c>
      <c r="X321">
        <f ca="1">IF(AND(SCTR_Brokers[[#This Row],[Estado]]="FINALIZADO",SCTR_Brokers[[#This Row],[Plazo]]=LISTAS!$J$4),1,0)</f>
        <v>0</v>
      </c>
      <c r="Y321">
        <f ca="1">IF(AND(SCTR_Brokers[[#This Row],[Estado]]&lt;&gt;"FINALIZADO",SCTR_Brokers[[#This Row],[Plazo]]=LISTAS!$J$4),1,0)</f>
        <v>0</v>
      </c>
      <c r="Z321">
        <f>IF(SCTR_Brokers[[#This Row],[Fecha_Solic_Informe]]="",0,1)</f>
        <v>0</v>
      </c>
      <c r="AA321">
        <f>IF(SCTR_Brokers[[#This Row],[Fecha_Informe]]="",0,1)</f>
        <v>0</v>
      </c>
      <c r="AB321">
        <f>IF(AND(SCTR_Brokers[[#This Row],[Fecha_Solic_Informe]]&lt;&gt;"",SCTR_Brokers[[#This Row],[Fecha_Informe]]=""),1,0)</f>
        <v>0</v>
      </c>
      <c r="AC32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22" spans="1:29" hidden="1">
      <c r="A322" t="s">
        <v>726</v>
      </c>
      <c r="C322" t="str">
        <f>IF(SCTR_Brokers[[#This Row],[FechaRecepcion]]="","",SCTR_Brokers[[#This Row],[ConversationId]]&amp;"-"&amp;TEXT(SCTR_Brokers[[#This Row],[FechaRecepcion]],"aaaammddhhmmss"))</f>
        <v>AAQkADdkNThjNzFkLWM0ZmMtNDJhYS04MDVlLTIwNzE4ZDI1Mzg4YgAQADYebe3WMMVEmeKzZSJekOI=-20260916214350</v>
      </c>
      <c r="D322" s="16" t="s">
        <v>727</v>
      </c>
      <c r="E322" t="s">
        <v>8</v>
      </c>
      <c r="F322" s="3">
        <v>46281.905439814815</v>
      </c>
      <c r="G322" s="3">
        <v>46281.905439814815</v>
      </c>
      <c r="H322" t="s">
        <v>73</v>
      </c>
      <c r="I322" t="s">
        <v>7</v>
      </c>
      <c r="K322" t="s">
        <v>67</v>
      </c>
      <c r="L322" s="10"/>
      <c r="N32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22" s="3"/>
      <c r="P322" s="3"/>
      <c r="Q322" s="3">
        <v>46282.421527777777</v>
      </c>
      <c r="R32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22" t="str">
        <f>IF(SCTR_Brokers[[#This Row],[FechaRecepcion]]="","",TEXT(SCTR_Brokers[[#This Row],[FechaRecepcion]],"mmmm")&amp;" "&amp;YEAR(SCTR_Brokers[[#This Row],[FechaRecepcion]]))</f>
        <v>septiembre 2026</v>
      </c>
      <c r="U322">
        <f>IF(SCTR_Brokers[[#This Row],[Estado]]="FINALIZADO",1,0)</f>
        <v>1</v>
      </c>
      <c r="V322">
        <f>IF(SCTR_Brokers[[#This Row],[FechaRecepcion]]="","",IF(SCTR_Brokers[[#This Row],[Estado]]="FINALIZADO",0,1))</f>
        <v>0</v>
      </c>
      <c r="W322">
        <f ca="1">IF(AND(SCTR_Brokers[[#This Row],[Estado]]="FINALIZADO",SCTR_Brokers[[#This Row],[Plazo]]=LISTAS!$J$3),1,0)</f>
        <v>1</v>
      </c>
      <c r="X322">
        <f ca="1">IF(AND(SCTR_Brokers[[#This Row],[Estado]]="FINALIZADO",SCTR_Brokers[[#This Row],[Plazo]]=LISTAS!$J$4),1,0)</f>
        <v>0</v>
      </c>
      <c r="Y322">
        <f ca="1">IF(AND(SCTR_Brokers[[#This Row],[Estado]]&lt;&gt;"FINALIZADO",SCTR_Brokers[[#This Row],[Plazo]]=LISTAS!$J$4),1,0)</f>
        <v>0</v>
      </c>
      <c r="Z322">
        <f>IF(SCTR_Brokers[[#This Row],[Fecha_Solic_Informe]]="",0,1)</f>
        <v>0</v>
      </c>
      <c r="AA322">
        <f>IF(SCTR_Brokers[[#This Row],[Fecha_Informe]]="",0,1)</f>
        <v>0</v>
      </c>
      <c r="AB322">
        <f>IF(AND(SCTR_Brokers[[#This Row],[Fecha_Solic_Informe]]&lt;&gt;"",SCTR_Brokers[[#This Row],[Fecha_Informe]]=""),1,0)</f>
        <v>0</v>
      </c>
      <c r="AC32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23" spans="1:29" hidden="1">
      <c r="A323" t="s">
        <v>728</v>
      </c>
      <c r="C323" t="str">
        <f>IF(SCTR_Brokers[[#This Row],[FechaRecepcion]]="","",SCTR_Brokers[[#This Row],[ConversationId]]&amp;"-"&amp;TEXT(SCTR_Brokers[[#This Row],[FechaRecepcion]],"aaaammddhhmmss"))</f>
        <v>AAQkADdkNThjNzFkLWM0ZmMtNDJhYS04MDVlLTIwNzE4ZDI1Mzg4YgAQAHF4LOQXizdOobJbAObblkg=-20260917110121</v>
      </c>
      <c r="D323" s="16" t="s">
        <v>729</v>
      </c>
      <c r="E323" t="s">
        <v>20</v>
      </c>
      <c r="F323" s="3">
        <v>46282.459270833337</v>
      </c>
      <c r="G323" s="3">
        <v>46282.459270833337</v>
      </c>
      <c r="H323" t="s">
        <v>338</v>
      </c>
      <c r="I323" t="s">
        <v>7</v>
      </c>
      <c r="K323" t="s">
        <v>67</v>
      </c>
      <c r="L323" s="10"/>
      <c r="N32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23" s="3"/>
      <c r="P323" s="3"/>
      <c r="Q323" s="3">
        <v>46282.490972222222</v>
      </c>
      <c r="R32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23" t="str">
        <f>IF(SCTR_Brokers[[#This Row],[FechaRecepcion]]="","",TEXT(SCTR_Brokers[[#This Row],[FechaRecepcion]],"mmmm")&amp;" "&amp;YEAR(SCTR_Brokers[[#This Row],[FechaRecepcion]]))</f>
        <v>septiembre 2026</v>
      </c>
      <c r="U323">
        <f>IF(SCTR_Brokers[[#This Row],[Estado]]="FINALIZADO",1,0)</f>
        <v>1</v>
      </c>
      <c r="V323">
        <f>IF(SCTR_Brokers[[#This Row],[FechaRecepcion]]="","",IF(SCTR_Brokers[[#This Row],[Estado]]="FINALIZADO",0,1))</f>
        <v>0</v>
      </c>
      <c r="W323">
        <f ca="1">IF(AND(SCTR_Brokers[[#This Row],[Estado]]="FINALIZADO",SCTR_Brokers[[#This Row],[Plazo]]=LISTAS!$J$3),1,0)</f>
        <v>1</v>
      </c>
      <c r="X323">
        <f ca="1">IF(AND(SCTR_Brokers[[#This Row],[Estado]]="FINALIZADO",SCTR_Brokers[[#This Row],[Plazo]]=LISTAS!$J$4),1,0)</f>
        <v>0</v>
      </c>
      <c r="Y323">
        <f ca="1">IF(AND(SCTR_Brokers[[#This Row],[Estado]]&lt;&gt;"FINALIZADO",SCTR_Brokers[[#This Row],[Plazo]]=LISTAS!$J$4),1,0)</f>
        <v>0</v>
      </c>
      <c r="Z323">
        <f>IF(SCTR_Brokers[[#This Row],[Fecha_Solic_Informe]]="",0,1)</f>
        <v>0</v>
      </c>
      <c r="AA323">
        <f>IF(SCTR_Brokers[[#This Row],[Fecha_Informe]]="",0,1)</f>
        <v>0</v>
      </c>
      <c r="AB323">
        <f>IF(AND(SCTR_Brokers[[#This Row],[Fecha_Solic_Informe]]&lt;&gt;"",SCTR_Brokers[[#This Row],[Fecha_Informe]]=""),1,0)</f>
        <v>0</v>
      </c>
      <c r="AC32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24" spans="1:29" hidden="1">
      <c r="A324" t="s">
        <v>730</v>
      </c>
      <c r="C324" t="str">
        <f>IF(SCTR_Brokers[[#This Row],[FechaRecepcion]]="","",SCTR_Brokers[[#This Row],[ConversationId]]&amp;"-"&amp;TEXT(SCTR_Brokers[[#This Row],[FechaRecepcion]],"aaaammddhhmmss"))</f>
        <v>AAQkADdkNThjNzFkLWM0ZmMtNDJhYS04MDVlLTIwNzE4ZDI1Mzg4YgAQAIM_vYb2QgpBsuPCOOWpU2s=-20260917110853</v>
      </c>
      <c r="D324" s="16" t="s">
        <v>731</v>
      </c>
      <c r="E324" t="s">
        <v>20</v>
      </c>
      <c r="F324" s="3">
        <v>46282.464502314811</v>
      </c>
      <c r="G324" s="3">
        <v>46282.530914351853</v>
      </c>
      <c r="H324" t="s">
        <v>338</v>
      </c>
      <c r="I324" t="s">
        <v>7</v>
      </c>
      <c r="K324" t="s">
        <v>67</v>
      </c>
      <c r="L324" s="10"/>
      <c r="N32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24" s="3"/>
      <c r="P324" s="3"/>
      <c r="Q324" s="3">
        <v>46282.530914351853</v>
      </c>
      <c r="R32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24" t="str">
        <f>IF(SCTR_Brokers[[#This Row],[FechaRecepcion]]="","",TEXT(SCTR_Brokers[[#This Row],[FechaRecepcion]],"mmmm")&amp;" "&amp;YEAR(SCTR_Brokers[[#This Row],[FechaRecepcion]]))</f>
        <v>septiembre 2026</v>
      </c>
      <c r="U324">
        <f>IF(SCTR_Brokers[[#This Row],[Estado]]="FINALIZADO",1,0)</f>
        <v>1</v>
      </c>
      <c r="V324">
        <f>IF(SCTR_Brokers[[#This Row],[FechaRecepcion]]="","",IF(SCTR_Brokers[[#This Row],[Estado]]="FINALIZADO",0,1))</f>
        <v>0</v>
      </c>
      <c r="W324">
        <f ca="1">IF(AND(SCTR_Brokers[[#This Row],[Estado]]="FINALIZADO",SCTR_Brokers[[#This Row],[Plazo]]=LISTAS!$J$3),1,0)</f>
        <v>1</v>
      </c>
      <c r="X324">
        <f ca="1">IF(AND(SCTR_Brokers[[#This Row],[Estado]]="FINALIZADO",SCTR_Brokers[[#This Row],[Plazo]]=LISTAS!$J$4),1,0)</f>
        <v>0</v>
      </c>
      <c r="Y324">
        <f ca="1">IF(AND(SCTR_Brokers[[#This Row],[Estado]]&lt;&gt;"FINALIZADO",SCTR_Brokers[[#This Row],[Plazo]]=LISTAS!$J$4),1,0)</f>
        <v>0</v>
      </c>
      <c r="Z324">
        <f>IF(SCTR_Brokers[[#This Row],[Fecha_Solic_Informe]]="",0,1)</f>
        <v>0</v>
      </c>
      <c r="AA324">
        <f>IF(SCTR_Brokers[[#This Row],[Fecha_Informe]]="",0,1)</f>
        <v>0</v>
      </c>
      <c r="AB324">
        <f>IF(AND(SCTR_Brokers[[#This Row],[Fecha_Solic_Informe]]&lt;&gt;"",SCTR_Brokers[[#This Row],[Fecha_Informe]]=""),1,0)</f>
        <v>0</v>
      </c>
      <c r="AC32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25" spans="1:29" hidden="1">
      <c r="A325" t="s">
        <v>732</v>
      </c>
      <c r="C325" t="str">
        <f>IF(SCTR_Brokers[[#This Row],[FechaRecepcion]]="","",SCTR_Brokers[[#This Row],[ConversationId]]&amp;"-"&amp;TEXT(SCTR_Brokers[[#This Row],[FechaRecepcion]],"aaaammddhhmmss"))</f>
        <v>AAQkADdkNThjNzFkLWM0ZmMtNDJhYS04MDVlLTIwNzE4ZDI1Mzg4YgAQAESOr7fcTUFMh_6afMtGZug=-20260917112049</v>
      </c>
      <c r="D325" s="16" t="s">
        <v>733</v>
      </c>
      <c r="E325" t="s">
        <v>21</v>
      </c>
      <c r="F325" s="3">
        <v>46282.47278935185</v>
      </c>
      <c r="G325" s="3">
        <v>46282.501423611109</v>
      </c>
      <c r="H325" t="s">
        <v>66</v>
      </c>
      <c r="I325" t="s">
        <v>7</v>
      </c>
      <c r="K325" t="s">
        <v>67</v>
      </c>
      <c r="L325" s="10"/>
      <c r="N32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25" s="3"/>
      <c r="P325" s="3"/>
      <c r="Q325" s="3">
        <v>46282.515972222223</v>
      </c>
      <c r="R32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25" t="str">
        <f>IF(SCTR_Brokers[[#This Row],[FechaRecepcion]]="","",TEXT(SCTR_Brokers[[#This Row],[FechaRecepcion]],"mmmm")&amp;" "&amp;YEAR(SCTR_Brokers[[#This Row],[FechaRecepcion]]))</f>
        <v>septiembre 2026</v>
      </c>
      <c r="U325">
        <f>IF(SCTR_Brokers[[#This Row],[Estado]]="FINALIZADO",1,0)</f>
        <v>1</v>
      </c>
      <c r="V325">
        <f>IF(SCTR_Brokers[[#This Row],[FechaRecepcion]]="","",IF(SCTR_Brokers[[#This Row],[Estado]]="FINALIZADO",0,1))</f>
        <v>0</v>
      </c>
      <c r="W325">
        <f ca="1">IF(AND(SCTR_Brokers[[#This Row],[Estado]]="FINALIZADO",SCTR_Brokers[[#This Row],[Plazo]]=LISTAS!$J$3),1,0)</f>
        <v>1</v>
      </c>
      <c r="X325">
        <f ca="1">IF(AND(SCTR_Brokers[[#This Row],[Estado]]="FINALIZADO",SCTR_Brokers[[#This Row],[Plazo]]=LISTAS!$J$4),1,0)</f>
        <v>0</v>
      </c>
      <c r="Y325">
        <f ca="1">IF(AND(SCTR_Brokers[[#This Row],[Estado]]&lt;&gt;"FINALIZADO",SCTR_Brokers[[#This Row],[Plazo]]=LISTAS!$J$4),1,0)</f>
        <v>0</v>
      </c>
      <c r="Z325">
        <f>IF(SCTR_Brokers[[#This Row],[Fecha_Solic_Informe]]="",0,1)</f>
        <v>0</v>
      </c>
      <c r="AA325">
        <f>IF(SCTR_Brokers[[#This Row],[Fecha_Informe]]="",0,1)</f>
        <v>0</v>
      </c>
      <c r="AB325">
        <f>IF(AND(SCTR_Brokers[[#This Row],[Fecha_Solic_Informe]]&lt;&gt;"",SCTR_Brokers[[#This Row],[Fecha_Informe]]=""),1,0)</f>
        <v>0</v>
      </c>
      <c r="AC32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26" spans="1:29" hidden="1">
      <c r="A326" t="s">
        <v>734</v>
      </c>
      <c r="C326" t="str">
        <f>IF(SCTR_Brokers[[#This Row],[FechaRecepcion]]="","",SCTR_Brokers[[#This Row],[ConversationId]]&amp;"-"&amp;TEXT(SCTR_Brokers[[#This Row],[FechaRecepcion]],"aaaammddhhmmss"))</f>
        <v>AAQkADdkNThjNzFkLWM0ZmMtNDJhYS04MDVlLTIwNzE4ZDI1Mzg4YgAQAJhMK_ua3UMeojh3CMfJ8w4=-20260917113938</v>
      </c>
      <c r="D326" s="16" t="s">
        <v>735</v>
      </c>
      <c r="E326" t="s">
        <v>21</v>
      </c>
      <c r="F326" s="3">
        <v>46282.485856481479</v>
      </c>
      <c r="G326" s="3">
        <v>46282.50371527778</v>
      </c>
      <c r="H326" t="s">
        <v>66</v>
      </c>
      <c r="I326" t="s">
        <v>7</v>
      </c>
      <c r="K326" t="s">
        <v>67</v>
      </c>
      <c r="L326" s="10"/>
      <c r="N32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26" s="3"/>
      <c r="P326" s="3"/>
      <c r="Q326" s="3">
        <v>46282.521527777775</v>
      </c>
      <c r="R32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26" t="str">
        <f>IF(SCTR_Brokers[[#This Row],[FechaRecepcion]]="","",TEXT(SCTR_Brokers[[#This Row],[FechaRecepcion]],"mmmm")&amp;" "&amp;YEAR(SCTR_Brokers[[#This Row],[FechaRecepcion]]))</f>
        <v>septiembre 2026</v>
      </c>
      <c r="U326">
        <f>IF(SCTR_Brokers[[#This Row],[Estado]]="FINALIZADO",1,0)</f>
        <v>1</v>
      </c>
      <c r="V326">
        <f>IF(SCTR_Brokers[[#This Row],[FechaRecepcion]]="","",IF(SCTR_Brokers[[#This Row],[Estado]]="FINALIZADO",0,1))</f>
        <v>0</v>
      </c>
      <c r="W326">
        <f ca="1">IF(AND(SCTR_Brokers[[#This Row],[Estado]]="FINALIZADO",SCTR_Brokers[[#This Row],[Plazo]]=LISTAS!$J$3),1,0)</f>
        <v>1</v>
      </c>
      <c r="X326">
        <f ca="1">IF(AND(SCTR_Brokers[[#This Row],[Estado]]="FINALIZADO",SCTR_Brokers[[#This Row],[Plazo]]=LISTAS!$J$4),1,0)</f>
        <v>0</v>
      </c>
      <c r="Y326">
        <f ca="1">IF(AND(SCTR_Brokers[[#This Row],[Estado]]&lt;&gt;"FINALIZADO",SCTR_Brokers[[#This Row],[Plazo]]=LISTAS!$J$4),1,0)</f>
        <v>0</v>
      </c>
      <c r="Z326">
        <f>IF(SCTR_Brokers[[#This Row],[Fecha_Solic_Informe]]="",0,1)</f>
        <v>0</v>
      </c>
      <c r="AA326">
        <f>IF(SCTR_Brokers[[#This Row],[Fecha_Informe]]="",0,1)</f>
        <v>0</v>
      </c>
      <c r="AB326">
        <f>IF(AND(SCTR_Brokers[[#This Row],[Fecha_Solic_Informe]]&lt;&gt;"",SCTR_Brokers[[#This Row],[Fecha_Informe]]=""),1,0)</f>
        <v>0</v>
      </c>
      <c r="AC32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27" spans="1:29" hidden="1">
      <c r="A327" t="s">
        <v>736</v>
      </c>
      <c r="C327" t="str">
        <f>IF(SCTR_Brokers[[#This Row],[FechaRecepcion]]="","",SCTR_Brokers[[#This Row],[ConversationId]]&amp;"-"&amp;TEXT(SCTR_Brokers[[#This Row],[FechaRecepcion]],"aaaammddhhmmss"))</f>
        <v>AAQkADdkNThjNzFkLWM0ZmMtNDJhYS04MDVlLTIwNzE4ZDI1Mzg4YgAQADBsmhi7lqBEo9Gdw1jLfMY=-20260917122607</v>
      </c>
      <c r="D327" s="16" t="s">
        <v>737</v>
      </c>
      <c r="E327" t="s">
        <v>21</v>
      </c>
      <c r="F327" s="3">
        <v>46282.518136574072</v>
      </c>
      <c r="G327" s="3">
        <v>46283.489895833336</v>
      </c>
      <c r="H327" t="s">
        <v>66</v>
      </c>
      <c r="I327" t="s">
        <v>7</v>
      </c>
      <c r="K327" t="s">
        <v>67</v>
      </c>
      <c r="L327" s="10"/>
      <c r="N32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27" s="3"/>
      <c r="P327" s="3"/>
      <c r="Q327" s="3">
        <v>46283.489895833336</v>
      </c>
      <c r="R32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27" t="str">
        <f>IF(SCTR_Brokers[[#This Row],[FechaRecepcion]]="","",TEXT(SCTR_Brokers[[#This Row],[FechaRecepcion]],"mmmm")&amp;" "&amp;YEAR(SCTR_Brokers[[#This Row],[FechaRecepcion]]))</f>
        <v>septiembre 2026</v>
      </c>
      <c r="U327">
        <f>IF(SCTR_Brokers[[#This Row],[Estado]]="FINALIZADO",1,0)</f>
        <v>1</v>
      </c>
      <c r="V327">
        <f>IF(SCTR_Brokers[[#This Row],[FechaRecepcion]]="","",IF(SCTR_Brokers[[#This Row],[Estado]]="FINALIZADO",0,1))</f>
        <v>0</v>
      </c>
      <c r="W327">
        <f ca="1">IF(AND(SCTR_Brokers[[#This Row],[Estado]]="FINALIZADO",SCTR_Brokers[[#This Row],[Plazo]]=LISTAS!$J$3),1,0)</f>
        <v>0</v>
      </c>
      <c r="X327">
        <f ca="1">IF(AND(SCTR_Brokers[[#This Row],[Estado]]="FINALIZADO",SCTR_Brokers[[#This Row],[Plazo]]=LISTAS!$J$4),1,0)</f>
        <v>1</v>
      </c>
      <c r="Y327">
        <f ca="1">IF(AND(SCTR_Brokers[[#This Row],[Estado]]&lt;&gt;"FINALIZADO",SCTR_Brokers[[#This Row],[Plazo]]=LISTAS!$J$4),1,0)</f>
        <v>0</v>
      </c>
      <c r="Z327">
        <f>IF(SCTR_Brokers[[#This Row],[Fecha_Solic_Informe]]="",0,1)</f>
        <v>0</v>
      </c>
      <c r="AA327">
        <f>IF(SCTR_Brokers[[#This Row],[Fecha_Informe]]="",0,1)</f>
        <v>0</v>
      </c>
      <c r="AB327">
        <f>IF(AND(SCTR_Brokers[[#This Row],[Fecha_Solic_Informe]]&lt;&gt;"",SCTR_Brokers[[#This Row],[Fecha_Informe]]=""),1,0)</f>
        <v>0</v>
      </c>
      <c r="AC32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28" spans="1:29" hidden="1">
      <c r="A328" t="s">
        <v>738</v>
      </c>
      <c r="C328" t="str">
        <f>IF(SCTR_Brokers[[#This Row],[FechaRecepcion]]="","",SCTR_Brokers[[#This Row],[ConversationId]]&amp;"-"&amp;TEXT(SCTR_Brokers[[#This Row],[FechaRecepcion]],"aaaammddhhmmss"))</f>
        <v>AAQkADdkNThjNzFkLWM0ZmMtNDJhYS04MDVlLTIwNzE4ZDI1Mzg4YgAQADm0Z3ucLR1PimehMMHDQvQ=-20260917125541</v>
      </c>
      <c r="D328" s="16" t="s">
        <v>739</v>
      </c>
      <c r="E328" t="s">
        <v>23</v>
      </c>
      <c r="F328" s="3">
        <v>46282.538668981484</v>
      </c>
      <c r="G328" s="3">
        <v>46282.538668981484</v>
      </c>
      <c r="H328" t="s">
        <v>144</v>
      </c>
      <c r="I328" t="s">
        <v>7</v>
      </c>
      <c r="K328" t="s">
        <v>67</v>
      </c>
      <c r="L328" s="10"/>
      <c r="N32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28" s="3"/>
      <c r="P328" s="3"/>
      <c r="Q328" s="3">
        <v>46282.729166666664</v>
      </c>
      <c r="R32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28" t="str">
        <f>IF(SCTR_Brokers[[#This Row],[FechaRecepcion]]="","",TEXT(SCTR_Brokers[[#This Row],[FechaRecepcion]],"mmmm")&amp;" "&amp;YEAR(SCTR_Brokers[[#This Row],[FechaRecepcion]]))</f>
        <v>septiembre 2026</v>
      </c>
      <c r="U328">
        <f>IF(SCTR_Brokers[[#This Row],[Estado]]="FINALIZADO",1,0)</f>
        <v>1</v>
      </c>
      <c r="V328">
        <f>IF(SCTR_Brokers[[#This Row],[FechaRecepcion]]="","",IF(SCTR_Brokers[[#This Row],[Estado]]="FINALIZADO",0,1))</f>
        <v>0</v>
      </c>
      <c r="W328">
        <f ca="1">IF(AND(SCTR_Brokers[[#This Row],[Estado]]="FINALIZADO",SCTR_Brokers[[#This Row],[Plazo]]=LISTAS!$J$3),1,0)</f>
        <v>1</v>
      </c>
      <c r="X328">
        <f ca="1">IF(AND(SCTR_Brokers[[#This Row],[Estado]]="FINALIZADO",SCTR_Brokers[[#This Row],[Plazo]]=LISTAS!$J$4),1,0)</f>
        <v>0</v>
      </c>
      <c r="Y328">
        <f ca="1">IF(AND(SCTR_Brokers[[#This Row],[Estado]]&lt;&gt;"FINALIZADO",SCTR_Brokers[[#This Row],[Plazo]]=LISTAS!$J$4),1,0)</f>
        <v>0</v>
      </c>
      <c r="Z328">
        <f>IF(SCTR_Brokers[[#This Row],[Fecha_Solic_Informe]]="",0,1)</f>
        <v>0</v>
      </c>
      <c r="AA328">
        <f>IF(SCTR_Brokers[[#This Row],[Fecha_Informe]]="",0,1)</f>
        <v>0</v>
      </c>
      <c r="AB328">
        <f>IF(AND(SCTR_Brokers[[#This Row],[Fecha_Solic_Informe]]&lt;&gt;"",SCTR_Brokers[[#This Row],[Fecha_Informe]]=""),1,0)</f>
        <v>0</v>
      </c>
      <c r="AC32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29" spans="1:29" hidden="1">
      <c r="A329" t="s">
        <v>740</v>
      </c>
      <c r="C329" t="str">
        <f>IF(SCTR_Brokers[[#This Row],[FechaRecepcion]]="","",SCTR_Brokers[[#This Row],[ConversationId]]&amp;"-"&amp;TEXT(SCTR_Brokers[[#This Row],[FechaRecepcion]],"aaaammddhhmmss"))</f>
        <v>AAQkADdkNThjNzFkLWM0ZmMtNDJhYS04MDVlLTIwNzE4ZDI1Mzg4YgAQAN2RGl1mIplGr0C9idHWgQ0=-20260917144439</v>
      </c>
      <c r="D329" s="16" t="s">
        <v>741</v>
      </c>
      <c r="E329" t="s">
        <v>21</v>
      </c>
      <c r="F329" s="3">
        <v>46282.614340277774</v>
      </c>
      <c r="G329" s="3">
        <v>46282.614340277774</v>
      </c>
      <c r="H329" t="s">
        <v>742</v>
      </c>
      <c r="I329" t="s">
        <v>7</v>
      </c>
      <c r="K329" t="s">
        <v>67</v>
      </c>
      <c r="L329" s="10"/>
      <c r="N32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29" s="3"/>
      <c r="P329" s="3"/>
      <c r="Q329" s="3">
        <v>46282.62222222222</v>
      </c>
      <c r="R32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29" t="str">
        <f>IF(SCTR_Brokers[[#This Row],[FechaRecepcion]]="","",TEXT(SCTR_Brokers[[#This Row],[FechaRecepcion]],"mmmm")&amp;" "&amp;YEAR(SCTR_Brokers[[#This Row],[FechaRecepcion]]))</f>
        <v>septiembre 2026</v>
      </c>
      <c r="U329">
        <f>IF(SCTR_Brokers[[#This Row],[Estado]]="FINALIZADO",1,0)</f>
        <v>1</v>
      </c>
      <c r="V329">
        <f>IF(SCTR_Brokers[[#This Row],[FechaRecepcion]]="","",IF(SCTR_Brokers[[#This Row],[Estado]]="FINALIZADO",0,1))</f>
        <v>0</v>
      </c>
      <c r="W329">
        <f ca="1">IF(AND(SCTR_Brokers[[#This Row],[Estado]]="FINALIZADO",SCTR_Brokers[[#This Row],[Plazo]]=LISTAS!$J$3),1,0)</f>
        <v>1</v>
      </c>
      <c r="X329">
        <f ca="1">IF(AND(SCTR_Brokers[[#This Row],[Estado]]="FINALIZADO",SCTR_Brokers[[#This Row],[Plazo]]=LISTAS!$J$4),1,0)</f>
        <v>0</v>
      </c>
      <c r="Y329">
        <f ca="1">IF(AND(SCTR_Brokers[[#This Row],[Estado]]&lt;&gt;"FINALIZADO",SCTR_Brokers[[#This Row],[Plazo]]=LISTAS!$J$4),1,0)</f>
        <v>0</v>
      </c>
      <c r="Z329">
        <f>IF(SCTR_Brokers[[#This Row],[Fecha_Solic_Informe]]="",0,1)</f>
        <v>0</v>
      </c>
      <c r="AA329">
        <f>IF(SCTR_Brokers[[#This Row],[Fecha_Informe]]="",0,1)</f>
        <v>0</v>
      </c>
      <c r="AB329">
        <f>IF(AND(SCTR_Brokers[[#This Row],[Fecha_Solic_Informe]]&lt;&gt;"",SCTR_Brokers[[#This Row],[Fecha_Informe]]=""),1,0)</f>
        <v>0</v>
      </c>
      <c r="AC32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30" spans="1:29" hidden="1">
      <c r="A330" t="s">
        <v>743</v>
      </c>
      <c r="C330" t="str">
        <f>IF(SCTR_Brokers[[#This Row],[FechaRecepcion]]="","",SCTR_Brokers[[#This Row],[ConversationId]]&amp;"-"&amp;TEXT(SCTR_Brokers[[#This Row],[FechaRecepcion]],"aaaammddhhmmss"))</f>
        <v>AAQkADdkNThjNzFkLWM0ZmMtNDJhYS04MDVlLTIwNzE4ZDI1Mzg4YgAQAE8YGofNYAJPg_wgBMh2Un4=-20260917154640</v>
      </c>
      <c r="D330" s="16" t="s">
        <v>744</v>
      </c>
      <c r="E330" t="s">
        <v>14</v>
      </c>
      <c r="F330" s="3">
        <v>46282.657407407409</v>
      </c>
      <c r="G330" s="3">
        <v>46282.657407407409</v>
      </c>
      <c r="H330" t="s">
        <v>115</v>
      </c>
      <c r="I330" t="s">
        <v>7</v>
      </c>
      <c r="K330" t="s">
        <v>67</v>
      </c>
      <c r="L330" s="10"/>
      <c r="N33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30" s="3"/>
      <c r="P330" s="3"/>
      <c r="Q330" s="3">
        <v>46283.325694444444</v>
      </c>
      <c r="R33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30" t="str">
        <f>IF(SCTR_Brokers[[#This Row],[FechaRecepcion]]="","",TEXT(SCTR_Brokers[[#This Row],[FechaRecepcion]],"mmmm")&amp;" "&amp;YEAR(SCTR_Brokers[[#This Row],[FechaRecepcion]]))</f>
        <v>septiembre 2026</v>
      </c>
      <c r="U330">
        <f>IF(SCTR_Brokers[[#This Row],[Estado]]="FINALIZADO",1,0)</f>
        <v>1</v>
      </c>
      <c r="V330">
        <f>IF(SCTR_Brokers[[#This Row],[FechaRecepcion]]="","",IF(SCTR_Brokers[[#This Row],[Estado]]="FINALIZADO",0,1))</f>
        <v>0</v>
      </c>
      <c r="W330">
        <f ca="1">IF(AND(SCTR_Brokers[[#This Row],[Estado]]="FINALIZADO",SCTR_Brokers[[#This Row],[Plazo]]=LISTAS!$J$3),1,0)</f>
        <v>1</v>
      </c>
      <c r="X330">
        <f ca="1">IF(AND(SCTR_Brokers[[#This Row],[Estado]]="FINALIZADO",SCTR_Brokers[[#This Row],[Plazo]]=LISTAS!$J$4),1,0)</f>
        <v>0</v>
      </c>
      <c r="Y330">
        <f ca="1">IF(AND(SCTR_Brokers[[#This Row],[Estado]]&lt;&gt;"FINALIZADO",SCTR_Brokers[[#This Row],[Plazo]]=LISTAS!$J$4),1,0)</f>
        <v>0</v>
      </c>
      <c r="Z330">
        <f>IF(SCTR_Brokers[[#This Row],[Fecha_Solic_Informe]]="",0,1)</f>
        <v>0</v>
      </c>
      <c r="AA330">
        <f>IF(SCTR_Brokers[[#This Row],[Fecha_Informe]]="",0,1)</f>
        <v>0</v>
      </c>
      <c r="AB330">
        <f>IF(AND(SCTR_Brokers[[#This Row],[Fecha_Solic_Informe]]&lt;&gt;"",SCTR_Brokers[[#This Row],[Fecha_Informe]]=""),1,0)</f>
        <v>0</v>
      </c>
      <c r="AC33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31" spans="1:29" hidden="1">
      <c r="A331" t="s">
        <v>745</v>
      </c>
      <c r="C331" t="str">
        <f>IF(SCTR_Brokers[[#This Row],[FechaRecepcion]]="","",SCTR_Brokers[[#This Row],[ConversationId]]&amp;"-"&amp;TEXT(SCTR_Brokers[[#This Row],[FechaRecepcion]],"aaaammddhhmmss"))</f>
        <v>AAQkADdkNThjNzFkLWM0ZmMtNDJhYS04MDVlLTIwNzE4ZDI1Mzg4YgAQAHSU7dmZyztIoHd5iUdn1fY=-20260917172417</v>
      </c>
      <c r="D331" s="16" t="s">
        <v>746</v>
      </c>
      <c r="E331" t="s">
        <v>21</v>
      </c>
      <c r="F331" s="3">
        <v>46282.72519675926</v>
      </c>
      <c r="G331" s="3">
        <v>46282.72519675926</v>
      </c>
      <c r="H331" t="s">
        <v>747</v>
      </c>
      <c r="I331" t="s">
        <v>7</v>
      </c>
      <c r="K331" t="s">
        <v>67</v>
      </c>
      <c r="L331" s="10"/>
      <c r="N33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31" s="3"/>
      <c r="P331" s="3"/>
      <c r="Q331" s="3">
        <v>46283.344444444447</v>
      </c>
      <c r="R33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31" t="str">
        <f>IF(SCTR_Brokers[[#This Row],[FechaRecepcion]]="","",TEXT(SCTR_Brokers[[#This Row],[FechaRecepcion]],"mmmm")&amp;" "&amp;YEAR(SCTR_Brokers[[#This Row],[FechaRecepcion]]))</f>
        <v>septiembre 2026</v>
      </c>
      <c r="U331">
        <f>IF(SCTR_Brokers[[#This Row],[Estado]]="FINALIZADO",1,0)</f>
        <v>1</v>
      </c>
      <c r="V331">
        <f>IF(SCTR_Brokers[[#This Row],[FechaRecepcion]]="","",IF(SCTR_Brokers[[#This Row],[Estado]]="FINALIZADO",0,1))</f>
        <v>0</v>
      </c>
      <c r="W331">
        <f ca="1">IF(AND(SCTR_Brokers[[#This Row],[Estado]]="FINALIZADO",SCTR_Brokers[[#This Row],[Plazo]]=LISTAS!$J$3),1,0)</f>
        <v>1</v>
      </c>
      <c r="X331">
        <f ca="1">IF(AND(SCTR_Brokers[[#This Row],[Estado]]="FINALIZADO",SCTR_Brokers[[#This Row],[Plazo]]=LISTAS!$J$4),1,0)</f>
        <v>0</v>
      </c>
      <c r="Y331">
        <f ca="1">IF(AND(SCTR_Brokers[[#This Row],[Estado]]&lt;&gt;"FINALIZADO",SCTR_Brokers[[#This Row],[Plazo]]=LISTAS!$J$4),1,0)</f>
        <v>0</v>
      </c>
      <c r="Z331">
        <f>IF(SCTR_Brokers[[#This Row],[Fecha_Solic_Informe]]="",0,1)</f>
        <v>0</v>
      </c>
      <c r="AA331">
        <f>IF(SCTR_Brokers[[#This Row],[Fecha_Informe]]="",0,1)</f>
        <v>0</v>
      </c>
      <c r="AB331">
        <f>IF(AND(SCTR_Brokers[[#This Row],[Fecha_Solic_Informe]]&lt;&gt;"",SCTR_Brokers[[#This Row],[Fecha_Informe]]=""),1,0)</f>
        <v>0</v>
      </c>
      <c r="AC33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32" spans="1:29" hidden="1">
      <c r="A332" t="s">
        <v>748</v>
      </c>
      <c r="C332" t="str">
        <f>IF(SCTR_Brokers[[#This Row],[FechaRecepcion]]="","",SCTR_Brokers[[#This Row],[ConversationId]]&amp;"-"&amp;TEXT(SCTR_Brokers[[#This Row],[FechaRecepcion]],"aaaammddhhmmss"))</f>
        <v>AAQkADdkNThjNzFkLWM0ZmMtNDJhYS04MDVlLTIwNzE4ZDI1Mzg4YgAQAGhovLQ5WEI5tTtAcBDe0LE=-20260917193115</v>
      </c>
      <c r="D332" s="16" t="s">
        <v>749</v>
      </c>
      <c r="E332" t="s">
        <v>21</v>
      </c>
      <c r="F332" s="3">
        <v>46282.813368055555</v>
      </c>
      <c r="G332" s="3">
        <v>46282.813368055555</v>
      </c>
      <c r="H332" t="s">
        <v>750</v>
      </c>
      <c r="I332" t="s">
        <v>7</v>
      </c>
      <c r="K332" t="s">
        <v>67</v>
      </c>
      <c r="L332" s="10"/>
      <c r="N33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32" s="3"/>
      <c r="P332" s="3"/>
      <c r="Q332" s="3">
        <v>46283.494444444441</v>
      </c>
      <c r="R33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32" t="str">
        <f>IF(SCTR_Brokers[[#This Row],[FechaRecepcion]]="","",TEXT(SCTR_Brokers[[#This Row],[FechaRecepcion]],"mmmm")&amp;" "&amp;YEAR(SCTR_Brokers[[#This Row],[FechaRecepcion]]))</f>
        <v>septiembre 2026</v>
      </c>
      <c r="U332">
        <f>IF(SCTR_Brokers[[#This Row],[Estado]]="FINALIZADO",1,0)</f>
        <v>1</v>
      </c>
      <c r="V332">
        <f>IF(SCTR_Brokers[[#This Row],[FechaRecepcion]]="","",IF(SCTR_Brokers[[#This Row],[Estado]]="FINALIZADO",0,1))</f>
        <v>0</v>
      </c>
      <c r="W332">
        <f ca="1">IF(AND(SCTR_Brokers[[#This Row],[Estado]]="FINALIZADO",SCTR_Brokers[[#This Row],[Plazo]]=LISTAS!$J$3),1,0)</f>
        <v>1</v>
      </c>
      <c r="X332">
        <f ca="1">IF(AND(SCTR_Brokers[[#This Row],[Estado]]="FINALIZADO",SCTR_Brokers[[#This Row],[Plazo]]=LISTAS!$J$4),1,0)</f>
        <v>0</v>
      </c>
      <c r="Y332">
        <f ca="1">IF(AND(SCTR_Brokers[[#This Row],[Estado]]&lt;&gt;"FINALIZADO",SCTR_Brokers[[#This Row],[Plazo]]=LISTAS!$J$4),1,0)</f>
        <v>0</v>
      </c>
      <c r="Z332">
        <f>IF(SCTR_Brokers[[#This Row],[Fecha_Solic_Informe]]="",0,1)</f>
        <v>0</v>
      </c>
      <c r="AA332">
        <f>IF(SCTR_Brokers[[#This Row],[Fecha_Informe]]="",0,1)</f>
        <v>0</v>
      </c>
      <c r="AB332">
        <f>IF(AND(SCTR_Brokers[[#This Row],[Fecha_Solic_Informe]]&lt;&gt;"",SCTR_Brokers[[#This Row],[Fecha_Informe]]=""),1,0)</f>
        <v>0</v>
      </c>
      <c r="AC33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33" spans="1:29" hidden="1">
      <c r="A333" t="s">
        <v>751</v>
      </c>
      <c r="C333" t="str">
        <f>IF(SCTR_Brokers[[#This Row],[FechaRecepcion]]="","",SCTR_Brokers[[#This Row],[ConversationId]]&amp;"-"&amp;TEXT(SCTR_Brokers[[#This Row],[FechaRecepcion]],"aaaammddhhmmss"))</f>
        <v>AAQkADdkNThjNzFkLWM0ZmMtNDJhYS04MDVlLTIwNzE4ZDI1Mzg4YgAQAF24gkUY5NtCv20KkSTEjDA=-20260917194557</v>
      </c>
      <c r="D333" s="16" t="s">
        <v>752</v>
      </c>
      <c r="E333" t="s">
        <v>21</v>
      </c>
      <c r="F333" s="3">
        <v>46282.823576388888</v>
      </c>
      <c r="G333" s="3">
        <v>46282.823576388888</v>
      </c>
      <c r="H333" t="s">
        <v>753</v>
      </c>
      <c r="I333" t="s">
        <v>7</v>
      </c>
      <c r="K333" t="s">
        <v>67</v>
      </c>
      <c r="L333" s="10"/>
      <c r="N33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33" s="3"/>
      <c r="P333" s="3"/>
      <c r="Q333" s="3">
        <v>46283.338888888888</v>
      </c>
      <c r="R33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33" t="str">
        <f>IF(SCTR_Brokers[[#This Row],[FechaRecepcion]]="","",TEXT(SCTR_Brokers[[#This Row],[FechaRecepcion]],"mmmm")&amp;" "&amp;YEAR(SCTR_Brokers[[#This Row],[FechaRecepcion]]))</f>
        <v>septiembre 2026</v>
      </c>
      <c r="U333">
        <f>IF(SCTR_Brokers[[#This Row],[Estado]]="FINALIZADO",1,0)</f>
        <v>1</v>
      </c>
      <c r="V333">
        <f>IF(SCTR_Brokers[[#This Row],[FechaRecepcion]]="","",IF(SCTR_Brokers[[#This Row],[Estado]]="FINALIZADO",0,1))</f>
        <v>0</v>
      </c>
      <c r="W333">
        <f ca="1">IF(AND(SCTR_Brokers[[#This Row],[Estado]]="FINALIZADO",SCTR_Brokers[[#This Row],[Plazo]]=LISTAS!$J$3),1,0)</f>
        <v>1</v>
      </c>
      <c r="X333">
        <f ca="1">IF(AND(SCTR_Brokers[[#This Row],[Estado]]="FINALIZADO",SCTR_Brokers[[#This Row],[Plazo]]=LISTAS!$J$4),1,0)</f>
        <v>0</v>
      </c>
      <c r="Y333">
        <f ca="1">IF(AND(SCTR_Brokers[[#This Row],[Estado]]&lt;&gt;"FINALIZADO",SCTR_Brokers[[#This Row],[Plazo]]=LISTAS!$J$4),1,0)</f>
        <v>0</v>
      </c>
      <c r="Z333">
        <f>IF(SCTR_Brokers[[#This Row],[Fecha_Solic_Informe]]="",0,1)</f>
        <v>0</v>
      </c>
      <c r="AA333">
        <f>IF(SCTR_Brokers[[#This Row],[Fecha_Informe]]="",0,1)</f>
        <v>0</v>
      </c>
      <c r="AB333">
        <f>IF(AND(SCTR_Brokers[[#This Row],[Fecha_Solic_Informe]]&lt;&gt;"",SCTR_Brokers[[#This Row],[Fecha_Informe]]=""),1,0)</f>
        <v>0</v>
      </c>
      <c r="AC33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34" spans="1:29" hidden="1">
      <c r="A334" t="s">
        <v>754</v>
      </c>
      <c r="C334" t="str">
        <f>IF(SCTR_Brokers[[#This Row],[FechaRecepcion]]="","",SCTR_Brokers[[#This Row],[ConversationId]]&amp;"-"&amp;TEXT(SCTR_Brokers[[#This Row],[FechaRecepcion]],"aaaammddhhmmss"))</f>
        <v>AAQkADdkNThjNzFkLWM0ZmMtNDJhYS04MDVlLTIwNzE4ZDI1Mzg4YgAQAP3wbo5ikEjeqlompJx5AME=-20260918095106</v>
      </c>
      <c r="D334" s="16" t="s">
        <v>755</v>
      </c>
      <c r="E334" t="s">
        <v>20</v>
      </c>
      <c r="F334" s="3">
        <v>46283.410486111112</v>
      </c>
      <c r="G334" s="3">
        <v>46286.366956018515</v>
      </c>
      <c r="H334" t="s">
        <v>546</v>
      </c>
      <c r="I334" t="s">
        <v>7</v>
      </c>
      <c r="K334" t="s">
        <v>67</v>
      </c>
      <c r="L334" s="10"/>
      <c r="N33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34" s="3"/>
      <c r="P334" s="3"/>
      <c r="Q334" s="3"/>
      <c r="R33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34" t="str">
        <f>IF(SCTR_Brokers[[#This Row],[FechaRecepcion]]="","",TEXT(SCTR_Brokers[[#This Row],[FechaRecepcion]],"mmmm")&amp;" "&amp;YEAR(SCTR_Brokers[[#This Row],[FechaRecepcion]]))</f>
        <v>septiembre 2026</v>
      </c>
      <c r="U334">
        <f>IF(SCTR_Brokers[[#This Row],[Estado]]="FINALIZADO",1,0)</f>
        <v>1</v>
      </c>
      <c r="V334">
        <f>IF(SCTR_Brokers[[#This Row],[FechaRecepcion]]="","",IF(SCTR_Brokers[[#This Row],[Estado]]="FINALIZADO",0,1))</f>
        <v>0</v>
      </c>
      <c r="W334">
        <f ca="1">IF(AND(SCTR_Brokers[[#This Row],[Estado]]="FINALIZADO",SCTR_Brokers[[#This Row],[Plazo]]=LISTAS!$J$3),1,0)</f>
        <v>0</v>
      </c>
      <c r="X334">
        <f ca="1">IF(AND(SCTR_Brokers[[#This Row],[Estado]]="FINALIZADO",SCTR_Brokers[[#This Row],[Plazo]]=LISTAS!$J$4),1,0)</f>
        <v>1</v>
      </c>
      <c r="Y334">
        <f ca="1">IF(AND(SCTR_Brokers[[#This Row],[Estado]]&lt;&gt;"FINALIZADO",SCTR_Brokers[[#This Row],[Plazo]]=LISTAS!$J$4),1,0)</f>
        <v>0</v>
      </c>
      <c r="Z334">
        <f>IF(SCTR_Brokers[[#This Row],[Fecha_Solic_Informe]]="",0,1)</f>
        <v>0</v>
      </c>
      <c r="AA334">
        <f>IF(SCTR_Brokers[[#This Row],[Fecha_Informe]]="",0,1)</f>
        <v>0</v>
      </c>
      <c r="AB334">
        <f>IF(AND(SCTR_Brokers[[#This Row],[Fecha_Solic_Informe]]&lt;&gt;"",SCTR_Brokers[[#This Row],[Fecha_Informe]]=""),1,0)</f>
        <v>0</v>
      </c>
      <c r="AC33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35" spans="1:29" hidden="1">
      <c r="A335" t="s">
        <v>756</v>
      </c>
      <c r="C335" t="str">
        <f>IF(SCTR_Brokers[[#This Row],[FechaRecepcion]]="","",SCTR_Brokers[[#This Row],[ConversationId]]&amp;"-"&amp;TEXT(SCTR_Brokers[[#This Row],[FechaRecepcion]],"aaaammddhhmmss"))</f>
        <v>AAQkADdkNThjNzFkLWM0ZmMtNDJhYS04MDVlLTIwNzE4ZDI1Mzg4YgAQADLySmmcHE1Vl685c7f6kjs=-20260918100125</v>
      </c>
      <c r="D335" s="16" t="s">
        <v>757</v>
      </c>
      <c r="E335" t="s">
        <v>21</v>
      </c>
      <c r="F335" s="3">
        <v>46283.417650462965</v>
      </c>
      <c r="G335" s="3">
        <v>46283.417650462965</v>
      </c>
      <c r="H335" t="s">
        <v>758</v>
      </c>
      <c r="I335" t="s">
        <v>7</v>
      </c>
      <c r="K335" t="s">
        <v>67</v>
      </c>
      <c r="L335" s="10"/>
      <c r="N33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35" s="3"/>
      <c r="P335" s="3"/>
      <c r="Q335" s="3">
        <v>46283.439583333333</v>
      </c>
      <c r="R33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35" t="str">
        <f>IF(SCTR_Brokers[[#This Row],[FechaRecepcion]]="","",TEXT(SCTR_Brokers[[#This Row],[FechaRecepcion]],"mmmm")&amp;" "&amp;YEAR(SCTR_Brokers[[#This Row],[FechaRecepcion]]))</f>
        <v>septiembre 2026</v>
      </c>
      <c r="U335">
        <f>IF(SCTR_Brokers[[#This Row],[Estado]]="FINALIZADO",1,0)</f>
        <v>1</v>
      </c>
      <c r="V335">
        <f>IF(SCTR_Brokers[[#This Row],[FechaRecepcion]]="","",IF(SCTR_Brokers[[#This Row],[Estado]]="FINALIZADO",0,1))</f>
        <v>0</v>
      </c>
      <c r="W335">
        <f ca="1">IF(AND(SCTR_Brokers[[#This Row],[Estado]]="FINALIZADO",SCTR_Brokers[[#This Row],[Plazo]]=LISTAS!$J$3),1,0)</f>
        <v>1</v>
      </c>
      <c r="X335">
        <f ca="1">IF(AND(SCTR_Brokers[[#This Row],[Estado]]="FINALIZADO",SCTR_Brokers[[#This Row],[Plazo]]=LISTAS!$J$4),1,0)</f>
        <v>0</v>
      </c>
      <c r="Y335">
        <f ca="1">IF(AND(SCTR_Brokers[[#This Row],[Estado]]&lt;&gt;"FINALIZADO",SCTR_Brokers[[#This Row],[Plazo]]=LISTAS!$J$4),1,0)</f>
        <v>0</v>
      </c>
      <c r="Z335">
        <f>IF(SCTR_Brokers[[#This Row],[Fecha_Solic_Informe]]="",0,1)</f>
        <v>0</v>
      </c>
      <c r="AA335">
        <f>IF(SCTR_Brokers[[#This Row],[Fecha_Informe]]="",0,1)</f>
        <v>0</v>
      </c>
      <c r="AB335">
        <f>IF(AND(SCTR_Brokers[[#This Row],[Fecha_Solic_Informe]]&lt;&gt;"",SCTR_Brokers[[#This Row],[Fecha_Informe]]=""),1,0)</f>
        <v>0</v>
      </c>
      <c r="AC33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36" spans="1:29" hidden="1">
      <c r="A336" t="s">
        <v>759</v>
      </c>
      <c r="C336" t="str">
        <f>IF(SCTR_Brokers[[#This Row],[FechaRecepcion]]="","",SCTR_Brokers[[#This Row],[ConversationId]]&amp;"-"&amp;TEXT(SCTR_Brokers[[#This Row],[FechaRecepcion]],"aaaammddhhmmss"))</f>
        <v>AAQkADdkNThjNzFkLWM0ZmMtNDJhYS04MDVlLTIwNzE4ZDI1Mzg4YgAQAD8GUXh7tUwskLJ-rje6POo=-20260918112345</v>
      </c>
      <c r="D336" s="16" t="s">
        <v>760</v>
      </c>
      <c r="E336" t="s">
        <v>8</v>
      </c>
      <c r="F336" s="3">
        <v>46283.474826388891</v>
      </c>
      <c r="G336" s="3">
        <v>46283.474826388891</v>
      </c>
      <c r="H336" t="s">
        <v>721</v>
      </c>
      <c r="I336" t="s">
        <v>7</v>
      </c>
      <c r="K336" t="s">
        <v>67</v>
      </c>
      <c r="L336" s="10"/>
      <c r="N33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36" s="3"/>
      <c r="P336" s="3"/>
      <c r="Q336" s="3">
        <v>46283.521527777775</v>
      </c>
      <c r="R33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36" t="str">
        <f>IF(SCTR_Brokers[[#This Row],[FechaRecepcion]]="","",TEXT(SCTR_Brokers[[#This Row],[FechaRecepcion]],"mmmm")&amp;" "&amp;YEAR(SCTR_Brokers[[#This Row],[FechaRecepcion]]))</f>
        <v>septiembre 2026</v>
      </c>
      <c r="U336">
        <f>IF(SCTR_Brokers[[#This Row],[Estado]]="FINALIZADO",1,0)</f>
        <v>1</v>
      </c>
      <c r="V336">
        <f>IF(SCTR_Brokers[[#This Row],[FechaRecepcion]]="","",IF(SCTR_Brokers[[#This Row],[Estado]]="FINALIZADO",0,1))</f>
        <v>0</v>
      </c>
      <c r="W336">
        <f ca="1">IF(AND(SCTR_Brokers[[#This Row],[Estado]]="FINALIZADO",SCTR_Brokers[[#This Row],[Plazo]]=LISTAS!$J$3),1,0)</f>
        <v>1</v>
      </c>
      <c r="X336">
        <f ca="1">IF(AND(SCTR_Brokers[[#This Row],[Estado]]="FINALIZADO",SCTR_Brokers[[#This Row],[Plazo]]=LISTAS!$J$4),1,0)</f>
        <v>0</v>
      </c>
      <c r="Y336">
        <f ca="1">IF(AND(SCTR_Brokers[[#This Row],[Estado]]&lt;&gt;"FINALIZADO",SCTR_Brokers[[#This Row],[Plazo]]=LISTAS!$J$4),1,0)</f>
        <v>0</v>
      </c>
      <c r="Z336">
        <f>IF(SCTR_Brokers[[#This Row],[Fecha_Solic_Informe]]="",0,1)</f>
        <v>0</v>
      </c>
      <c r="AA336">
        <f>IF(SCTR_Brokers[[#This Row],[Fecha_Informe]]="",0,1)</f>
        <v>0</v>
      </c>
      <c r="AB336">
        <f>IF(AND(SCTR_Brokers[[#This Row],[Fecha_Solic_Informe]]&lt;&gt;"",SCTR_Brokers[[#This Row],[Fecha_Informe]]=""),1,0)</f>
        <v>0</v>
      </c>
      <c r="AC33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37" spans="1:29" hidden="1">
      <c r="A337" t="s">
        <v>761</v>
      </c>
      <c r="C337" t="str">
        <f>IF(SCTR_Brokers[[#This Row],[FechaRecepcion]]="","",SCTR_Brokers[[#This Row],[ConversationId]]&amp;"-"&amp;TEXT(SCTR_Brokers[[#This Row],[FechaRecepcion]],"aaaammddhhmmss"))</f>
        <v>AAQkADdkNThjNzFkLWM0ZmMtNDJhYS04MDVlLTIwNzE4ZDI1Mzg4YgAQAO0ZnxjEWk5CocFQxMK369s=-20260918122832</v>
      </c>
      <c r="D337" s="16" t="s">
        <v>762</v>
      </c>
      <c r="E337" t="s">
        <v>8</v>
      </c>
      <c r="F337" s="3">
        <v>46283.519814814812</v>
      </c>
      <c r="G337" s="3">
        <v>46283.519814814812</v>
      </c>
      <c r="H337" t="s">
        <v>609</v>
      </c>
      <c r="I337" t="s">
        <v>7</v>
      </c>
      <c r="K337" t="s">
        <v>67</v>
      </c>
      <c r="L337" s="10"/>
      <c r="N33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37" s="3"/>
      <c r="P337" s="3"/>
      <c r="Q337" s="3">
        <v>46283.519814814812</v>
      </c>
      <c r="R33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37" t="str">
        <f>IF(SCTR_Brokers[[#This Row],[FechaRecepcion]]="","",TEXT(SCTR_Brokers[[#This Row],[FechaRecepcion]],"mmmm")&amp;" "&amp;YEAR(SCTR_Brokers[[#This Row],[FechaRecepcion]]))</f>
        <v>septiembre 2026</v>
      </c>
      <c r="U337">
        <f>IF(SCTR_Brokers[[#This Row],[Estado]]="FINALIZADO",1,0)</f>
        <v>1</v>
      </c>
      <c r="V337">
        <f>IF(SCTR_Brokers[[#This Row],[FechaRecepcion]]="","",IF(SCTR_Brokers[[#This Row],[Estado]]="FINALIZADO",0,1))</f>
        <v>0</v>
      </c>
      <c r="W337">
        <f ca="1">IF(AND(SCTR_Brokers[[#This Row],[Estado]]="FINALIZADO",SCTR_Brokers[[#This Row],[Plazo]]=LISTAS!$J$3),1,0)</f>
        <v>1</v>
      </c>
      <c r="X337">
        <f ca="1">IF(AND(SCTR_Brokers[[#This Row],[Estado]]="FINALIZADO",SCTR_Brokers[[#This Row],[Plazo]]=LISTAS!$J$4),1,0)</f>
        <v>0</v>
      </c>
      <c r="Y337">
        <f ca="1">IF(AND(SCTR_Brokers[[#This Row],[Estado]]&lt;&gt;"FINALIZADO",SCTR_Brokers[[#This Row],[Plazo]]=LISTAS!$J$4),1,0)</f>
        <v>0</v>
      </c>
      <c r="Z337">
        <f>IF(SCTR_Brokers[[#This Row],[Fecha_Solic_Informe]]="",0,1)</f>
        <v>0</v>
      </c>
      <c r="AA337">
        <f>IF(SCTR_Brokers[[#This Row],[Fecha_Informe]]="",0,1)</f>
        <v>0</v>
      </c>
      <c r="AB337">
        <f>IF(AND(SCTR_Brokers[[#This Row],[Fecha_Solic_Informe]]&lt;&gt;"",SCTR_Brokers[[#This Row],[Fecha_Informe]]=""),1,0)</f>
        <v>0</v>
      </c>
      <c r="AC33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38" spans="1:29" hidden="1">
      <c r="A338" t="s">
        <v>763</v>
      </c>
      <c r="C338" t="str">
        <f>IF(SCTR_Brokers[[#This Row],[FechaRecepcion]]="","",SCTR_Brokers[[#This Row],[ConversationId]]&amp;"-"&amp;TEXT(SCTR_Brokers[[#This Row],[FechaRecepcion]],"aaaammddhhmmss"))</f>
        <v>AAQkADdkNThjNzFkLWM0ZmMtNDJhYS04MDVlLTIwNzE4ZDI1Mzg4YgAQAC8HyVuKPjtBsN0TrB_WLPQ=-20260918124122</v>
      </c>
      <c r="D338" s="16" t="s">
        <v>764</v>
      </c>
      <c r="E338" t="s">
        <v>20</v>
      </c>
      <c r="F338" s="3">
        <v>46283.528726851851</v>
      </c>
      <c r="G338" s="3">
        <v>46287.542187500003</v>
      </c>
      <c r="H338" t="s">
        <v>338</v>
      </c>
      <c r="I338" t="s">
        <v>7</v>
      </c>
      <c r="K338" t="s">
        <v>67</v>
      </c>
      <c r="L338" s="10"/>
      <c r="N33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38" s="3"/>
      <c r="P338" s="3"/>
      <c r="Q338" s="3"/>
      <c r="R33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38" t="str">
        <f>IF(SCTR_Brokers[[#This Row],[FechaRecepcion]]="","",TEXT(SCTR_Brokers[[#This Row],[FechaRecepcion]],"mmmm")&amp;" "&amp;YEAR(SCTR_Brokers[[#This Row],[FechaRecepcion]]))</f>
        <v>septiembre 2026</v>
      </c>
      <c r="U338">
        <f>IF(SCTR_Brokers[[#This Row],[Estado]]="FINALIZADO",1,0)</f>
        <v>1</v>
      </c>
      <c r="V338">
        <f>IF(SCTR_Brokers[[#This Row],[FechaRecepcion]]="","",IF(SCTR_Brokers[[#This Row],[Estado]]="FINALIZADO",0,1))</f>
        <v>0</v>
      </c>
      <c r="W338">
        <f ca="1">IF(AND(SCTR_Brokers[[#This Row],[Estado]]="FINALIZADO",SCTR_Brokers[[#This Row],[Plazo]]=LISTAS!$J$3),1,0)</f>
        <v>0</v>
      </c>
      <c r="X338">
        <f ca="1">IF(AND(SCTR_Brokers[[#This Row],[Estado]]="FINALIZADO",SCTR_Brokers[[#This Row],[Plazo]]=LISTAS!$J$4),1,0)</f>
        <v>1</v>
      </c>
      <c r="Y338">
        <f ca="1">IF(AND(SCTR_Brokers[[#This Row],[Estado]]&lt;&gt;"FINALIZADO",SCTR_Brokers[[#This Row],[Plazo]]=LISTAS!$J$4),1,0)</f>
        <v>0</v>
      </c>
      <c r="Z338">
        <f>IF(SCTR_Brokers[[#This Row],[Fecha_Solic_Informe]]="",0,1)</f>
        <v>0</v>
      </c>
      <c r="AA338">
        <f>IF(SCTR_Brokers[[#This Row],[Fecha_Informe]]="",0,1)</f>
        <v>0</v>
      </c>
      <c r="AB338">
        <f>IF(AND(SCTR_Brokers[[#This Row],[Fecha_Solic_Informe]]&lt;&gt;"",SCTR_Brokers[[#This Row],[Fecha_Informe]]=""),1,0)</f>
        <v>0</v>
      </c>
      <c r="AC33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39" spans="1:29" hidden="1">
      <c r="A339" t="s">
        <v>765</v>
      </c>
      <c r="C339" t="str">
        <f>IF(SCTR_Brokers[[#This Row],[FechaRecepcion]]="","",SCTR_Brokers[[#This Row],[ConversationId]]&amp;"-"&amp;TEXT(SCTR_Brokers[[#This Row],[FechaRecepcion]],"aaaammddhhmmss"))</f>
        <v>AAQkADdkNThjNzFkLWM0ZmMtNDJhYS04MDVlLTIwNzE4ZDI1Mzg4YgAQADCTDfsa0gJAvaTtaHFpbLY=-20260918163107</v>
      </c>
      <c r="D339" s="16" t="s">
        <v>766</v>
      </c>
      <c r="E339" t="s">
        <v>21</v>
      </c>
      <c r="F339" s="3">
        <v>46283.688275462962</v>
      </c>
      <c r="G339" s="3">
        <v>46283.688275462962</v>
      </c>
      <c r="H339" t="s">
        <v>683</v>
      </c>
      <c r="I339" t="s">
        <v>7</v>
      </c>
      <c r="J339" t="s">
        <v>767</v>
      </c>
      <c r="K339" t="s">
        <v>67</v>
      </c>
      <c r="L339" s="10"/>
      <c r="N33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39" s="3"/>
      <c r="P339" s="3"/>
      <c r="Q339" s="3">
        <v>46283.688275462962</v>
      </c>
      <c r="R33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339" t="s">
        <v>164</v>
      </c>
      <c r="T339" t="str">
        <f>IF(SCTR_Brokers[[#This Row],[FechaRecepcion]]="","",TEXT(SCTR_Brokers[[#This Row],[FechaRecepcion]],"mmmm")&amp;" "&amp;YEAR(SCTR_Brokers[[#This Row],[FechaRecepcion]]))</f>
        <v>septiembre 2026</v>
      </c>
      <c r="U339">
        <f>IF(SCTR_Brokers[[#This Row],[Estado]]="FINALIZADO",1,0)</f>
        <v>1</v>
      </c>
      <c r="V339">
        <f>IF(SCTR_Brokers[[#This Row],[FechaRecepcion]]="","",IF(SCTR_Brokers[[#This Row],[Estado]]="FINALIZADO",0,1))</f>
        <v>0</v>
      </c>
      <c r="W339">
        <f ca="1">IF(AND(SCTR_Brokers[[#This Row],[Estado]]="FINALIZADO",SCTR_Brokers[[#This Row],[Plazo]]=LISTAS!$J$3),1,0)</f>
        <v>1</v>
      </c>
      <c r="X339">
        <f ca="1">IF(AND(SCTR_Brokers[[#This Row],[Estado]]="FINALIZADO",SCTR_Brokers[[#This Row],[Plazo]]=LISTAS!$J$4),1,0)</f>
        <v>0</v>
      </c>
      <c r="Y339">
        <f ca="1">IF(AND(SCTR_Brokers[[#This Row],[Estado]]&lt;&gt;"FINALIZADO",SCTR_Brokers[[#This Row],[Plazo]]=LISTAS!$J$4),1,0)</f>
        <v>0</v>
      </c>
      <c r="Z339">
        <f>IF(SCTR_Brokers[[#This Row],[Fecha_Solic_Informe]]="",0,1)</f>
        <v>0</v>
      </c>
      <c r="AA339">
        <f>IF(SCTR_Brokers[[#This Row],[Fecha_Informe]]="",0,1)</f>
        <v>0</v>
      </c>
      <c r="AB339">
        <f>IF(AND(SCTR_Brokers[[#This Row],[Fecha_Solic_Informe]]&lt;&gt;"",SCTR_Brokers[[#This Row],[Fecha_Informe]]=""),1,0)</f>
        <v>0</v>
      </c>
      <c r="AC33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40" spans="1:29" hidden="1">
      <c r="A340" t="s">
        <v>768</v>
      </c>
      <c r="C340" t="str">
        <f>IF(SCTR_Brokers[[#This Row],[FechaRecepcion]]="","",SCTR_Brokers[[#This Row],[ConversationId]]&amp;"-"&amp;TEXT(SCTR_Brokers[[#This Row],[FechaRecepcion]],"aaaammddhhmmss"))</f>
        <v>AAQkADdkNThjNzFkLWM0ZmMtNDJhYS04MDVlLTIwNzE4ZDI1Mzg4YgAQACnoaqWSAUm5u6sGnUNvoZM=-20260921091716</v>
      </c>
      <c r="D340" s="16" t="s">
        <v>769</v>
      </c>
      <c r="E340" t="s">
        <v>20</v>
      </c>
      <c r="F340" s="3">
        <v>46286.386990740742</v>
      </c>
      <c r="G340" s="3">
        <v>46286.386990740742</v>
      </c>
      <c r="H340" t="s">
        <v>338</v>
      </c>
      <c r="I340" t="s">
        <v>7</v>
      </c>
      <c r="K340" t="s">
        <v>67</v>
      </c>
      <c r="L340" s="10"/>
      <c r="N34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40" s="3"/>
      <c r="P340" s="3"/>
      <c r="Q340" s="3"/>
      <c r="R34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40" t="str">
        <f>IF(SCTR_Brokers[[#This Row],[FechaRecepcion]]="","",TEXT(SCTR_Brokers[[#This Row],[FechaRecepcion]],"mmmm")&amp;" "&amp;YEAR(SCTR_Brokers[[#This Row],[FechaRecepcion]]))</f>
        <v>septiembre 2026</v>
      </c>
      <c r="U340">
        <f>IF(SCTR_Brokers[[#This Row],[Estado]]="FINALIZADO",1,0)</f>
        <v>1</v>
      </c>
      <c r="V340">
        <f>IF(SCTR_Brokers[[#This Row],[FechaRecepcion]]="","",IF(SCTR_Brokers[[#This Row],[Estado]]="FINALIZADO",0,1))</f>
        <v>0</v>
      </c>
      <c r="W340">
        <f ca="1">IF(AND(SCTR_Brokers[[#This Row],[Estado]]="FINALIZADO",SCTR_Brokers[[#This Row],[Plazo]]=LISTAS!$J$3),1,0)</f>
        <v>0</v>
      </c>
      <c r="X340">
        <f ca="1">IF(AND(SCTR_Brokers[[#This Row],[Estado]]="FINALIZADO",SCTR_Brokers[[#This Row],[Plazo]]=LISTAS!$J$4),1,0)</f>
        <v>1</v>
      </c>
      <c r="Y340">
        <f ca="1">IF(AND(SCTR_Brokers[[#This Row],[Estado]]&lt;&gt;"FINALIZADO",SCTR_Brokers[[#This Row],[Plazo]]=LISTAS!$J$4),1,0)</f>
        <v>0</v>
      </c>
      <c r="Z340">
        <f>IF(SCTR_Brokers[[#This Row],[Fecha_Solic_Informe]]="",0,1)</f>
        <v>0</v>
      </c>
      <c r="AA340">
        <f>IF(SCTR_Brokers[[#This Row],[Fecha_Informe]]="",0,1)</f>
        <v>0</v>
      </c>
      <c r="AB340">
        <f>IF(AND(SCTR_Brokers[[#This Row],[Fecha_Solic_Informe]]&lt;&gt;"",SCTR_Brokers[[#This Row],[Fecha_Informe]]=""),1,0)</f>
        <v>0</v>
      </c>
      <c r="AC34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41" spans="1:29" hidden="1">
      <c r="A341" t="s">
        <v>770</v>
      </c>
      <c r="C341" t="str">
        <f>IF(SCTR_Brokers[[#This Row],[FechaRecepcion]]="","",SCTR_Brokers[[#This Row],[ConversationId]]&amp;"-"&amp;TEXT(SCTR_Brokers[[#This Row],[FechaRecepcion]],"aaaammddhhmmss"))</f>
        <v>AAQkADdkNThjNzFkLWM0ZmMtNDJhYS04MDVlLTIwNzE4ZDI1Mzg4YgAQAMHkfxlHRWxOmiS8VWpRN7w=-20260921093723</v>
      </c>
      <c r="D341" s="16" t="s">
        <v>771</v>
      </c>
      <c r="E341" t="s">
        <v>20</v>
      </c>
      <c r="F341" s="3">
        <v>46286.400960648149</v>
      </c>
      <c r="G341" s="3">
        <v>46286.400960648149</v>
      </c>
      <c r="H341" t="s">
        <v>338</v>
      </c>
      <c r="I341" t="s">
        <v>7</v>
      </c>
      <c r="K341" t="s">
        <v>67</v>
      </c>
      <c r="L341" s="10"/>
      <c r="N34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41" s="3"/>
      <c r="P341" s="3"/>
      <c r="Q341" s="3">
        <v>46286.400960648149</v>
      </c>
      <c r="R34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341" t="s">
        <v>164</v>
      </c>
      <c r="T341" t="str">
        <f>IF(SCTR_Brokers[[#This Row],[FechaRecepcion]]="","",TEXT(SCTR_Brokers[[#This Row],[FechaRecepcion]],"mmmm")&amp;" "&amp;YEAR(SCTR_Brokers[[#This Row],[FechaRecepcion]]))</f>
        <v>septiembre 2026</v>
      </c>
      <c r="U341">
        <f>IF(SCTR_Brokers[[#This Row],[Estado]]="FINALIZADO",1,0)</f>
        <v>1</v>
      </c>
      <c r="V341">
        <f>IF(SCTR_Brokers[[#This Row],[FechaRecepcion]]="","",IF(SCTR_Brokers[[#This Row],[Estado]]="FINALIZADO",0,1))</f>
        <v>0</v>
      </c>
      <c r="W341">
        <f ca="1">IF(AND(SCTR_Brokers[[#This Row],[Estado]]="FINALIZADO",SCTR_Brokers[[#This Row],[Plazo]]=LISTAS!$J$3),1,0)</f>
        <v>1</v>
      </c>
      <c r="X341">
        <f ca="1">IF(AND(SCTR_Brokers[[#This Row],[Estado]]="FINALIZADO",SCTR_Brokers[[#This Row],[Plazo]]=LISTAS!$J$4),1,0)</f>
        <v>0</v>
      </c>
      <c r="Y341">
        <f ca="1">IF(AND(SCTR_Brokers[[#This Row],[Estado]]&lt;&gt;"FINALIZADO",SCTR_Brokers[[#This Row],[Plazo]]=LISTAS!$J$4),1,0)</f>
        <v>0</v>
      </c>
      <c r="Z341">
        <f>IF(SCTR_Brokers[[#This Row],[Fecha_Solic_Informe]]="",0,1)</f>
        <v>0</v>
      </c>
      <c r="AA341">
        <f>IF(SCTR_Brokers[[#This Row],[Fecha_Informe]]="",0,1)</f>
        <v>0</v>
      </c>
      <c r="AB341">
        <f>IF(AND(SCTR_Brokers[[#This Row],[Fecha_Solic_Informe]]&lt;&gt;"",SCTR_Brokers[[#This Row],[Fecha_Informe]]=""),1,0)</f>
        <v>0</v>
      </c>
      <c r="AC34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42" spans="1:29" hidden="1">
      <c r="A342" t="s">
        <v>772</v>
      </c>
      <c r="C342" t="str">
        <f>IF(SCTR_Brokers[[#This Row],[FechaRecepcion]]="","",SCTR_Brokers[[#This Row],[ConversationId]]&amp;"-"&amp;TEXT(SCTR_Brokers[[#This Row],[FechaRecepcion]],"aaaammddhhmmss"))</f>
        <v>AAQkADdkNThjNzFkLWM0ZmMtNDJhYS04MDVlLTIwNzE4ZDI1Mzg4YgAQADwf2NL4okdPkwjAOpx0EoQ=-20260921112144</v>
      </c>
      <c r="D342" s="16" t="s">
        <v>773</v>
      </c>
      <c r="E342" t="s">
        <v>21</v>
      </c>
      <c r="F342" s="3">
        <v>46286.473425925928</v>
      </c>
      <c r="G342" s="3">
        <v>46286.473425925928</v>
      </c>
      <c r="H342" t="s">
        <v>716</v>
      </c>
      <c r="I342" t="s">
        <v>7</v>
      </c>
      <c r="K342" t="s">
        <v>67</v>
      </c>
      <c r="L342" s="10"/>
      <c r="N34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42" s="3"/>
      <c r="P342" s="3"/>
      <c r="Q342" s="3">
        <v>46286.76458333333</v>
      </c>
      <c r="R34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42" t="str">
        <f>IF(SCTR_Brokers[[#This Row],[FechaRecepcion]]="","",TEXT(SCTR_Brokers[[#This Row],[FechaRecepcion]],"mmmm")&amp;" "&amp;YEAR(SCTR_Brokers[[#This Row],[FechaRecepcion]]))</f>
        <v>septiembre 2026</v>
      </c>
      <c r="U342">
        <f>IF(SCTR_Brokers[[#This Row],[Estado]]="FINALIZADO",1,0)</f>
        <v>1</v>
      </c>
      <c r="V342">
        <f>IF(SCTR_Brokers[[#This Row],[FechaRecepcion]]="","",IF(SCTR_Brokers[[#This Row],[Estado]]="FINALIZADO",0,1))</f>
        <v>0</v>
      </c>
      <c r="W342">
        <f ca="1">IF(AND(SCTR_Brokers[[#This Row],[Estado]]="FINALIZADO",SCTR_Brokers[[#This Row],[Plazo]]=LISTAS!$J$3),1,0)</f>
        <v>0</v>
      </c>
      <c r="X342">
        <f ca="1">IF(AND(SCTR_Brokers[[#This Row],[Estado]]="FINALIZADO",SCTR_Brokers[[#This Row],[Plazo]]=LISTAS!$J$4),1,0)</f>
        <v>1</v>
      </c>
      <c r="Y342">
        <f ca="1">IF(AND(SCTR_Brokers[[#This Row],[Estado]]&lt;&gt;"FINALIZADO",SCTR_Brokers[[#This Row],[Plazo]]=LISTAS!$J$4),1,0)</f>
        <v>0</v>
      </c>
      <c r="Z342">
        <f>IF(SCTR_Brokers[[#This Row],[Fecha_Solic_Informe]]="",0,1)</f>
        <v>0</v>
      </c>
      <c r="AA342">
        <f>IF(SCTR_Brokers[[#This Row],[Fecha_Informe]]="",0,1)</f>
        <v>0</v>
      </c>
      <c r="AB342">
        <f>IF(AND(SCTR_Brokers[[#This Row],[Fecha_Solic_Informe]]&lt;&gt;"",SCTR_Brokers[[#This Row],[Fecha_Informe]]=""),1,0)</f>
        <v>0</v>
      </c>
      <c r="AC34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43" spans="1:29" hidden="1">
      <c r="A343" t="s">
        <v>774</v>
      </c>
      <c r="C343" t="str">
        <f>IF(SCTR_Brokers[[#This Row],[FechaRecepcion]]="","",SCTR_Brokers[[#This Row],[ConversationId]]&amp;"-"&amp;TEXT(SCTR_Brokers[[#This Row],[FechaRecepcion]],"aaaammddhhmmss"))</f>
        <v>AAQkADdkNThjNzFkLWM0ZmMtNDJhYS04MDVlLTIwNzE4ZDI1Mzg4YgAQADFaG_jmakRqlOPuR-F6oWw=-20260921120057</v>
      </c>
      <c r="D343" s="16" t="s">
        <v>775</v>
      </c>
      <c r="E343" t="s">
        <v>21</v>
      </c>
      <c r="F343" s="3">
        <v>46286.500659722224</v>
      </c>
      <c r="G343" s="3">
        <v>46286.500659722224</v>
      </c>
      <c r="H343" t="s">
        <v>66</v>
      </c>
      <c r="I343" t="s">
        <v>7</v>
      </c>
      <c r="K343" t="s">
        <v>67</v>
      </c>
      <c r="L343" s="10"/>
      <c r="N34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43" s="3"/>
      <c r="P343" s="3"/>
      <c r="Q343" s="3"/>
      <c r="R34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43" t="str">
        <f>IF(SCTR_Brokers[[#This Row],[FechaRecepcion]]="","",TEXT(SCTR_Brokers[[#This Row],[FechaRecepcion]],"mmmm")&amp;" "&amp;YEAR(SCTR_Brokers[[#This Row],[FechaRecepcion]]))</f>
        <v>septiembre 2026</v>
      </c>
      <c r="U343">
        <f>IF(SCTR_Brokers[[#This Row],[Estado]]="FINALIZADO",1,0)</f>
        <v>1</v>
      </c>
      <c r="V343">
        <f>IF(SCTR_Brokers[[#This Row],[FechaRecepcion]]="","",IF(SCTR_Brokers[[#This Row],[Estado]]="FINALIZADO",0,1))</f>
        <v>0</v>
      </c>
      <c r="W343">
        <f ca="1">IF(AND(SCTR_Brokers[[#This Row],[Estado]]="FINALIZADO",SCTR_Brokers[[#This Row],[Plazo]]=LISTAS!$J$3),1,0)</f>
        <v>0</v>
      </c>
      <c r="X343">
        <f ca="1">IF(AND(SCTR_Brokers[[#This Row],[Estado]]="FINALIZADO",SCTR_Brokers[[#This Row],[Plazo]]=LISTAS!$J$4),1,0)</f>
        <v>1</v>
      </c>
      <c r="Y343">
        <f ca="1">IF(AND(SCTR_Brokers[[#This Row],[Estado]]&lt;&gt;"FINALIZADO",SCTR_Brokers[[#This Row],[Plazo]]=LISTAS!$J$4),1,0)</f>
        <v>0</v>
      </c>
      <c r="Z343">
        <f>IF(SCTR_Brokers[[#This Row],[Fecha_Solic_Informe]]="",0,1)</f>
        <v>0</v>
      </c>
      <c r="AA343">
        <f>IF(SCTR_Brokers[[#This Row],[Fecha_Informe]]="",0,1)</f>
        <v>0</v>
      </c>
      <c r="AB343">
        <f>IF(AND(SCTR_Brokers[[#This Row],[Fecha_Solic_Informe]]&lt;&gt;"",SCTR_Brokers[[#This Row],[Fecha_Informe]]=""),1,0)</f>
        <v>0</v>
      </c>
      <c r="AC34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44" spans="1:29" hidden="1">
      <c r="A344" t="s">
        <v>776</v>
      </c>
      <c r="C344" t="str">
        <f>IF(SCTR_Brokers[[#This Row],[FechaRecepcion]]="","",SCTR_Brokers[[#This Row],[ConversationId]]&amp;"-"&amp;TEXT(SCTR_Brokers[[#This Row],[FechaRecepcion]],"aaaammddhhmmss"))</f>
        <v>AAQkADdkNThjNzFkLWM0ZmMtNDJhYS04MDVlLTIwNzE4ZDI1Mzg4YgAQAAVGbvw4cnxCiqr0k0IU8tY=-20260921131558</v>
      </c>
      <c r="D344" s="16" t="s">
        <v>777</v>
      </c>
      <c r="E344" t="s">
        <v>21</v>
      </c>
      <c r="F344" s="3">
        <v>46286.552754629629</v>
      </c>
      <c r="G344" s="3">
        <v>46286.720532407409</v>
      </c>
      <c r="H344" t="s">
        <v>778</v>
      </c>
      <c r="I344" t="s">
        <v>7</v>
      </c>
      <c r="K344" t="s">
        <v>67</v>
      </c>
      <c r="L344" s="10"/>
      <c r="N34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44" s="3"/>
      <c r="P344" s="3"/>
      <c r="Q344" s="3"/>
      <c r="R34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44" t="str">
        <f>IF(SCTR_Brokers[[#This Row],[FechaRecepcion]]="","",TEXT(SCTR_Brokers[[#This Row],[FechaRecepcion]],"mmmm")&amp;" "&amp;YEAR(SCTR_Brokers[[#This Row],[FechaRecepcion]]))</f>
        <v>septiembre 2026</v>
      </c>
      <c r="U344">
        <f>IF(SCTR_Brokers[[#This Row],[Estado]]="FINALIZADO",1,0)</f>
        <v>1</v>
      </c>
      <c r="V344">
        <f>IF(SCTR_Brokers[[#This Row],[FechaRecepcion]]="","",IF(SCTR_Brokers[[#This Row],[Estado]]="FINALIZADO",0,1))</f>
        <v>0</v>
      </c>
      <c r="W344">
        <f ca="1">IF(AND(SCTR_Brokers[[#This Row],[Estado]]="FINALIZADO",SCTR_Brokers[[#This Row],[Plazo]]=LISTAS!$J$3),1,0)</f>
        <v>0</v>
      </c>
      <c r="X344">
        <f ca="1">IF(AND(SCTR_Brokers[[#This Row],[Estado]]="FINALIZADO",SCTR_Brokers[[#This Row],[Plazo]]=LISTAS!$J$4),1,0)</f>
        <v>1</v>
      </c>
      <c r="Y344">
        <f ca="1">IF(AND(SCTR_Brokers[[#This Row],[Estado]]&lt;&gt;"FINALIZADO",SCTR_Brokers[[#This Row],[Plazo]]=LISTAS!$J$4),1,0)</f>
        <v>0</v>
      </c>
      <c r="Z344">
        <f>IF(SCTR_Brokers[[#This Row],[Fecha_Solic_Informe]]="",0,1)</f>
        <v>0</v>
      </c>
      <c r="AA344">
        <f>IF(SCTR_Brokers[[#This Row],[Fecha_Informe]]="",0,1)</f>
        <v>0</v>
      </c>
      <c r="AB344">
        <f>IF(AND(SCTR_Brokers[[#This Row],[Fecha_Solic_Informe]]&lt;&gt;"",SCTR_Brokers[[#This Row],[Fecha_Informe]]=""),1,0)</f>
        <v>0</v>
      </c>
      <c r="AC34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45" spans="1:29" hidden="1">
      <c r="A345" t="s">
        <v>779</v>
      </c>
      <c r="C345" t="str">
        <f>IF(SCTR_Brokers[[#This Row],[FechaRecepcion]]="","",SCTR_Brokers[[#This Row],[ConversationId]]&amp;"-"&amp;TEXT(SCTR_Brokers[[#This Row],[FechaRecepcion]],"aaaammddhhmmss"))</f>
        <v>AAQkADdkNThjNzFkLWM0ZmMtNDJhYS04MDVlLTIwNzE4ZDI1Mzg4YgAQAIIchn24G0lzvxs-NEWL9O4=-20260921155716</v>
      </c>
      <c r="D345" s="16" t="s">
        <v>780</v>
      </c>
      <c r="E345" t="s">
        <v>23</v>
      </c>
      <c r="F345" s="3">
        <v>46286.664768518516</v>
      </c>
      <c r="G345" s="3">
        <v>46286.664768518516</v>
      </c>
      <c r="H345" t="s">
        <v>325</v>
      </c>
      <c r="I345" t="s">
        <v>7</v>
      </c>
      <c r="K345" t="s">
        <v>67</v>
      </c>
      <c r="L345" s="10"/>
      <c r="N34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45" s="3"/>
      <c r="P345" s="3"/>
      <c r="Q345" s="3"/>
      <c r="R34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45" t="str">
        <f>IF(SCTR_Brokers[[#This Row],[FechaRecepcion]]="","",TEXT(SCTR_Brokers[[#This Row],[FechaRecepcion]],"mmmm")&amp;" "&amp;YEAR(SCTR_Brokers[[#This Row],[FechaRecepcion]]))</f>
        <v>septiembre 2026</v>
      </c>
      <c r="U345">
        <f>IF(SCTR_Brokers[[#This Row],[Estado]]="FINALIZADO",1,0)</f>
        <v>1</v>
      </c>
      <c r="V345">
        <f>IF(SCTR_Brokers[[#This Row],[FechaRecepcion]]="","",IF(SCTR_Brokers[[#This Row],[Estado]]="FINALIZADO",0,1))</f>
        <v>0</v>
      </c>
      <c r="W345">
        <f ca="1">IF(AND(SCTR_Brokers[[#This Row],[Estado]]="FINALIZADO",SCTR_Brokers[[#This Row],[Plazo]]=LISTAS!$J$3),1,0)</f>
        <v>0</v>
      </c>
      <c r="X345">
        <f ca="1">IF(AND(SCTR_Brokers[[#This Row],[Estado]]="FINALIZADO",SCTR_Brokers[[#This Row],[Plazo]]=LISTAS!$J$4),1,0)</f>
        <v>1</v>
      </c>
      <c r="Y345">
        <f ca="1">IF(AND(SCTR_Brokers[[#This Row],[Estado]]&lt;&gt;"FINALIZADO",SCTR_Brokers[[#This Row],[Plazo]]=LISTAS!$J$4),1,0)</f>
        <v>0</v>
      </c>
      <c r="Z345">
        <f>IF(SCTR_Brokers[[#This Row],[Fecha_Solic_Informe]]="",0,1)</f>
        <v>0</v>
      </c>
      <c r="AA345">
        <f>IF(SCTR_Brokers[[#This Row],[Fecha_Informe]]="",0,1)</f>
        <v>0</v>
      </c>
      <c r="AB345">
        <f>IF(AND(SCTR_Brokers[[#This Row],[Fecha_Solic_Informe]]&lt;&gt;"",SCTR_Brokers[[#This Row],[Fecha_Informe]]=""),1,0)</f>
        <v>0</v>
      </c>
      <c r="AC34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46" spans="1:29" hidden="1">
      <c r="A346" t="s">
        <v>781</v>
      </c>
      <c r="C346" t="str">
        <f>IF(SCTR_Brokers[[#This Row],[FechaRecepcion]]="","",SCTR_Brokers[[#This Row],[ConversationId]]&amp;"-"&amp;TEXT(SCTR_Brokers[[#This Row],[FechaRecepcion]],"aaaammddhhmmss"))</f>
        <v>AAQkADdkNThjNzFkLWM0ZmMtNDJhYS04MDVlLTIwNzE4ZDI1Mzg4YgAQAJmYEJrnp2VMhiaylSODT1E=-20260921160459</v>
      </c>
      <c r="D346" s="16" t="s">
        <v>782</v>
      </c>
      <c r="E346" t="s">
        <v>21</v>
      </c>
      <c r="F346" s="3">
        <v>46286.670127314814</v>
      </c>
      <c r="G346" s="3">
        <v>46287.127916666665</v>
      </c>
      <c r="H346" t="s">
        <v>455</v>
      </c>
      <c r="I346" t="s">
        <v>7</v>
      </c>
      <c r="K346" t="s">
        <v>67</v>
      </c>
      <c r="L346" s="10"/>
      <c r="N34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46" s="3"/>
      <c r="P346" s="3"/>
      <c r="Q346" s="3"/>
      <c r="R34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46" t="str">
        <f>IF(SCTR_Brokers[[#This Row],[FechaRecepcion]]="","",TEXT(SCTR_Brokers[[#This Row],[FechaRecepcion]],"mmmm")&amp;" "&amp;YEAR(SCTR_Brokers[[#This Row],[FechaRecepcion]]))</f>
        <v>septiembre 2026</v>
      </c>
      <c r="U346">
        <f>IF(SCTR_Brokers[[#This Row],[Estado]]="FINALIZADO",1,0)</f>
        <v>1</v>
      </c>
      <c r="V346">
        <f>IF(SCTR_Brokers[[#This Row],[FechaRecepcion]]="","",IF(SCTR_Brokers[[#This Row],[Estado]]="FINALIZADO",0,1))</f>
        <v>0</v>
      </c>
      <c r="W346">
        <f ca="1">IF(AND(SCTR_Brokers[[#This Row],[Estado]]="FINALIZADO",SCTR_Brokers[[#This Row],[Plazo]]=LISTAS!$J$3),1,0)</f>
        <v>0</v>
      </c>
      <c r="X346">
        <f ca="1">IF(AND(SCTR_Brokers[[#This Row],[Estado]]="FINALIZADO",SCTR_Brokers[[#This Row],[Plazo]]=LISTAS!$J$4),1,0)</f>
        <v>1</v>
      </c>
      <c r="Y346">
        <f ca="1">IF(AND(SCTR_Brokers[[#This Row],[Estado]]&lt;&gt;"FINALIZADO",SCTR_Brokers[[#This Row],[Plazo]]=LISTAS!$J$4),1,0)</f>
        <v>0</v>
      </c>
      <c r="Z346">
        <f>IF(SCTR_Brokers[[#This Row],[Fecha_Solic_Informe]]="",0,1)</f>
        <v>0</v>
      </c>
      <c r="AA346">
        <f>IF(SCTR_Brokers[[#This Row],[Fecha_Informe]]="",0,1)</f>
        <v>0</v>
      </c>
      <c r="AB346">
        <f>IF(AND(SCTR_Brokers[[#This Row],[Fecha_Solic_Informe]]&lt;&gt;"",SCTR_Brokers[[#This Row],[Fecha_Informe]]=""),1,0)</f>
        <v>0</v>
      </c>
      <c r="AC34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47" spans="1:29" hidden="1">
      <c r="A347" t="s">
        <v>783</v>
      </c>
      <c r="C347" t="str">
        <f>IF(SCTR_Brokers[[#This Row],[FechaRecepcion]]="","",SCTR_Brokers[[#This Row],[ConversationId]]&amp;"-"&amp;TEXT(SCTR_Brokers[[#This Row],[FechaRecepcion]],"aaaammddhhmmss"))</f>
        <v>AAQkADdkNThjNzFkLWM0ZmMtNDJhYS04MDVlLTIwNzE4ZDI1Mzg4YgAQAPyjwiQWnk0noaeFZDuIvWU=-20260921165249</v>
      </c>
      <c r="D347" s="16" t="s">
        <v>784</v>
      </c>
      <c r="E347" t="s">
        <v>8</v>
      </c>
      <c r="F347" s="3">
        <v>46286.703344907408</v>
      </c>
      <c r="G347" s="3">
        <v>46286.703344907408</v>
      </c>
      <c r="H347" t="s">
        <v>785</v>
      </c>
      <c r="I347" t="s">
        <v>7</v>
      </c>
      <c r="K347" t="s">
        <v>67</v>
      </c>
      <c r="L347" s="10"/>
      <c r="N34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47" s="3"/>
      <c r="P347" s="3"/>
      <c r="Q347" s="3"/>
      <c r="R34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47" t="str">
        <f>IF(SCTR_Brokers[[#This Row],[FechaRecepcion]]="","",TEXT(SCTR_Brokers[[#This Row],[FechaRecepcion]],"mmmm")&amp;" "&amp;YEAR(SCTR_Brokers[[#This Row],[FechaRecepcion]]))</f>
        <v>septiembre 2026</v>
      </c>
      <c r="U347">
        <f>IF(SCTR_Brokers[[#This Row],[Estado]]="FINALIZADO",1,0)</f>
        <v>1</v>
      </c>
      <c r="V347">
        <f>IF(SCTR_Brokers[[#This Row],[FechaRecepcion]]="","",IF(SCTR_Brokers[[#This Row],[Estado]]="FINALIZADO",0,1))</f>
        <v>0</v>
      </c>
      <c r="W347">
        <f ca="1">IF(AND(SCTR_Brokers[[#This Row],[Estado]]="FINALIZADO",SCTR_Brokers[[#This Row],[Plazo]]=LISTAS!$J$3),1,0)</f>
        <v>0</v>
      </c>
      <c r="X347">
        <f ca="1">IF(AND(SCTR_Brokers[[#This Row],[Estado]]="FINALIZADO",SCTR_Brokers[[#This Row],[Plazo]]=LISTAS!$J$4),1,0)</f>
        <v>1</v>
      </c>
      <c r="Y347">
        <f ca="1">IF(AND(SCTR_Brokers[[#This Row],[Estado]]&lt;&gt;"FINALIZADO",SCTR_Brokers[[#This Row],[Plazo]]=LISTAS!$J$4),1,0)</f>
        <v>0</v>
      </c>
      <c r="Z347">
        <f>IF(SCTR_Brokers[[#This Row],[Fecha_Solic_Informe]]="",0,1)</f>
        <v>0</v>
      </c>
      <c r="AA347">
        <f>IF(SCTR_Brokers[[#This Row],[Fecha_Informe]]="",0,1)</f>
        <v>0</v>
      </c>
      <c r="AB347">
        <f>IF(AND(SCTR_Brokers[[#This Row],[Fecha_Solic_Informe]]&lt;&gt;"",SCTR_Brokers[[#This Row],[Fecha_Informe]]=""),1,0)</f>
        <v>0</v>
      </c>
      <c r="AC34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48" spans="1:29" hidden="1">
      <c r="A348" t="s">
        <v>786</v>
      </c>
      <c r="C348" t="str">
        <f>IF(SCTR_Brokers[[#This Row],[FechaRecepcion]]="","",SCTR_Brokers[[#This Row],[ConversationId]]&amp;"-"&amp;TEXT(SCTR_Brokers[[#This Row],[FechaRecepcion]],"aaaammddhhmmss"))</f>
        <v>AAQkADdkNThjNzFkLWM0ZmMtNDJhYS04MDVlLTIwNzE4ZDI1Mzg4YgAQAJMxaXlgXEsAvpOb5ZIFxbw=-20260921170603</v>
      </c>
      <c r="D348" s="16" t="s">
        <v>787</v>
      </c>
      <c r="E348" t="s">
        <v>21</v>
      </c>
      <c r="F348" s="3">
        <v>46286.712534722225</v>
      </c>
      <c r="G348" s="3">
        <v>46286.712534722225</v>
      </c>
      <c r="H348" t="s">
        <v>778</v>
      </c>
      <c r="I348" t="s">
        <v>7</v>
      </c>
      <c r="K348" t="s">
        <v>67</v>
      </c>
      <c r="L348" s="10"/>
      <c r="N34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48" s="3"/>
      <c r="P348" s="3"/>
      <c r="Q348" s="3"/>
      <c r="R34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48" t="str">
        <f>IF(SCTR_Brokers[[#This Row],[FechaRecepcion]]="","",TEXT(SCTR_Brokers[[#This Row],[FechaRecepcion]],"mmmm")&amp;" "&amp;YEAR(SCTR_Brokers[[#This Row],[FechaRecepcion]]))</f>
        <v>septiembre 2026</v>
      </c>
      <c r="U348">
        <f>IF(SCTR_Brokers[[#This Row],[Estado]]="FINALIZADO",1,0)</f>
        <v>1</v>
      </c>
      <c r="V348">
        <f>IF(SCTR_Brokers[[#This Row],[FechaRecepcion]]="","",IF(SCTR_Brokers[[#This Row],[Estado]]="FINALIZADO",0,1))</f>
        <v>0</v>
      </c>
      <c r="W348">
        <f ca="1">IF(AND(SCTR_Brokers[[#This Row],[Estado]]="FINALIZADO",SCTR_Brokers[[#This Row],[Plazo]]=LISTAS!$J$3),1,0)</f>
        <v>0</v>
      </c>
      <c r="X348">
        <f ca="1">IF(AND(SCTR_Brokers[[#This Row],[Estado]]="FINALIZADO",SCTR_Brokers[[#This Row],[Plazo]]=LISTAS!$J$4),1,0)</f>
        <v>1</v>
      </c>
      <c r="Y348">
        <f ca="1">IF(AND(SCTR_Brokers[[#This Row],[Estado]]&lt;&gt;"FINALIZADO",SCTR_Brokers[[#This Row],[Plazo]]=LISTAS!$J$4),1,0)</f>
        <v>0</v>
      </c>
      <c r="Z348">
        <f>IF(SCTR_Brokers[[#This Row],[Fecha_Solic_Informe]]="",0,1)</f>
        <v>0</v>
      </c>
      <c r="AA348">
        <f>IF(SCTR_Brokers[[#This Row],[Fecha_Informe]]="",0,1)</f>
        <v>0</v>
      </c>
      <c r="AB348">
        <f>IF(AND(SCTR_Brokers[[#This Row],[Fecha_Solic_Informe]]&lt;&gt;"",SCTR_Brokers[[#This Row],[Fecha_Informe]]=""),1,0)</f>
        <v>0</v>
      </c>
      <c r="AC34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49" spans="1:29" hidden="1">
      <c r="A349" t="s">
        <v>788</v>
      </c>
      <c r="C349" t="str">
        <f>IF(SCTR_Brokers[[#This Row],[FechaRecepcion]]="","",SCTR_Brokers[[#This Row],[ConversationId]]&amp;"-"&amp;TEXT(SCTR_Brokers[[#This Row],[FechaRecepcion]],"aaaammddhhmmss"))</f>
        <v>AAQkADdkNThjNzFkLWM0ZmMtNDJhYS04MDVlLTIwNzE4ZDI1Mzg4YgAQAAXjLXb-tNBKlN7wh5P8tlk=-20260921171259</v>
      </c>
      <c r="D349" s="16" t="s">
        <v>789</v>
      </c>
      <c r="E349" t="s">
        <v>21</v>
      </c>
      <c r="F349" s="3">
        <v>46286.717349537037</v>
      </c>
      <c r="G349" s="3">
        <v>46286.717349537037</v>
      </c>
      <c r="H349" t="s">
        <v>790</v>
      </c>
      <c r="I349" t="s">
        <v>7</v>
      </c>
      <c r="K349" t="s">
        <v>67</v>
      </c>
      <c r="L349" s="10"/>
      <c r="N34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49" s="3"/>
      <c r="P349" s="3"/>
      <c r="Q349" s="3"/>
      <c r="R34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49" t="str">
        <f>IF(SCTR_Brokers[[#This Row],[FechaRecepcion]]="","",TEXT(SCTR_Brokers[[#This Row],[FechaRecepcion]],"mmmm")&amp;" "&amp;YEAR(SCTR_Brokers[[#This Row],[FechaRecepcion]]))</f>
        <v>septiembre 2026</v>
      </c>
      <c r="U349">
        <f>IF(SCTR_Brokers[[#This Row],[Estado]]="FINALIZADO",1,0)</f>
        <v>1</v>
      </c>
      <c r="V349">
        <f>IF(SCTR_Brokers[[#This Row],[FechaRecepcion]]="","",IF(SCTR_Brokers[[#This Row],[Estado]]="FINALIZADO",0,1))</f>
        <v>0</v>
      </c>
      <c r="W349">
        <f ca="1">IF(AND(SCTR_Brokers[[#This Row],[Estado]]="FINALIZADO",SCTR_Brokers[[#This Row],[Plazo]]=LISTAS!$J$3),1,0)</f>
        <v>0</v>
      </c>
      <c r="X349">
        <f ca="1">IF(AND(SCTR_Brokers[[#This Row],[Estado]]="FINALIZADO",SCTR_Brokers[[#This Row],[Plazo]]=LISTAS!$J$4),1,0)</f>
        <v>1</v>
      </c>
      <c r="Y349">
        <f ca="1">IF(AND(SCTR_Brokers[[#This Row],[Estado]]&lt;&gt;"FINALIZADO",SCTR_Brokers[[#This Row],[Plazo]]=LISTAS!$J$4),1,0)</f>
        <v>0</v>
      </c>
      <c r="Z349">
        <f>IF(SCTR_Brokers[[#This Row],[Fecha_Solic_Informe]]="",0,1)</f>
        <v>0</v>
      </c>
      <c r="AA349">
        <f>IF(SCTR_Brokers[[#This Row],[Fecha_Informe]]="",0,1)</f>
        <v>0</v>
      </c>
      <c r="AB349">
        <f>IF(AND(SCTR_Brokers[[#This Row],[Fecha_Solic_Informe]]&lt;&gt;"",SCTR_Brokers[[#This Row],[Fecha_Informe]]=""),1,0)</f>
        <v>0</v>
      </c>
      <c r="AC34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50" spans="1:29" hidden="1">
      <c r="A350" t="s">
        <v>791</v>
      </c>
      <c r="C350" t="str">
        <f>IF(SCTR_Brokers[[#This Row],[FechaRecepcion]]="","",SCTR_Brokers[[#This Row],[ConversationId]]&amp;"-"&amp;TEXT(SCTR_Brokers[[#This Row],[FechaRecepcion]],"aaaammddhhmmss"))</f>
        <v>AAQkADdkNThjNzFkLWM0ZmMtNDJhYS04MDVlLTIwNzE4ZDI1Mzg4YgAQAJll_LuYP45HhUkZmtizkeo=-20260921172612</v>
      </c>
      <c r="D350" s="16" t="s">
        <v>792</v>
      </c>
      <c r="E350" t="s">
        <v>20</v>
      </c>
      <c r="F350" s="3">
        <v>46286.726527777777</v>
      </c>
      <c r="G350" s="3">
        <v>46286.756562499999</v>
      </c>
      <c r="H350" t="s">
        <v>338</v>
      </c>
      <c r="I350" t="s">
        <v>7</v>
      </c>
      <c r="K350" t="s">
        <v>67</v>
      </c>
      <c r="L350" s="10"/>
      <c r="N35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50" s="3"/>
      <c r="P350" s="3"/>
      <c r="Q350" s="3"/>
      <c r="R35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50" t="str">
        <f>IF(SCTR_Brokers[[#This Row],[FechaRecepcion]]="","",TEXT(SCTR_Brokers[[#This Row],[FechaRecepcion]],"mmmm")&amp;" "&amp;YEAR(SCTR_Brokers[[#This Row],[FechaRecepcion]]))</f>
        <v>septiembre 2026</v>
      </c>
      <c r="U350">
        <f>IF(SCTR_Brokers[[#This Row],[Estado]]="FINALIZADO",1,0)</f>
        <v>1</v>
      </c>
      <c r="V350">
        <f>IF(SCTR_Brokers[[#This Row],[FechaRecepcion]]="","",IF(SCTR_Brokers[[#This Row],[Estado]]="FINALIZADO",0,1))</f>
        <v>0</v>
      </c>
      <c r="W350">
        <f ca="1">IF(AND(SCTR_Brokers[[#This Row],[Estado]]="FINALIZADO",SCTR_Brokers[[#This Row],[Plazo]]=LISTAS!$J$3),1,0)</f>
        <v>0</v>
      </c>
      <c r="X350">
        <f ca="1">IF(AND(SCTR_Brokers[[#This Row],[Estado]]="FINALIZADO",SCTR_Brokers[[#This Row],[Plazo]]=LISTAS!$J$4),1,0)</f>
        <v>1</v>
      </c>
      <c r="Y350">
        <f ca="1">IF(AND(SCTR_Brokers[[#This Row],[Estado]]&lt;&gt;"FINALIZADO",SCTR_Brokers[[#This Row],[Plazo]]=LISTAS!$J$4),1,0)</f>
        <v>0</v>
      </c>
      <c r="Z350">
        <f>IF(SCTR_Brokers[[#This Row],[Fecha_Solic_Informe]]="",0,1)</f>
        <v>0</v>
      </c>
      <c r="AA350">
        <f>IF(SCTR_Brokers[[#This Row],[Fecha_Informe]]="",0,1)</f>
        <v>0</v>
      </c>
      <c r="AB350">
        <f>IF(AND(SCTR_Brokers[[#This Row],[Fecha_Solic_Informe]]&lt;&gt;"",SCTR_Brokers[[#This Row],[Fecha_Informe]]=""),1,0)</f>
        <v>0</v>
      </c>
      <c r="AC35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51" spans="1:29" hidden="1">
      <c r="A351" t="s">
        <v>793</v>
      </c>
      <c r="C351" t="str">
        <f>IF(SCTR_Brokers[[#This Row],[FechaRecepcion]]="","",SCTR_Brokers[[#This Row],[ConversationId]]&amp;"-"&amp;TEXT(SCTR_Brokers[[#This Row],[FechaRecepcion]],"aaaammddhhmmss"))</f>
        <v>AAQkADdkNThjNzFkLWM0ZmMtNDJhYS04MDVlLTIwNzE4ZDI1Mzg4YgAQAJOR32XS-cdDjrDOENez-tE=-20260921183910</v>
      </c>
      <c r="D351" s="16" t="s">
        <v>794</v>
      </c>
      <c r="E351" t="s">
        <v>21</v>
      </c>
      <c r="F351" s="3">
        <v>46286.777199074073</v>
      </c>
      <c r="G351" s="3">
        <v>46286.777199074073</v>
      </c>
      <c r="H351" t="s">
        <v>795</v>
      </c>
      <c r="I351" t="s">
        <v>7</v>
      </c>
      <c r="K351" t="s">
        <v>67</v>
      </c>
      <c r="L351" s="10"/>
      <c r="N35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51" s="3"/>
      <c r="P351" s="3"/>
      <c r="Q351" s="3"/>
      <c r="R35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51" t="str">
        <f>IF(SCTR_Brokers[[#This Row],[FechaRecepcion]]="","",TEXT(SCTR_Brokers[[#This Row],[FechaRecepcion]],"mmmm")&amp;" "&amp;YEAR(SCTR_Brokers[[#This Row],[FechaRecepcion]]))</f>
        <v>septiembre 2026</v>
      </c>
      <c r="U351">
        <f>IF(SCTR_Brokers[[#This Row],[Estado]]="FINALIZADO",1,0)</f>
        <v>1</v>
      </c>
      <c r="V351">
        <f>IF(SCTR_Brokers[[#This Row],[FechaRecepcion]]="","",IF(SCTR_Brokers[[#This Row],[Estado]]="FINALIZADO",0,1))</f>
        <v>0</v>
      </c>
      <c r="W351">
        <f ca="1">IF(AND(SCTR_Brokers[[#This Row],[Estado]]="FINALIZADO",SCTR_Brokers[[#This Row],[Plazo]]=LISTAS!$J$3),1,0)</f>
        <v>0</v>
      </c>
      <c r="X351">
        <f ca="1">IF(AND(SCTR_Brokers[[#This Row],[Estado]]="FINALIZADO",SCTR_Brokers[[#This Row],[Plazo]]=LISTAS!$J$4),1,0)</f>
        <v>1</v>
      </c>
      <c r="Y351">
        <f ca="1">IF(AND(SCTR_Brokers[[#This Row],[Estado]]&lt;&gt;"FINALIZADO",SCTR_Brokers[[#This Row],[Plazo]]=LISTAS!$J$4),1,0)</f>
        <v>0</v>
      </c>
      <c r="Z351">
        <f>IF(SCTR_Brokers[[#This Row],[Fecha_Solic_Informe]]="",0,1)</f>
        <v>0</v>
      </c>
      <c r="AA351">
        <f>IF(SCTR_Brokers[[#This Row],[Fecha_Informe]]="",0,1)</f>
        <v>0</v>
      </c>
      <c r="AB351">
        <f>IF(AND(SCTR_Brokers[[#This Row],[Fecha_Solic_Informe]]&lt;&gt;"",SCTR_Brokers[[#This Row],[Fecha_Informe]]=""),1,0)</f>
        <v>0</v>
      </c>
      <c r="AC35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52" spans="1:29" hidden="1">
      <c r="A352" t="s">
        <v>796</v>
      </c>
      <c r="C352" t="str">
        <f>IF(SCTR_Brokers[[#This Row],[FechaRecepcion]]="","",SCTR_Brokers[[#This Row],[ConversationId]]&amp;"-"&amp;TEXT(SCTR_Brokers[[#This Row],[FechaRecepcion]],"aaaammddhhmmss"))</f>
        <v>AAQkADdkNThjNzFkLWM0ZmMtNDJhYS04MDVlLTIwNzE4ZDI1Mzg4YgAQAJ8wdV-TC_JHiWilzoIoN28=-20260921185526</v>
      </c>
      <c r="D352" s="16" t="s">
        <v>797</v>
      </c>
      <c r="E352" t="s">
        <v>21</v>
      </c>
      <c r="F352" s="3">
        <v>46286.788495370369</v>
      </c>
      <c r="G352" s="3">
        <v>46286.788495370369</v>
      </c>
      <c r="H352" t="s">
        <v>798</v>
      </c>
      <c r="I352" t="s">
        <v>7</v>
      </c>
      <c r="K352" t="s">
        <v>67</v>
      </c>
      <c r="L352" s="10"/>
      <c r="N35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52" s="3"/>
      <c r="P352" s="3"/>
      <c r="Q352" s="3"/>
      <c r="R35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52" t="str">
        <f>IF(SCTR_Brokers[[#This Row],[FechaRecepcion]]="","",TEXT(SCTR_Brokers[[#This Row],[FechaRecepcion]],"mmmm")&amp;" "&amp;YEAR(SCTR_Brokers[[#This Row],[FechaRecepcion]]))</f>
        <v>septiembre 2026</v>
      </c>
      <c r="U352">
        <f>IF(SCTR_Brokers[[#This Row],[Estado]]="FINALIZADO",1,0)</f>
        <v>1</v>
      </c>
      <c r="V352">
        <f>IF(SCTR_Brokers[[#This Row],[FechaRecepcion]]="","",IF(SCTR_Brokers[[#This Row],[Estado]]="FINALIZADO",0,1))</f>
        <v>0</v>
      </c>
      <c r="W352">
        <f ca="1">IF(AND(SCTR_Brokers[[#This Row],[Estado]]="FINALIZADO",SCTR_Brokers[[#This Row],[Plazo]]=LISTAS!$J$3),1,0)</f>
        <v>0</v>
      </c>
      <c r="X352">
        <f ca="1">IF(AND(SCTR_Brokers[[#This Row],[Estado]]="FINALIZADO",SCTR_Brokers[[#This Row],[Plazo]]=LISTAS!$J$4),1,0)</f>
        <v>1</v>
      </c>
      <c r="Y352">
        <f ca="1">IF(AND(SCTR_Brokers[[#This Row],[Estado]]&lt;&gt;"FINALIZADO",SCTR_Brokers[[#This Row],[Plazo]]=LISTAS!$J$4),1,0)</f>
        <v>0</v>
      </c>
      <c r="Z352">
        <f>IF(SCTR_Brokers[[#This Row],[Fecha_Solic_Informe]]="",0,1)</f>
        <v>0</v>
      </c>
      <c r="AA352">
        <f>IF(SCTR_Brokers[[#This Row],[Fecha_Informe]]="",0,1)</f>
        <v>0</v>
      </c>
      <c r="AB352">
        <f>IF(AND(SCTR_Brokers[[#This Row],[Fecha_Solic_Informe]]&lt;&gt;"",SCTR_Brokers[[#This Row],[Fecha_Informe]]=""),1,0)</f>
        <v>0</v>
      </c>
      <c r="AC35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53" spans="1:29" hidden="1">
      <c r="A353" t="s">
        <v>799</v>
      </c>
      <c r="C353" t="str">
        <f>IF(SCTR_Brokers[[#This Row],[FechaRecepcion]]="","",SCTR_Brokers[[#This Row],[ConversationId]]&amp;"-"&amp;TEXT(SCTR_Brokers[[#This Row],[FechaRecepcion]],"aaaammddhhmmss"))</f>
        <v>AAQkADdkNThjNzFkLWM0ZmMtNDJhYS04MDVlLTIwNzE4ZDI1Mzg4YgAQAGYo4-16QWZBoB8uDrqEle4=-20260921203930</v>
      </c>
      <c r="D353" s="16" t="s">
        <v>800</v>
      </c>
      <c r="E353" t="s">
        <v>8</v>
      </c>
      <c r="F353" s="3">
        <v>46286.860763888886</v>
      </c>
      <c r="G353" s="3">
        <v>46286.860763888886</v>
      </c>
      <c r="H353" t="s">
        <v>208</v>
      </c>
      <c r="I353" t="s">
        <v>7</v>
      </c>
      <c r="K353" t="s">
        <v>67</v>
      </c>
      <c r="L353" s="10"/>
      <c r="N35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53" s="3"/>
      <c r="P353" s="3"/>
      <c r="Q353" s="3"/>
      <c r="R35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53" t="str">
        <f>IF(SCTR_Brokers[[#This Row],[FechaRecepcion]]="","",TEXT(SCTR_Brokers[[#This Row],[FechaRecepcion]],"mmmm")&amp;" "&amp;YEAR(SCTR_Brokers[[#This Row],[FechaRecepcion]]))</f>
        <v>septiembre 2026</v>
      </c>
      <c r="U353">
        <f>IF(SCTR_Brokers[[#This Row],[Estado]]="FINALIZADO",1,0)</f>
        <v>1</v>
      </c>
      <c r="V353">
        <f>IF(SCTR_Brokers[[#This Row],[FechaRecepcion]]="","",IF(SCTR_Brokers[[#This Row],[Estado]]="FINALIZADO",0,1))</f>
        <v>0</v>
      </c>
      <c r="W353">
        <f ca="1">IF(AND(SCTR_Brokers[[#This Row],[Estado]]="FINALIZADO",SCTR_Brokers[[#This Row],[Plazo]]=LISTAS!$J$3),1,0)</f>
        <v>0</v>
      </c>
      <c r="X353">
        <f ca="1">IF(AND(SCTR_Brokers[[#This Row],[Estado]]="FINALIZADO",SCTR_Brokers[[#This Row],[Plazo]]=LISTAS!$J$4),1,0)</f>
        <v>1</v>
      </c>
      <c r="Y353">
        <f ca="1">IF(AND(SCTR_Brokers[[#This Row],[Estado]]&lt;&gt;"FINALIZADO",SCTR_Brokers[[#This Row],[Plazo]]=LISTAS!$J$4),1,0)</f>
        <v>0</v>
      </c>
      <c r="Z353">
        <f>IF(SCTR_Brokers[[#This Row],[Fecha_Solic_Informe]]="",0,1)</f>
        <v>0</v>
      </c>
      <c r="AA353">
        <f>IF(SCTR_Brokers[[#This Row],[Fecha_Informe]]="",0,1)</f>
        <v>0</v>
      </c>
      <c r="AB353">
        <f>IF(AND(SCTR_Brokers[[#This Row],[Fecha_Solic_Informe]]&lt;&gt;"",SCTR_Brokers[[#This Row],[Fecha_Informe]]=""),1,0)</f>
        <v>0</v>
      </c>
      <c r="AC35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54" spans="1:29" hidden="1">
      <c r="A354" t="s">
        <v>801</v>
      </c>
      <c r="C354" t="str">
        <f>IF(SCTR_Brokers[[#This Row],[FechaRecepcion]]="","",SCTR_Brokers[[#This Row],[ConversationId]]&amp;"-"&amp;TEXT(SCTR_Brokers[[#This Row],[FechaRecepcion]],"aaaammddhhmmss"))</f>
        <v>AAQkADdkNThjNzFkLWM0ZmMtNDJhYS04MDVlLTIwNzE4ZDI1Mzg4YgAQALTAci_2IDFGqHxs6ev0ztg=-20260921220129</v>
      </c>
      <c r="D354" s="16" t="s">
        <v>802</v>
      </c>
      <c r="E354" t="s">
        <v>8</v>
      </c>
      <c r="F354" s="3">
        <v>46286.917696759258</v>
      </c>
      <c r="G354" s="3">
        <v>46286.917696759258</v>
      </c>
      <c r="H354" t="s">
        <v>803</v>
      </c>
      <c r="I354" t="s">
        <v>7</v>
      </c>
      <c r="K354" t="s">
        <v>67</v>
      </c>
      <c r="L354" s="10"/>
      <c r="N35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54" s="3"/>
      <c r="P354" s="3"/>
      <c r="Q354" s="3"/>
      <c r="R35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54" t="str">
        <f>IF(SCTR_Brokers[[#This Row],[FechaRecepcion]]="","",TEXT(SCTR_Brokers[[#This Row],[FechaRecepcion]],"mmmm")&amp;" "&amp;YEAR(SCTR_Brokers[[#This Row],[FechaRecepcion]]))</f>
        <v>septiembre 2026</v>
      </c>
      <c r="U354">
        <f>IF(SCTR_Brokers[[#This Row],[Estado]]="FINALIZADO",1,0)</f>
        <v>1</v>
      </c>
      <c r="V354">
        <f>IF(SCTR_Brokers[[#This Row],[FechaRecepcion]]="","",IF(SCTR_Brokers[[#This Row],[Estado]]="FINALIZADO",0,1))</f>
        <v>0</v>
      </c>
      <c r="W354">
        <f ca="1">IF(AND(SCTR_Brokers[[#This Row],[Estado]]="FINALIZADO",SCTR_Brokers[[#This Row],[Plazo]]=LISTAS!$J$3),1,0)</f>
        <v>0</v>
      </c>
      <c r="X354">
        <f ca="1">IF(AND(SCTR_Brokers[[#This Row],[Estado]]="FINALIZADO",SCTR_Brokers[[#This Row],[Plazo]]=LISTAS!$J$4),1,0)</f>
        <v>1</v>
      </c>
      <c r="Y354">
        <f ca="1">IF(AND(SCTR_Brokers[[#This Row],[Estado]]&lt;&gt;"FINALIZADO",SCTR_Brokers[[#This Row],[Plazo]]=LISTAS!$J$4),1,0)</f>
        <v>0</v>
      </c>
      <c r="Z354">
        <f>IF(SCTR_Brokers[[#This Row],[Fecha_Solic_Informe]]="",0,1)</f>
        <v>0</v>
      </c>
      <c r="AA354">
        <f>IF(SCTR_Brokers[[#This Row],[Fecha_Informe]]="",0,1)</f>
        <v>0</v>
      </c>
      <c r="AB354">
        <f>IF(AND(SCTR_Brokers[[#This Row],[Fecha_Solic_Informe]]&lt;&gt;"",SCTR_Brokers[[#This Row],[Fecha_Informe]]=""),1,0)</f>
        <v>0</v>
      </c>
      <c r="AC35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55" spans="1:29" hidden="1">
      <c r="A355" t="s">
        <v>804</v>
      </c>
      <c r="C355" t="str">
        <f>IF(SCTR_Brokers[[#This Row],[FechaRecepcion]]="","",SCTR_Brokers[[#This Row],[ConversationId]]&amp;"-"&amp;TEXT(SCTR_Brokers[[#This Row],[FechaRecepcion]],"aaaammddhhmmss"))</f>
        <v>AAQkADdkNThjNzFkLWM0ZmMtNDJhYS04MDVlLTIwNzE4ZDI1Mzg4YgAQALTxXf2y8EWYmiZeHhl17_Q=-20260922075101</v>
      </c>
      <c r="D355" s="16" t="s">
        <v>805</v>
      </c>
      <c r="E355" t="s">
        <v>21</v>
      </c>
      <c r="F355" s="3">
        <v>46287.327094907407</v>
      </c>
      <c r="G355" s="3">
        <v>46287.327094907407</v>
      </c>
      <c r="H355" t="s">
        <v>341</v>
      </c>
      <c r="I355" t="s">
        <v>7</v>
      </c>
      <c r="K355" t="s">
        <v>67</v>
      </c>
      <c r="L355" s="10"/>
      <c r="N35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55" s="3"/>
      <c r="P355" s="3"/>
      <c r="Q355" s="3"/>
      <c r="R35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55" t="str">
        <f>IF(SCTR_Brokers[[#This Row],[FechaRecepcion]]="","",TEXT(SCTR_Brokers[[#This Row],[FechaRecepcion]],"mmmm")&amp;" "&amp;YEAR(SCTR_Brokers[[#This Row],[FechaRecepcion]]))</f>
        <v>septiembre 2026</v>
      </c>
      <c r="U355">
        <f>IF(SCTR_Brokers[[#This Row],[Estado]]="FINALIZADO",1,0)</f>
        <v>1</v>
      </c>
      <c r="V355">
        <f>IF(SCTR_Brokers[[#This Row],[FechaRecepcion]]="","",IF(SCTR_Brokers[[#This Row],[Estado]]="FINALIZADO",0,1))</f>
        <v>0</v>
      </c>
      <c r="W355">
        <f ca="1">IF(AND(SCTR_Brokers[[#This Row],[Estado]]="FINALIZADO",SCTR_Brokers[[#This Row],[Plazo]]=LISTAS!$J$3),1,0)</f>
        <v>0</v>
      </c>
      <c r="X355">
        <f ca="1">IF(AND(SCTR_Brokers[[#This Row],[Estado]]="FINALIZADO",SCTR_Brokers[[#This Row],[Plazo]]=LISTAS!$J$4),1,0)</f>
        <v>1</v>
      </c>
      <c r="Y355">
        <f ca="1">IF(AND(SCTR_Brokers[[#This Row],[Estado]]&lt;&gt;"FINALIZADO",SCTR_Brokers[[#This Row],[Plazo]]=LISTAS!$J$4),1,0)</f>
        <v>0</v>
      </c>
      <c r="Z355">
        <f>IF(SCTR_Brokers[[#This Row],[Fecha_Solic_Informe]]="",0,1)</f>
        <v>0</v>
      </c>
      <c r="AA355">
        <f>IF(SCTR_Brokers[[#This Row],[Fecha_Informe]]="",0,1)</f>
        <v>0</v>
      </c>
      <c r="AB355">
        <f>IF(AND(SCTR_Brokers[[#This Row],[Fecha_Solic_Informe]]&lt;&gt;"",SCTR_Brokers[[#This Row],[Fecha_Informe]]=""),1,0)</f>
        <v>0</v>
      </c>
      <c r="AC35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56" spans="1:29" hidden="1">
      <c r="A356" t="s">
        <v>806</v>
      </c>
      <c r="C356" t="str">
        <f>IF(SCTR_Brokers[[#This Row],[FechaRecepcion]]="","",SCTR_Brokers[[#This Row],[ConversationId]]&amp;"-"&amp;TEXT(SCTR_Brokers[[#This Row],[FechaRecepcion]],"aaaammddhhmmss"))</f>
        <v>AAQkADdkNThjNzFkLWM0ZmMtNDJhYS04MDVlLTIwNzE4ZDI1Mzg4YgAQAF6R2RXt0EWGmkf-2ypeqEU=-20260922082110</v>
      </c>
      <c r="D356" s="16" t="s">
        <v>807</v>
      </c>
      <c r="E356" t="s">
        <v>14</v>
      </c>
      <c r="F356" s="3">
        <v>46287.348032407404</v>
      </c>
      <c r="G356" s="3">
        <v>46287.348032407404</v>
      </c>
      <c r="H356" t="s">
        <v>115</v>
      </c>
      <c r="I356" t="s">
        <v>7</v>
      </c>
      <c r="K356" t="s">
        <v>67</v>
      </c>
      <c r="L356" s="10"/>
      <c r="N35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56" s="3"/>
      <c r="P356" s="3"/>
      <c r="Q356" s="3"/>
      <c r="R35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56" t="str">
        <f>IF(SCTR_Brokers[[#This Row],[FechaRecepcion]]="","",TEXT(SCTR_Brokers[[#This Row],[FechaRecepcion]],"mmmm")&amp;" "&amp;YEAR(SCTR_Brokers[[#This Row],[FechaRecepcion]]))</f>
        <v>septiembre 2026</v>
      </c>
      <c r="U356">
        <f>IF(SCTR_Brokers[[#This Row],[Estado]]="FINALIZADO",1,0)</f>
        <v>1</v>
      </c>
      <c r="V356">
        <f>IF(SCTR_Brokers[[#This Row],[FechaRecepcion]]="","",IF(SCTR_Brokers[[#This Row],[Estado]]="FINALIZADO",0,1))</f>
        <v>0</v>
      </c>
      <c r="W356">
        <f ca="1">IF(AND(SCTR_Brokers[[#This Row],[Estado]]="FINALIZADO",SCTR_Brokers[[#This Row],[Plazo]]=LISTAS!$J$3),1,0)</f>
        <v>0</v>
      </c>
      <c r="X356">
        <f ca="1">IF(AND(SCTR_Brokers[[#This Row],[Estado]]="FINALIZADO",SCTR_Brokers[[#This Row],[Plazo]]=LISTAS!$J$4),1,0)</f>
        <v>1</v>
      </c>
      <c r="Y356">
        <f ca="1">IF(AND(SCTR_Brokers[[#This Row],[Estado]]&lt;&gt;"FINALIZADO",SCTR_Brokers[[#This Row],[Plazo]]=LISTAS!$J$4),1,0)</f>
        <v>0</v>
      </c>
      <c r="Z356">
        <f>IF(SCTR_Brokers[[#This Row],[Fecha_Solic_Informe]]="",0,1)</f>
        <v>0</v>
      </c>
      <c r="AA356">
        <f>IF(SCTR_Brokers[[#This Row],[Fecha_Informe]]="",0,1)</f>
        <v>0</v>
      </c>
      <c r="AB356">
        <f>IF(AND(SCTR_Brokers[[#This Row],[Fecha_Solic_Informe]]&lt;&gt;"",SCTR_Brokers[[#This Row],[Fecha_Informe]]=""),1,0)</f>
        <v>0</v>
      </c>
      <c r="AC35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57" spans="1:29" hidden="1">
      <c r="A357" t="s">
        <v>808</v>
      </c>
      <c r="C357" t="str">
        <f>IF(SCTR_Brokers[[#This Row],[FechaRecepcion]]="","",SCTR_Brokers[[#This Row],[ConversationId]]&amp;"-"&amp;TEXT(SCTR_Brokers[[#This Row],[FechaRecepcion]],"aaaammddhhmmss"))</f>
        <v>AAQkADdkNThjNzFkLWM0ZmMtNDJhYS04MDVlLTIwNzE4ZDI1Mzg4YgAQAFWAzjrnSXZBqdHt7BJdogk=-20260922083454</v>
      </c>
      <c r="D357" s="16" t="s">
        <v>809</v>
      </c>
      <c r="E357" t="s">
        <v>8</v>
      </c>
      <c r="F357" s="3">
        <v>46287.357569444444</v>
      </c>
      <c r="G357" s="3">
        <v>46287.357569444444</v>
      </c>
      <c r="H357" t="s">
        <v>609</v>
      </c>
      <c r="I357" t="s">
        <v>7</v>
      </c>
      <c r="J357" t="s">
        <v>810</v>
      </c>
      <c r="K357" t="s">
        <v>67</v>
      </c>
      <c r="L357" s="10"/>
      <c r="N35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57" s="3"/>
      <c r="P357" s="3"/>
      <c r="Q357" s="3">
        <v>46287.357569444444</v>
      </c>
      <c r="R35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357" t="s">
        <v>164</v>
      </c>
      <c r="T357" t="str">
        <f>IF(SCTR_Brokers[[#This Row],[FechaRecepcion]]="","",TEXT(SCTR_Brokers[[#This Row],[FechaRecepcion]],"mmmm")&amp;" "&amp;YEAR(SCTR_Brokers[[#This Row],[FechaRecepcion]]))</f>
        <v>septiembre 2026</v>
      </c>
      <c r="U357">
        <f>IF(SCTR_Brokers[[#This Row],[Estado]]="FINALIZADO",1,0)</f>
        <v>1</v>
      </c>
      <c r="V357">
        <f>IF(SCTR_Brokers[[#This Row],[FechaRecepcion]]="","",IF(SCTR_Brokers[[#This Row],[Estado]]="FINALIZADO",0,1))</f>
        <v>0</v>
      </c>
      <c r="W357">
        <f ca="1">IF(AND(SCTR_Brokers[[#This Row],[Estado]]="FINALIZADO",SCTR_Brokers[[#This Row],[Plazo]]=LISTAS!$J$3),1,0)</f>
        <v>1</v>
      </c>
      <c r="X357">
        <f ca="1">IF(AND(SCTR_Brokers[[#This Row],[Estado]]="FINALIZADO",SCTR_Brokers[[#This Row],[Plazo]]=LISTAS!$J$4),1,0)</f>
        <v>0</v>
      </c>
      <c r="Y357">
        <f ca="1">IF(AND(SCTR_Brokers[[#This Row],[Estado]]&lt;&gt;"FINALIZADO",SCTR_Brokers[[#This Row],[Plazo]]=LISTAS!$J$4),1,0)</f>
        <v>0</v>
      </c>
      <c r="Z357">
        <f>IF(SCTR_Brokers[[#This Row],[Fecha_Solic_Informe]]="",0,1)</f>
        <v>0</v>
      </c>
      <c r="AA357">
        <f>IF(SCTR_Brokers[[#This Row],[Fecha_Informe]]="",0,1)</f>
        <v>0</v>
      </c>
      <c r="AB357">
        <f>IF(AND(SCTR_Brokers[[#This Row],[Fecha_Solic_Informe]]&lt;&gt;"",SCTR_Brokers[[#This Row],[Fecha_Informe]]=""),1,0)</f>
        <v>0</v>
      </c>
      <c r="AC35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58" spans="1:29" hidden="1">
      <c r="A358" t="s">
        <v>811</v>
      </c>
      <c r="C358" t="str">
        <f>IF(SCTR_Brokers[[#This Row],[FechaRecepcion]]="","",SCTR_Brokers[[#This Row],[ConversationId]]&amp;"-"&amp;TEXT(SCTR_Brokers[[#This Row],[FechaRecepcion]],"aaaammddhhmmss"))</f>
        <v>AAQkADdkNThjNzFkLWM0ZmMtNDJhYS04MDVlLTIwNzE4ZDI1Mzg4YgAQAJwCXQsEX0FTpYlAKaxzfLQ=-20260922083501</v>
      </c>
      <c r="D358" s="16" t="s">
        <v>812</v>
      </c>
      <c r="E358" t="s">
        <v>14</v>
      </c>
      <c r="F358" s="3">
        <v>46287.35765046296</v>
      </c>
      <c r="G358" s="3">
        <v>46287.35765046296</v>
      </c>
      <c r="H358" t="s">
        <v>105</v>
      </c>
      <c r="I358" t="s">
        <v>7</v>
      </c>
      <c r="K358" t="s">
        <v>67</v>
      </c>
      <c r="L358" s="10"/>
      <c r="N35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58" s="3"/>
      <c r="P358" s="3"/>
      <c r="Q358" s="3"/>
      <c r="R35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58" t="str">
        <f>IF(SCTR_Brokers[[#This Row],[FechaRecepcion]]="","",TEXT(SCTR_Brokers[[#This Row],[FechaRecepcion]],"mmmm")&amp;" "&amp;YEAR(SCTR_Brokers[[#This Row],[FechaRecepcion]]))</f>
        <v>septiembre 2026</v>
      </c>
      <c r="U358">
        <f>IF(SCTR_Brokers[[#This Row],[Estado]]="FINALIZADO",1,0)</f>
        <v>1</v>
      </c>
      <c r="V358">
        <f>IF(SCTR_Brokers[[#This Row],[FechaRecepcion]]="","",IF(SCTR_Brokers[[#This Row],[Estado]]="FINALIZADO",0,1))</f>
        <v>0</v>
      </c>
      <c r="W358">
        <f ca="1">IF(AND(SCTR_Brokers[[#This Row],[Estado]]="FINALIZADO",SCTR_Brokers[[#This Row],[Plazo]]=LISTAS!$J$3),1,0)</f>
        <v>0</v>
      </c>
      <c r="X358">
        <f ca="1">IF(AND(SCTR_Brokers[[#This Row],[Estado]]="FINALIZADO",SCTR_Brokers[[#This Row],[Plazo]]=LISTAS!$J$4),1,0)</f>
        <v>1</v>
      </c>
      <c r="Y358">
        <f ca="1">IF(AND(SCTR_Brokers[[#This Row],[Estado]]&lt;&gt;"FINALIZADO",SCTR_Brokers[[#This Row],[Plazo]]=LISTAS!$J$4),1,0)</f>
        <v>0</v>
      </c>
      <c r="Z358">
        <f>IF(SCTR_Brokers[[#This Row],[Fecha_Solic_Informe]]="",0,1)</f>
        <v>0</v>
      </c>
      <c r="AA358">
        <f>IF(SCTR_Brokers[[#This Row],[Fecha_Informe]]="",0,1)</f>
        <v>0</v>
      </c>
      <c r="AB358">
        <f>IF(AND(SCTR_Brokers[[#This Row],[Fecha_Solic_Informe]]&lt;&gt;"",SCTR_Brokers[[#This Row],[Fecha_Informe]]=""),1,0)</f>
        <v>0</v>
      </c>
      <c r="AC35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59" spans="1:29" hidden="1">
      <c r="A359" t="s">
        <v>813</v>
      </c>
      <c r="C359" t="str">
        <f>IF(SCTR_Brokers[[#This Row],[FechaRecepcion]]="","",SCTR_Brokers[[#This Row],[ConversationId]]&amp;"-"&amp;TEXT(SCTR_Brokers[[#This Row],[FechaRecepcion]],"aaaammddhhmmss"))</f>
        <v>AAQkADdkNThjNzFkLWM0ZmMtNDJhYS04MDVlLTIwNzE4ZDI1Mzg4YgAQAKs-qvwA6HhFtQ8aem4I2io=-20260922090536</v>
      </c>
      <c r="D359" s="16" t="s">
        <v>814</v>
      </c>
      <c r="E359" t="s">
        <v>21</v>
      </c>
      <c r="F359" s="3">
        <v>46287.378888888888</v>
      </c>
      <c r="G359" s="3">
        <v>46287.378888888888</v>
      </c>
      <c r="H359" t="s">
        <v>815</v>
      </c>
      <c r="I359" t="s">
        <v>7</v>
      </c>
      <c r="K359" t="s">
        <v>67</v>
      </c>
      <c r="L359" s="10"/>
      <c r="N35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59" s="3"/>
      <c r="P359" s="3"/>
      <c r="Q359" s="3"/>
      <c r="R35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59" t="str">
        <f>IF(SCTR_Brokers[[#This Row],[FechaRecepcion]]="","",TEXT(SCTR_Brokers[[#This Row],[FechaRecepcion]],"mmmm")&amp;" "&amp;YEAR(SCTR_Brokers[[#This Row],[FechaRecepcion]]))</f>
        <v>septiembre 2026</v>
      </c>
      <c r="U359">
        <f>IF(SCTR_Brokers[[#This Row],[Estado]]="FINALIZADO",1,0)</f>
        <v>1</v>
      </c>
      <c r="V359">
        <f>IF(SCTR_Brokers[[#This Row],[FechaRecepcion]]="","",IF(SCTR_Brokers[[#This Row],[Estado]]="FINALIZADO",0,1))</f>
        <v>0</v>
      </c>
      <c r="W359">
        <f ca="1">IF(AND(SCTR_Brokers[[#This Row],[Estado]]="FINALIZADO",SCTR_Brokers[[#This Row],[Plazo]]=LISTAS!$J$3),1,0)</f>
        <v>0</v>
      </c>
      <c r="X359">
        <f ca="1">IF(AND(SCTR_Brokers[[#This Row],[Estado]]="FINALIZADO",SCTR_Brokers[[#This Row],[Plazo]]=LISTAS!$J$4),1,0)</f>
        <v>1</v>
      </c>
      <c r="Y359">
        <f ca="1">IF(AND(SCTR_Brokers[[#This Row],[Estado]]&lt;&gt;"FINALIZADO",SCTR_Brokers[[#This Row],[Plazo]]=LISTAS!$J$4),1,0)</f>
        <v>0</v>
      </c>
      <c r="Z359">
        <f>IF(SCTR_Brokers[[#This Row],[Fecha_Solic_Informe]]="",0,1)</f>
        <v>0</v>
      </c>
      <c r="AA359">
        <f>IF(SCTR_Brokers[[#This Row],[Fecha_Informe]]="",0,1)</f>
        <v>0</v>
      </c>
      <c r="AB359">
        <f>IF(AND(SCTR_Brokers[[#This Row],[Fecha_Solic_Informe]]&lt;&gt;"",SCTR_Brokers[[#This Row],[Fecha_Informe]]=""),1,0)</f>
        <v>0</v>
      </c>
      <c r="AC35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60" spans="1:29" hidden="1">
      <c r="A360" t="s">
        <v>816</v>
      </c>
      <c r="C360" t="str">
        <f>IF(SCTR_Brokers[[#This Row],[FechaRecepcion]]="","",SCTR_Brokers[[#This Row],[ConversationId]]&amp;"-"&amp;TEXT(SCTR_Brokers[[#This Row],[FechaRecepcion]],"aaaammddhhmmss"))</f>
        <v>AAQkADdkNThjNzFkLWM0ZmMtNDJhYS04MDVlLTIwNzE4ZDI1Mzg4YgAQAKXoWha1tKBAsSxS2xUCYjc=-20260922111852</v>
      </c>
      <c r="D360" s="16" t="s">
        <v>817</v>
      </c>
      <c r="E360" t="s">
        <v>21</v>
      </c>
      <c r="F360" s="3">
        <v>46287.471435185187</v>
      </c>
      <c r="G360" s="3">
        <v>46287.642592592594</v>
      </c>
      <c r="H360" t="s">
        <v>569</v>
      </c>
      <c r="I360" t="s">
        <v>7</v>
      </c>
      <c r="K360" t="s">
        <v>67</v>
      </c>
      <c r="L360" s="10"/>
      <c r="N36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60" s="3"/>
      <c r="P360" s="3"/>
      <c r="Q360" s="3"/>
      <c r="R36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60" t="str">
        <f>IF(SCTR_Brokers[[#This Row],[FechaRecepcion]]="","",TEXT(SCTR_Brokers[[#This Row],[FechaRecepcion]],"mmmm")&amp;" "&amp;YEAR(SCTR_Brokers[[#This Row],[FechaRecepcion]]))</f>
        <v>septiembre 2026</v>
      </c>
      <c r="U360">
        <f>IF(SCTR_Brokers[[#This Row],[Estado]]="FINALIZADO",1,0)</f>
        <v>1</v>
      </c>
      <c r="V360">
        <f>IF(SCTR_Brokers[[#This Row],[FechaRecepcion]]="","",IF(SCTR_Brokers[[#This Row],[Estado]]="FINALIZADO",0,1))</f>
        <v>0</v>
      </c>
      <c r="W360">
        <f ca="1">IF(AND(SCTR_Brokers[[#This Row],[Estado]]="FINALIZADO",SCTR_Brokers[[#This Row],[Plazo]]=LISTAS!$J$3),1,0)</f>
        <v>0</v>
      </c>
      <c r="X360">
        <f ca="1">IF(AND(SCTR_Brokers[[#This Row],[Estado]]="FINALIZADO",SCTR_Brokers[[#This Row],[Plazo]]=LISTAS!$J$4),1,0)</f>
        <v>1</v>
      </c>
      <c r="Y360">
        <f ca="1">IF(AND(SCTR_Brokers[[#This Row],[Estado]]&lt;&gt;"FINALIZADO",SCTR_Brokers[[#This Row],[Plazo]]=LISTAS!$J$4),1,0)</f>
        <v>0</v>
      </c>
      <c r="Z360">
        <f>IF(SCTR_Brokers[[#This Row],[Fecha_Solic_Informe]]="",0,1)</f>
        <v>0</v>
      </c>
      <c r="AA360">
        <f>IF(SCTR_Brokers[[#This Row],[Fecha_Informe]]="",0,1)</f>
        <v>0</v>
      </c>
      <c r="AB360">
        <f>IF(AND(SCTR_Brokers[[#This Row],[Fecha_Solic_Informe]]&lt;&gt;"",SCTR_Brokers[[#This Row],[Fecha_Informe]]=""),1,0)</f>
        <v>0</v>
      </c>
      <c r="AC36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61" spans="1:29" hidden="1">
      <c r="A361" t="s">
        <v>818</v>
      </c>
      <c r="C361" t="str">
        <f>IF(SCTR_Brokers[[#This Row],[FechaRecepcion]]="","",SCTR_Brokers[[#This Row],[ConversationId]]&amp;"-"&amp;TEXT(SCTR_Brokers[[#This Row],[FechaRecepcion]],"aaaammddhhmmss"))</f>
        <v>AAQkADdkNThjNzFkLWM0ZmMtNDJhYS04MDVlLTIwNzE4ZDI1Mzg4YgAQAGM-od7pwE82kc5U3tEu-xo=-20260922141504</v>
      </c>
      <c r="D361" s="16" t="s">
        <v>819</v>
      </c>
      <c r="E361" t="s">
        <v>21</v>
      </c>
      <c r="F361" s="3">
        <v>46287.5937962963</v>
      </c>
      <c r="G361" s="3">
        <v>46288.5312962963</v>
      </c>
      <c r="H361" t="s">
        <v>758</v>
      </c>
      <c r="I361" t="s">
        <v>7</v>
      </c>
      <c r="K361" t="s">
        <v>67</v>
      </c>
      <c r="L361" s="10"/>
      <c r="N36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61" s="3"/>
      <c r="P361" s="3"/>
      <c r="Q361" s="3"/>
      <c r="R36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61" t="str">
        <f>IF(SCTR_Brokers[[#This Row],[FechaRecepcion]]="","",TEXT(SCTR_Brokers[[#This Row],[FechaRecepcion]],"mmmm")&amp;" "&amp;YEAR(SCTR_Brokers[[#This Row],[FechaRecepcion]]))</f>
        <v>septiembre 2026</v>
      </c>
      <c r="U361">
        <f>IF(SCTR_Brokers[[#This Row],[Estado]]="FINALIZADO",1,0)</f>
        <v>1</v>
      </c>
      <c r="V361">
        <f>IF(SCTR_Brokers[[#This Row],[FechaRecepcion]]="","",IF(SCTR_Brokers[[#This Row],[Estado]]="FINALIZADO",0,1))</f>
        <v>0</v>
      </c>
      <c r="W361">
        <f ca="1">IF(AND(SCTR_Brokers[[#This Row],[Estado]]="FINALIZADO",SCTR_Brokers[[#This Row],[Plazo]]=LISTAS!$J$3),1,0)</f>
        <v>0</v>
      </c>
      <c r="X361">
        <f ca="1">IF(AND(SCTR_Brokers[[#This Row],[Estado]]="FINALIZADO",SCTR_Brokers[[#This Row],[Plazo]]=LISTAS!$J$4),1,0)</f>
        <v>1</v>
      </c>
      <c r="Y361">
        <f ca="1">IF(AND(SCTR_Brokers[[#This Row],[Estado]]&lt;&gt;"FINALIZADO",SCTR_Brokers[[#This Row],[Plazo]]=LISTAS!$J$4),1,0)</f>
        <v>0</v>
      </c>
      <c r="Z361">
        <f>IF(SCTR_Brokers[[#This Row],[Fecha_Solic_Informe]]="",0,1)</f>
        <v>0</v>
      </c>
      <c r="AA361">
        <f>IF(SCTR_Brokers[[#This Row],[Fecha_Informe]]="",0,1)</f>
        <v>0</v>
      </c>
      <c r="AB361">
        <f>IF(AND(SCTR_Brokers[[#This Row],[Fecha_Solic_Informe]]&lt;&gt;"",SCTR_Brokers[[#This Row],[Fecha_Informe]]=""),1,0)</f>
        <v>0</v>
      </c>
      <c r="AC36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62" spans="1:29" hidden="1">
      <c r="A362" t="s">
        <v>820</v>
      </c>
      <c r="C362" t="str">
        <f>IF(SCTR_Brokers[[#This Row],[FechaRecepcion]]="","",SCTR_Brokers[[#This Row],[ConversationId]]&amp;"-"&amp;TEXT(SCTR_Brokers[[#This Row],[FechaRecepcion]],"aaaammddhhmmss"))</f>
        <v>AAQkADdkNThjNzFkLWM0ZmMtNDJhYS04MDVlLTIwNzE4ZDI1Mzg4YgAQAOwUsSj762BMmR8bRDLEDSU=-20260922144140</v>
      </c>
      <c r="D362" s="16" t="s">
        <v>821</v>
      </c>
      <c r="E362" t="s">
        <v>21</v>
      </c>
      <c r="F362" s="3">
        <v>46287.612268518518</v>
      </c>
      <c r="G362" s="3">
        <v>46287.612268518518</v>
      </c>
      <c r="H362" t="s">
        <v>753</v>
      </c>
      <c r="I362" t="s">
        <v>7</v>
      </c>
      <c r="K362" t="s">
        <v>67</v>
      </c>
      <c r="L362" s="10"/>
      <c r="N36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62" s="3"/>
      <c r="P362" s="3"/>
      <c r="Q362" s="3"/>
      <c r="R36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62" t="str">
        <f>IF(SCTR_Brokers[[#This Row],[FechaRecepcion]]="","",TEXT(SCTR_Brokers[[#This Row],[FechaRecepcion]],"mmmm")&amp;" "&amp;YEAR(SCTR_Brokers[[#This Row],[FechaRecepcion]]))</f>
        <v>septiembre 2026</v>
      </c>
      <c r="U362">
        <f>IF(SCTR_Brokers[[#This Row],[Estado]]="FINALIZADO",1,0)</f>
        <v>1</v>
      </c>
      <c r="V362">
        <f>IF(SCTR_Brokers[[#This Row],[FechaRecepcion]]="","",IF(SCTR_Brokers[[#This Row],[Estado]]="FINALIZADO",0,1))</f>
        <v>0</v>
      </c>
      <c r="W362">
        <f ca="1">IF(AND(SCTR_Brokers[[#This Row],[Estado]]="FINALIZADO",SCTR_Brokers[[#This Row],[Plazo]]=LISTAS!$J$3),1,0)</f>
        <v>0</v>
      </c>
      <c r="X362">
        <f ca="1">IF(AND(SCTR_Brokers[[#This Row],[Estado]]="FINALIZADO",SCTR_Brokers[[#This Row],[Plazo]]=LISTAS!$J$4),1,0)</f>
        <v>1</v>
      </c>
      <c r="Y362">
        <f ca="1">IF(AND(SCTR_Brokers[[#This Row],[Estado]]&lt;&gt;"FINALIZADO",SCTR_Brokers[[#This Row],[Plazo]]=LISTAS!$J$4),1,0)</f>
        <v>0</v>
      </c>
      <c r="Z362">
        <f>IF(SCTR_Brokers[[#This Row],[Fecha_Solic_Informe]]="",0,1)</f>
        <v>0</v>
      </c>
      <c r="AA362">
        <f>IF(SCTR_Brokers[[#This Row],[Fecha_Informe]]="",0,1)</f>
        <v>0</v>
      </c>
      <c r="AB362">
        <f>IF(AND(SCTR_Brokers[[#This Row],[Fecha_Solic_Informe]]&lt;&gt;"",SCTR_Brokers[[#This Row],[Fecha_Informe]]=""),1,0)</f>
        <v>0</v>
      </c>
      <c r="AC36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63" spans="1:29" hidden="1">
      <c r="A363" t="s">
        <v>822</v>
      </c>
      <c r="C363" t="str">
        <f>IF(SCTR_Brokers[[#This Row],[FechaRecepcion]]="","",SCTR_Brokers[[#This Row],[ConversationId]]&amp;"-"&amp;TEXT(SCTR_Brokers[[#This Row],[FechaRecepcion]],"aaaammddhhmmss"))</f>
        <v>AAQkADdkNThjNzFkLWM0ZmMtNDJhYS04MDVlLTIwNzE4ZDI1Mzg4YgAQAHJXN6JXEzxMqKL_8RcqA6s=-20260922152848</v>
      </c>
      <c r="D363" s="16" t="s">
        <v>823</v>
      </c>
      <c r="E363" t="s">
        <v>21</v>
      </c>
      <c r="F363" s="3">
        <v>46287.644999999997</v>
      </c>
      <c r="G363" s="3">
        <v>46287.644999999997</v>
      </c>
      <c r="H363" t="s">
        <v>455</v>
      </c>
      <c r="I363" t="s">
        <v>7</v>
      </c>
      <c r="K363" t="s">
        <v>67</v>
      </c>
      <c r="L363" s="10"/>
      <c r="N36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63" s="3"/>
      <c r="P363" s="3"/>
      <c r="Q363" s="3"/>
      <c r="R36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63" t="str">
        <f>IF(SCTR_Brokers[[#This Row],[FechaRecepcion]]="","",TEXT(SCTR_Brokers[[#This Row],[FechaRecepcion]],"mmmm")&amp;" "&amp;YEAR(SCTR_Brokers[[#This Row],[FechaRecepcion]]))</f>
        <v>septiembre 2026</v>
      </c>
      <c r="U363">
        <f>IF(SCTR_Brokers[[#This Row],[Estado]]="FINALIZADO",1,0)</f>
        <v>1</v>
      </c>
      <c r="V363">
        <f>IF(SCTR_Brokers[[#This Row],[FechaRecepcion]]="","",IF(SCTR_Brokers[[#This Row],[Estado]]="FINALIZADO",0,1))</f>
        <v>0</v>
      </c>
      <c r="W363">
        <f ca="1">IF(AND(SCTR_Brokers[[#This Row],[Estado]]="FINALIZADO",SCTR_Brokers[[#This Row],[Plazo]]=LISTAS!$J$3),1,0)</f>
        <v>0</v>
      </c>
      <c r="X363">
        <f ca="1">IF(AND(SCTR_Brokers[[#This Row],[Estado]]="FINALIZADO",SCTR_Brokers[[#This Row],[Plazo]]=LISTAS!$J$4),1,0)</f>
        <v>1</v>
      </c>
      <c r="Y363">
        <f ca="1">IF(AND(SCTR_Brokers[[#This Row],[Estado]]&lt;&gt;"FINALIZADO",SCTR_Brokers[[#This Row],[Plazo]]=LISTAS!$J$4),1,0)</f>
        <v>0</v>
      </c>
      <c r="Z363">
        <f>IF(SCTR_Brokers[[#This Row],[Fecha_Solic_Informe]]="",0,1)</f>
        <v>0</v>
      </c>
      <c r="AA363">
        <f>IF(SCTR_Brokers[[#This Row],[Fecha_Informe]]="",0,1)</f>
        <v>0</v>
      </c>
      <c r="AB363">
        <f>IF(AND(SCTR_Brokers[[#This Row],[Fecha_Solic_Informe]]&lt;&gt;"",SCTR_Brokers[[#This Row],[Fecha_Informe]]=""),1,0)</f>
        <v>0</v>
      </c>
      <c r="AC36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64" spans="1:29" hidden="1">
      <c r="A364" t="s">
        <v>824</v>
      </c>
      <c r="C364" t="str">
        <f>IF(SCTR_Brokers[[#This Row],[FechaRecepcion]]="","",SCTR_Brokers[[#This Row],[ConversationId]]&amp;"-"&amp;TEXT(SCTR_Brokers[[#This Row],[FechaRecepcion]],"aaaammddhhmmss"))</f>
        <v>AAQkADdkNThjNzFkLWM0ZmMtNDJhYS04MDVlLTIwNzE4ZDI1Mzg4YgAQAFSjqdGzbBpAl1qdMNAyp8k=-20260922155814</v>
      </c>
      <c r="D364" s="16" t="s">
        <v>825</v>
      </c>
      <c r="E364" t="s">
        <v>8</v>
      </c>
      <c r="F364" s="3">
        <v>46287.665439814817</v>
      </c>
      <c r="G364" s="3">
        <v>46287.665439814817</v>
      </c>
      <c r="H364" t="s">
        <v>609</v>
      </c>
      <c r="I364" t="s">
        <v>7</v>
      </c>
      <c r="K364" t="s">
        <v>67</v>
      </c>
      <c r="L364" s="10"/>
      <c r="N36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64" s="3"/>
      <c r="P364" s="3"/>
      <c r="Q364" s="3"/>
      <c r="R36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64" t="str">
        <f>IF(SCTR_Brokers[[#This Row],[FechaRecepcion]]="","",TEXT(SCTR_Brokers[[#This Row],[FechaRecepcion]],"mmmm")&amp;" "&amp;YEAR(SCTR_Brokers[[#This Row],[FechaRecepcion]]))</f>
        <v>septiembre 2026</v>
      </c>
      <c r="U364">
        <f>IF(SCTR_Brokers[[#This Row],[Estado]]="FINALIZADO",1,0)</f>
        <v>1</v>
      </c>
      <c r="V364">
        <f>IF(SCTR_Brokers[[#This Row],[FechaRecepcion]]="","",IF(SCTR_Brokers[[#This Row],[Estado]]="FINALIZADO",0,1))</f>
        <v>0</v>
      </c>
      <c r="W364">
        <f ca="1">IF(AND(SCTR_Brokers[[#This Row],[Estado]]="FINALIZADO",SCTR_Brokers[[#This Row],[Plazo]]=LISTAS!$J$3),1,0)</f>
        <v>0</v>
      </c>
      <c r="X364">
        <f ca="1">IF(AND(SCTR_Brokers[[#This Row],[Estado]]="FINALIZADO",SCTR_Brokers[[#This Row],[Plazo]]=LISTAS!$J$4),1,0)</f>
        <v>1</v>
      </c>
      <c r="Y364">
        <f ca="1">IF(AND(SCTR_Brokers[[#This Row],[Estado]]&lt;&gt;"FINALIZADO",SCTR_Brokers[[#This Row],[Plazo]]=LISTAS!$J$4),1,0)</f>
        <v>0</v>
      </c>
      <c r="Z364">
        <f>IF(SCTR_Brokers[[#This Row],[Fecha_Solic_Informe]]="",0,1)</f>
        <v>0</v>
      </c>
      <c r="AA364">
        <f>IF(SCTR_Brokers[[#This Row],[Fecha_Informe]]="",0,1)</f>
        <v>0</v>
      </c>
      <c r="AB364">
        <f>IF(AND(SCTR_Brokers[[#This Row],[Fecha_Solic_Informe]]&lt;&gt;"",SCTR_Brokers[[#This Row],[Fecha_Informe]]=""),1,0)</f>
        <v>0</v>
      </c>
      <c r="AC36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65" spans="1:29" hidden="1">
      <c r="A365" t="s">
        <v>826</v>
      </c>
      <c r="C365" t="str">
        <f>IF(SCTR_Brokers[[#This Row],[FechaRecepcion]]="","",SCTR_Brokers[[#This Row],[ConversationId]]&amp;"-"&amp;TEXT(SCTR_Brokers[[#This Row],[FechaRecepcion]],"aaaammddhhmmss"))</f>
        <v>AAQkADdkNThjNzFkLWM0ZmMtNDJhYS04MDVlLTIwNzE4ZDI1Mzg4YgAQAALeQgvmdFFHrI-n3_cE8rc=-20260922174401</v>
      </c>
      <c r="D365" s="16" t="s">
        <v>827</v>
      </c>
      <c r="E365" t="s">
        <v>20</v>
      </c>
      <c r="F365" s="3">
        <v>46287.738900462966</v>
      </c>
      <c r="G365" s="3">
        <v>46288.509166666663</v>
      </c>
      <c r="H365" t="s">
        <v>828</v>
      </c>
      <c r="I365" t="s">
        <v>7</v>
      </c>
      <c r="K365" t="s">
        <v>67</v>
      </c>
      <c r="L365" s="10"/>
      <c r="N36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65" s="3"/>
      <c r="P365" s="3"/>
      <c r="Q365" s="3"/>
      <c r="R36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65" t="str">
        <f>IF(SCTR_Brokers[[#This Row],[FechaRecepcion]]="","",TEXT(SCTR_Brokers[[#This Row],[FechaRecepcion]],"mmmm")&amp;" "&amp;YEAR(SCTR_Brokers[[#This Row],[FechaRecepcion]]))</f>
        <v>septiembre 2026</v>
      </c>
      <c r="U365">
        <f>IF(SCTR_Brokers[[#This Row],[Estado]]="FINALIZADO",1,0)</f>
        <v>1</v>
      </c>
      <c r="V365">
        <f>IF(SCTR_Brokers[[#This Row],[FechaRecepcion]]="","",IF(SCTR_Brokers[[#This Row],[Estado]]="FINALIZADO",0,1))</f>
        <v>0</v>
      </c>
      <c r="W365">
        <f ca="1">IF(AND(SCTR_Brokers[[#This Row],[Estado]]="FINALIZADO",SCTR_Brokers[[#This Row],[Plazo]]=LISTAS!$J$3),1,0)</f>
        <v>0</v>
      </c>
      <c r="X365">
        <f ca="1">IF(AND(SCTR_Brokers[[#This Row],[Estado]]="FINALIZADO",SCTR_Brokers[[#This Row],[Plazo]]=LISTAS!$J$4),1,0)</f>
        <v>1</v>
      </c>
      <c r="Y365">
        <f ca="1">IF(AND(SCTR_Brokers[[#This Row],[Estado]]&lt;&gt;"FINALIZADO",SCTR_Brokers[[#This Row],[Plazo]]=LISTAS!$J$4),1,0)</f>
        <v>0</v>
      </c>
      <c r="Z365">
        <f>IF(SCTR_Brokers[[#This Row],[Fecha_Solic_Informe]]="",0,1)</f>
        <v>0</v>
      </c>
      <c r="AA365">
        <f>IF(SCTR_Brokers[[#This Row],[Fecha_Informe]]="",0,1)</f>
        <v>0</v>
      </c>
      <c r="AB365">
        <f>IF(AND(SCTR_Brokers[[#This Row],[Fecha_Solic_Informe]]&lt;&gt;"",SCTR_Brokers[[#This Row],[Fecha_Informe]]=""),1,0)</f>
        <v>0</v>
      </c>
      <c r="AC36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66" spans="1:29" hidden="1">
      <c r="A366" t="s">
        <v>829</v>
      </c>
      <c r="C366" t="str">
        <f>IF(SCTR_Brokers[[#This Row],[FechaRecepcion]]="","",SCTR_Brokers[[#This Row],[ConversationId]]&amp;"-"&amp;TEXT(SCTR_Brokers[[#This Row],[FechaRecepcion]],"aaaammddhhmmss"))</f>
        <v>AAQkADdkNThjNzFkLWM0ZmMtNDJhYS04MDVlLTIwNzE4ZDI1Mzg4YgAQAD6xPm23t0VMhBGZyiEsuj8=-20260922180357</v>
      </c>
      <c r="D366" s="16" t="s">
        <v>830</v>
      </c>
      <c r="E366" t="s">
        <v>14</v>
      </c>
      <c r="F366" s="3">
        <v>46287.752743055556</v>
      </c>
      <c r="G366" s="3">
        <v>46287.752743055556</v>
      </c>
      <c r="H366" t="s">
        <v>135</v>
      </c>
      <c r="I366" t="s">
        <v>7</v>
      </c>
      <c r="K366" t="s">
        <v>67</v>
      </c>
      <c r="L366" s="10"/>
      <c r="N36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66" s="3"/>
      <c r="P366" s="3"/>
      <c r="Q366" s="3"/>
      <c r="R36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66" t="str">
        <f>IF(SCTR_Brokers[[#This Row],[FechaRecepcion]]="","",TEXT(SCTR_Brokers[[#This Row],[FechaRecepcion]],"mmmm")&amp;" "&amp;YEAR(SCTR_Brokers[[#This Row],[FechaRecepcion]]))</f>
        <v>septiembre 2026</v>
      </c>
      <c r="U366">
        <f>IF(SCTR_Brokers[[#This Row],[Estado]]="FINALIZADO",1,0)</f>
        <v>1</v>
      </c>
      <c r="V366">
        <f>IF(SCTR_Brokers[[#This Row],[FechaRecepcion]]="","",IF(SCTR_Brokers[[#This Row],[Estado]]="FINALIZADO",0,1))</f>
        <v>0</v>
      </c>
      <c r="W366">
        <f ca="1">IF(AND(SCTR_Brokers[[#This Row],[Estado]]="FINALIZADO",SCTR_Brokers[[#This Row],[Plazo]]=LISTAS!$J$3),1,0)</f>
        <v>0</v>
      </c>
      <c r="X366">
        <f ca="1">IF(AND(SCTR_Brokers[[#This Row],[Estado]]="FINALIZADO",SCTR_Brokers[[#This Row],[Plazo]]=LISTAS!$J$4),1,0)</f>
        <v>1</v>
      </c>
      <c r="Y366">
        <f ca="1">IF(AND(SCTR_Brokers[[#This Row],[Estado]]&lt;&gt;"FINALIZADO",SCTR_Brokers[[#This Row],[Plazo]]=LISTAS!$J$4),1,0)</f>
        <v>0</v>
      </c>
      <c r="Z366">
        <f>IF(SCTR_Brokers[[#This Row],[Fecha_Solic_Informe]]="",0,1)</f>
        <v>0</v>
      </c>
      <c r="AA366">
        <f>IF(SCTR_Brokers[[#This Row],[Fecha_Informe]]="",0,1)</f>
        <v>0</v>
      </c>
      <c r="AB366">
        <f>IF(AND(SCTR_Brokers[[#This Row],[Fecha_Solic_Informe]]&lt;&gt;"",SCTR_Brokers[[#This Row],[Fecha_Informe]]=""),1,0)</f>
        <v>0</v>
      </c>
      <c r="AC36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67" spans="1:29" hidden="1">
      <c r="A367" t="s">
        <v>831</v>
      </c>
      <c r="C367" t="str">
        <f>IF(SCTR_Brokers[[#This Row],[FechaRecepcion]]="","",SCTR_Brokers[[#This Row],[ConversationId]]&amp;"-"&amp;TEXT(SCTR_Brokers[[#This Row],[FechaRecepcion]],"aaaammddhhmmss"))</f>
        <v>AAQkADdkNThjNzFkLWM0ZmMtNDJhYS04MDVlLTIwNzE4ZDI1Mzg4YgAQANNyp3CCoNpBrgSEaxK4z4A=-20260923012950</v>
      </c>
      <c r="D367" s="16" t="s">
        <v>832</v>
      </c>
      <c r="E367" t="s">
        <v>20</v>
      </c>
      <c r="F367" s="3">
        <v>46288.062384259261</v>
      </c>
      <c r="G367" s="3">
        <v>46288.062384259261</v>
      </c>
      <c r="H367" t="s">
        <v>833</v>
      </c>
      <c r="I367" t="s">
        <v>7</v>
      </c>
      <c r="K367" t="s">
        <v>67</v>
      </c>
      <c r="L367" s="10"/>
      <c r="N36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67" s="3"/>
      <c r="P367" s="3"/>
      <c r="Q367" s="3"/>
      <c r="R36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67" t="str">
        <f>IF(SCTR_Brokers[[#This Row],[FechaRecepcion]]="","",TEXT(SCTR_Brokers[[#This Row],[FechaRecepcion]],"mmmm")&amp;" "&amp;YEAR(SCTR_Brokers[[#This Row],[FechaRecepcion]]))</f>
        <v>septiembre 2026</v>
      </c>
      <c r="U367">
        <f>IF(SCTR_Brokers[[#This Row],[Estado]]="FINALIZADO",1,0)</f>
        <v>1</v>
      </c>
      <c r="V367">
        <f>IF(SCTR_Brokers[[#This Row],[FechaRecepcion]]="","",IF(SCTR_Brokers[[#This Row],[Estado]]="FINALIZADO",0,1))</f>
        <v>0</v>
      </c>
      <c r="W367">
        <f ca="1">IF(AND(SCTR_Brokers[[#This Row],[Estado]]="FINALIZADO",SCTR_Brokers[[#This Row],[Plazo]]=LISTAS!$J$3),1,0)</f>
        <v>0</v>
      </c>
      <c r="X367">
        <f ca="1">IF(AND(SCTR_Brokers[[#This Row],[Estado]]="FINALIZADO",SCTR_Brokers[[#This Row],[Plazo]]=LISTAS!$J$4),1,0)</f>
        <v>1</v>
      </c>
      <c r="Y367">
        <f ca="1">IF(AND(SCTR_Brokers[[#This Row],[Estado]]&lt;&gt;"FINALIZADO",SCTR_Brokers[[#This Row],[Plazo]]=LISTAS!$J$4),1,0)</f>
        <v>0</v>
      </c>
      <c r="Z367">
        <f>IF(SCTR_Brokers[[#This Row],[Fecha_Solic_Informe]]="",0,1)</f>
        <v>0</v>
      </c>
      <c r="AA367">
        <f>IF(SCTR_Brokers[[#This Row],[Fecha_Informe]]="",0,1)</f>
        <v>0</v>
      </c>
      <c r="AB367">
        <f>IF(AND(SCTR_Brokers[[#This Row],[Fecha_Solic_Informe]]&lt;&gt;"",SCTR_Brokers[[#This Row],[Fecha_Informe]]=""),1,0)</f>
        <v>0</v>
      </c>
      <c r="AC36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68" spans="1:29" hidden="1">
      <c r="A368" t="s">
        <v>834</v>
      </c>
      <c r="C368" t="str">
        <f>IF(SCTR_Brokers[[#This Row],[FechaRecepcion]]="","",SCTR_Brokers[[#This Row],[ConversationId]]&amp;"-"&amp;TEXT(SCTR_Brokers[[#This Row],[FechaRecepcion]],"aaaammddhhmmss"))</f>
        <v>AAQkADdkNThjNzFkLWM0ZmMtNDJhYS04MDVlLTIwNzE4ZDI1Mzg4YgAQAPtHzEMBgUJisXLk6swj5hk=-20260923094037</v>
      </c>
      <c r="D368" s="16" t="s">
        <v>835</v>
      </c>
      <c r="E368" t="s">
        <v>8</v>
      </c>
      <c r="F368" s="3">
        <v>46288.40320601852</v>
      </c>
      <c r="G368" s="3">
        <v>46288.684201388889</v>
      </c>
      <c r="H368" t="s">
        <v>606</v>
      </c>
      <c r="I368" t="s">
        <v>7</v>
      </c>
      <c r="K368" t="s">
        <v>67</v>
      </c>
      <c r="L368" s="10"/>
      <c r="N36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68" s="3"/>
      <c r="P368" s="3"/>
      <c r="Q368" s="3"/>
      <c r="R36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68" t="str">
        <f>IF(SCTR_Brokers[[#This Row],[FechaRecepcion]]="","",TEXT(SCTR_Brokers[[#This Row],[FechaRecepcion]],"mmmm")&amp;" "&amp;YEAR(SCTR_Brokers[[#This Row],[FechaRecepcion]]))</f>
        <v>septiembre 2026</v>
      </c>
      <c r="U368">
        <f>IF(SCTR_Brokers[[#This Row],[Estado]]="FINALIZADO",1,0)</f>
        <v>1</v>
      </c>
      <c r="V368">
        <f>IF(SCTR_Brokers[[#This Row],[FechaRecepcion]]="","",IF(SCTR_Brokers[[#This Row],[Estado]]="FINALIZADO",0,1))</f>
        <v>0</v>
      </c>
      <c r="W368">
        <f ca="1">IF(AND(SCTR_Brokers[[#This Row],[Estado]]="FINALIZADO",SCTR_Brokers[[#This Row],[Plazo]]=LISTAS!$J$3),1,0)</f>
        <v>0</v>
      </c>
      <c r="X368">
        <f ca="1">IF(AND(SCTR_Brokers[[#This Row],[Estado]]="FINALIZADO",SCTR_Brokers[[#This Row],[Plazo]]=LISTAS!$J$4),1,0)</f>
        <v>1</v>
      </c>
      <c r="Y368">
        <f ca="1">IF(AND(SCTR_Brokers[[#This Row],[Estado]]&lt;&gt;"FINALIZADO",SCTR_Brokers[[#This Row],[Plazo]]=LISTAS!$J$4),1,0)</f>
        <v>0</v>
      </c>
      <c r="Z368">
        <f>IF(SCTR_Brokers[[#This Row],[Fecha_Solic_Informe]]="",0,1)</f>
        <v>0</v>
      </c>
      <c r="AA368">
        <f>IF(SCTR_Brokers[[#This Row],[Fecha_Informe]]="",0,1)</f>
        <v>0</v>
      </c>
      <c r="AB368">
        <f>IF(AND(SCTR_Brokers[[#This Row],[Fecha_Solic_Informe]]&lt;&gt;"",SCTR_Brokers[[#This Row],[Fecha_Informe]]=""),1,0)</f>
        <v>0</v>
      </c>
      <c r="AC36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69" spans="1:29" hidden="1">
      <c r="A369" t="s">
        <v>836</v>
      </c>
      <c r="C369" t="str">
        <f>IF(SCTR_Brokers[[#This Row],[FechaRecepcion]]="","",SCTR_Brokers[[#This Row],[ConversationId]]&amp;"-"&amp;TEXT(SCTR_Brokers[[#This Row],[FechaRecepcion]],"aaaammddhhmmss"))</f>
        <v>AAQkADdkNThjNzFkLWM0ZmMtNDJhYS04MDVlLTIwNzE4ZDI1Mzg4YgAQAGE3WJVmTnlPq01pAtNJCrg=-20260923133044</v>
      </c>
      <c r="D369" s="16" t="s">
        <v>837</v>
      </c>
      <c r="E369" t="s">
        <v>21</v>
      </c>
      <c r="F369" s="3">
        <v>46288.563009259262</v>
      </c>
      <c r="G369" s="3">
        <v>46290.448680555557</v>
      </c>
      <c r="H369" t="s">
        <v>838</v>
      </c>
      <c r="I369" t="s">
        <v>7</v>
      </c>
      <c r="K369" t="s">
        <v>67</v>
      </c>
      <c r="L369" s="10"/>
      <c r="N36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69" s="3"/>
      <c r="P369" s="3"/>
      <c r="Q369" s="3"/>
      <c r="R36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69" t="str">
        <f>IF(SCTR_Brokers[[#This Row],[FechaRecepcion]]="","",TEXT(SCTR_Brokers[[#This Row],[FechaRecepcion]],"mmmm")&amp;" "&amp;YEAR(SCTR_Brokers[[#This Row],[FechaRecepcion]]))</f>
        <v>septiembre 2026</v>
      </c>
      <c r="U369">
        <f>IF(SCTR_Brokers[[#This Row],[Estado]]="FINALIZADO",1,0)</f>
        <v>1</v>
      </c>
      <c r="V369">
        <f>IF(SCTR_Brokers[[#This Row],[FechaRecepcion]]="","",IF(SCTR_Brokers[[#This Row],[Estado]]="FINALIZADO",0,1))</f>
        <v>0</v>
      </c>
      <c r="W369">
        <f ca="1">IF(AND(SCTR_Brokers[[#This Row],[Estado]]="FINALIZADO",SCTR_Brokers[[#This Row],[Plazo]]=LISTAS!$J$3),1,0)</f>
        <v>0</v>
      </c>
      <c r="X369">
        <f ca="1">IF(AND(SCTR_Brokers[[#This Row],[Estado]]="FINALIZADO",SCTR_Brokers[[#This Row],[Plazo]]=LISTAS!$J$4),1,0)</f>
        <v>1</v>
      </c>
      <c r="Y369">
        <f ca="1">IF(AND(SCTR_Brokers[[#This Row],[Estado]]&lt;&gt;"FINALIZADO",SCTR_Brokers[[#This Row],[Plazo]]=LISTAS!$J$4),1,0)</f>
        <v>0</v>
      </c>
      <c r="Z369">
        <f>IF(SCTR_Brokers[[#This Row],[Fecha_Solic_Informe]]="",0,1)</f>
        <v>0</v>
      </c>
      <c r="AA369">
        <f>IF(SCTR_Brokers[[#This Row],[Fecha_Informe]]="",0,1)</f>
        <v>0</v>
      </c>
      <c r="AB369">
        <f>IF(AND(SCTR_Brokers[[#This Row],[Fecha_Solic_Informe]]&lt;&gt;"",SCTR_Brokers[[#This Row],[Fecha_Informe]]=""),1,0)</f>
        <v>0</v>
      </c>
      <c r="AC36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70" spans="1:29" hidden="1">
      <c r="A370" t="s">
        <v>839</v>
      </c>
      <c r="C370" t="str">
        <f>IF(SCTR_Brokers[[#This Row],[FechaRecepcion]]="","",SCTR_Brokers[[#This Row],[ConversationId]]&amp;"-"&amp;TEXT(SCTR_Brokers[[#This Row],[FechaRecepcion]],"aaaammddhhmmss"))</f>
        <v>AAQkADdkNThjNzFkLWM0ZmMtNDJhYS04MDVlLTIwNzE4ZDI1Mzg4YgAQACuMNQ7OOkvXp94wqTkjNrM=-20260923143005</v>
      </c>
      <c r="D370" s="16" t="s">
        <v>840</v>
      </c>
      <c r="E370" t="s">
        <v>21</v>
      </c>
      <c r="F370" s="3">
        <v>46288.604224537034</v>
      </c>
      <c r="G370" s="3">
        <v>46288.604224537034</v>
      </c>
      <c r="H370" t="s">
        <v>644</v>
      </c>
      <c r="I370" t="s">
        <v>7</v>
      </c>
      <c r="K370" t="s">
        <v>67</v>
      </c>
      <c r="L370" s="10"/>
      <c r="N37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70" s="3"/>
      <c r="P370" s="3"/>
      <c r="Q370" s="3"/>
      <c r="R37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70" t="str">
        <f>IF(SCTR_Brokers[[#This Row],[FechaRecepcion]]="","",TEXT(SCTR_Brokers[[#This Row],[FechaRecepcion]],"mmmm")&amp;" "&amp;YEAR(SCTR_Brokers[[#This Row],[FechaRecepcion]]))</f>
        <v>septiembre 2026</v>
      </c>
      <c r="U370">
        <f>IF(SCTR_Brokers[[#This Row],[Estado]]="FINALIZADO",1,0)</f>
        <v>1</v>
      </c>
      <c r="V370">
        <f>IF(SCTR_Brokers[[#This Row],[FechaRecepcion]]="","",IF(SCTR_Brokers[[#This Row],[Estado]]="FINALIZADO",0,1))</f>
        <v>0</v>
      </c>
      <c r="W370">
        <f ca="1">IF(AND(SCTR_Brokers[[#This Row],[Estado]]="FINALIZADO",SCTR_Brokers[[#This Row],[Plazo]]=LISTAS!$J$3),1,0)</f>
        <v>0</v>
      </c>
      <c r="X370">
        <f ca="1">IF(AND(SCTR_Brokers[[#This Row],[Estado]]="FINALIZADO",SCTR_Brokers[[#This Row],[Plazo]]=LISTAS!$J$4),1,0)</f>
        <v>1</v>
      </c>
      <c r="Y370">
        <f ca="1">IF(AND(SCTR_Brokers[[#This Row],[Estado]]&lt;&gt;"FINALIZADO",SCTR_Brokers[[#This Row],[Plazo]]=LISTAS!$J$4),1,0)</f>
        <v>0</v>
      </c>
      <c r="Z370">
        <f>IF(SCTR_Brokers[[#This Row],[Fecha_Solic_Informe]]="",0,1)</f>
        <v>0</v>
      </c>
      <c r="AA370">
        <f>IF(SCTR_Brokers[[#This Row],[Fecha_Informe]]="",0,1)</f>
        <v>0</v>
      </c>
      <c r="AB370">
        <f>IF(AND(SCTR_Brokers[[#This Row],[Fecha_Solic_Informe]]&lt;&gt;"",SCTR_Brokers[[#This Row],[Fecha_Informe]]=""),1,0)</f>
        <v>0</v>
      </c>
      <c r="AC37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71" spans="1:29" hidden="1">
      <c r="A371" t="s">
        <v>841</v>
      </c>
      <c r="C371" t="str">
        <f>IF(SCTR_Brokers[[#This Row],[FechaRecepcion]]="","",SCTR_Brokers[[#This Row],[ConversationId]]&amp;"-"&amp;TEXT(SCTR_Brokers[[#This Row],[FechaRecepcion]],"aaaammddhhmmss"))</f>
        <v>AAQkADdkNThjNzFkLWM0ZmMtNDJhYS04MDVlLTIwNzE4ZDI1Mzg4YgAQAOXAXr656Ee_hIz_53gbig8=-20260923143800</v>
      </c>
      <c r="D371" s="16" t="s">
        <v>842</v>
      </c>
      <c r="E371" t="s">
        <v>21</v>
      </c>
      <c r="F371" s="3">
        <v>46288.609722222223</v>
      </c>
      <c r="G371" s="3">
        <v>46288.609722222223</v>
      </c>
      <c r="H371" t="s">
        <v>644</v>
      </c>
      <c r="I371" t="s">
        <v>7</v>
      </c>
      <c r="K371" t="s">
        <v>67</v>
      </c>
      <c r="L371" s="10"/>
      <c r="N37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71" s="3"/>
      <c r="P371" s="3"/>
      <c r="Q371" s="3"/>
      <c r="R37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71" t="str">
        <f>IF(SCTR_Brokers[[#This Row],[FechaRecepcion]]="","",TEXT(SCTR_Brokers[[#This Row],[FechaRecepcion]],"mmmm")&amp;" "&amp;YEAR(SCTR_Brokers[[#This Row],[FechaRecepcion]]))</f>
        <v>septiembre 2026</v>
      </c>
      <c r="U371">
        <f>IF(SCTR_Brokers[[#This Row],[Estado]]="FINALIZADO",1,0)</f>
        <v>1</v>
      </c>
      <c r="V371">
        <f>IF(SCTR_Brokers[[#This Row],[FechaRecepcion]]="","",IF(SCTR_Brokers[[#This Row],[Estado]]="FINALIZADO",0,1))</f>
        <v>0</v>
      </c>
      <c r="W371">
        <f ca="1">IF(AND(SCTR_Brokers[[#This Row],[Estado]]="FINALIZADO",SCTR_Brokers[[#This Row],[Plazo]]=LISTAS!$J$3),1,0)</f>
        <v>0</v>
      </c>
      <c r="X371">
        <f ca="1">IF(AND(SCTR_Brokers[[#This Row],[Estado]]="FINALIZADO",SCTR_Brokers[[#This Row],[Plazo]]=LISTAS!$J$4),1,0)</f>
        <v>1</v>
      </c>
      <c r="Y371">
        <f ca="1">IF(AND(SCTR_Brokers[[#This Row],[Estado]]&lt;&gt;"FINALIZADO",SCTR_Brokers[[#This Row],[Plazo]]=LISTAS!$J$4),1,0)</f>
        <v>0</v>
      </c>
      <c r="Z371">
        <f>IF(SCTR_Brokers[[#This Row],[Fecha_Solic_Informe]]="",0,1)</f>
        <v>0</v>
      </c>
      <c r="AA371">
        <f>IF(SCTR_Brokers[[#This Row],[Fecha_Informe]]="",0,1)</f>
        <v>0</v>
      </c>
      <c r="AB371">
        <f>IF(AND(SCTR_Brokers[[#This Row],[Fecha_Solic_Informe]]&lt;&gt;"",SCTR_Brokers[[#This Row],[Fecha_Informe]]=""),1,0)</f>
        <v>0</v>
      </c>
      <c r="AC37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72" spans="1:29" hidden="1">
      <c r="A372" t="s">
        <v>843</v>
      </c>
      <c r="C372" t="str">
        <f>IF(SCTR_Brokers[[#This Row],[FechaRecepcion]]="","",SCTR_Brokers[[#This Row],[ConversationId]]&amp;"-"&amp;TEXT(SCTR_Brokers[[#This Row],[FechaRecepcion]],"aaaammddhhmmss"))</f>
        <v>AAQkADdkNThjNzFkLWM0ZmMtNDJhYS04MDVlLTIwNzE4ZDI1Mzg4YgAQAGQzeymqCE05hnpOPuYd-OU=-20260923151521</v>
      </c>
      <c r="D372" s="16" t="s">
        <v>844</v>
      </c>
      <c r="E372" t="s">
        <v>21</v>
      </c>
      <c r="F372" s="3">
        <v>46288.635659722226</v>
      </c>
      <c r="G372" s="3">
        <v>46288.686678240738</v>
      </c>
      <c r="H372" t="s">
        <v>66</v>
      </c>
      <c r="I372" t="s">
        <v>7</v>
      </c>
      <c r="K372" t="s">
        <v>67</v>
      </c>
      <c r="L372" s="10"/>
      <c r="N37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72" s="3"/>
      <c r="P372" s="3"/>
      <c r="Q372" s="3"/>
      <c r="R37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72" t="str">
        <f>IF(SCTR_Brokers[[#This Row],[FechaRecepcion]]="","",TEXT(SCTR_Brokers[[#This Row],[FechaRecepcion]],"mmmm")&amp;" "&amp;YEAR(SCTR_Brokers[[#This Row],[FechaRecepcion]]))</f>
        <v>septiembre 2026</v>
      </c>
      <c r="U372">
        <f>IF(SCTR_Brokers[[#This Row],[Estado]]="FINALIZADO",1,0)</f>
        <v>1</v>
      </c>
      <c r="V372">
        <f>IF(SCTR_Brokers[[#This Row],[FechaRecepcion]]="","",IF(SCTR_Brokers[[#This Row],[Estado]]="FINALIZADO",0,1))</f>
        <v>0</v>
      </c>
      <c r="W372">
        <f ca="1">IF(AND(SCTR_Brokers[[#This Row],[Estado]]="FINALIZADO",SCTR_Brokers[[#This Row],[Plazo]]=LISTAS!$J$3),1,0)</f>
        <v>0</v>
      </c>
      <c r="X372">
        <f ca="1">IF(AND(SCTR_Brokers[[#This Row],[Estado]]="FINALIZADO",SCTR_Brokers[[#This Row],[Plazo]]=LISTAS!$J$4),1,0)</f>
        <v>1</v>
      </c>
      <c r="Y372">
        <f ca="1">IF(AND(SCTR_Brokers[[#This Row],[Estado]]&lt;&gt;"FINALIZADO",SCTR_Brokers[[#This Row],[Plazo]]=LISTAS!$J$4),1,0)</f>
        <v>0</v>
      </c>
      <c r="Z372">
        <f>IF(SCTR_Brokers[[#This Row],[Fecha_Solic_Informe]]="",0,1)</f>
        <v>0</v>
      </c>
      <c r="AA372">
        <f>IF(SCTR_Brokers[[#This Row],[Fecha_Informe]]="",0,1)</f>
        <v>0</v>
      </c>
      <c r="AB372">
        <f>IF(AND(SCTR_Brokers[[#This Row],[Fecha_Solic_Informe]]&lt;&gt;"",SCTR_Brokers[[#This Row],[Fecha_Informe]]=""),1,0)</f>
        <v>0</v>
      </c>
      <c r="AC37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73" spans="1:29" hidden="1">
      <c r="A373" t="s">
        <v>845</v>
      </c>
      <c r="C373" t="str">
        <f>IF(SCTR_Brokers[[#This Row],[FechaRecepcion]]="","",SCTR_Brokers[[#This Row],[ConversationId]]&amp;"-"&amp;TEXT(SCTR_Brokers[[#This Row],[FechaRecepcion]],"aaaammddhhmmss"))</f>
        <v>AAQkADdkNThjNzFkLWM0ZmMtNDJhYS04MDVlLTIwNzE4ZDI1Mzg4YgAQABOKd9D3YNFNr8mQLlnjkKo=-20260923234843</v>
      </c>
      <c r="D373" s="16" t="s">
        <v>846</v>
      </c>
      <c r="E373" t="s">
        <v>23</v>
      </c>
      <c r="F373" s="3">
        <v>46288.992164351854</v>
      </c>
      <c r="G373" s="3">
        <v>46289.488252314812</v>
      </c>
      <c r="H373" t="s">
        <v>144</v>
      </c>
      <c r="I373" t="s">
        <v>7</v>
      </c>
      <c r="K373" t="s">
        <v>67</v>
      </c>
      <c r="L373" s="10"/>
      <c r="N37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73" s="3"/>
      <c r="P373" s="3"/>
      <c r="Q373" s="3"/>
      <c r="R37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73" t="str">
        <f>IF(SCTR_Brokers[[#This Row],[FechaRecepcion]]="","",TEXT(SCTR_Brokers[[#This Row],[FechaRecepcion]],"mmmm")&amp;" "&amp;YEAR(SCTR_Brokers[[#This Row],[FechaRecepcion]]))</f>
        <v>septiembre 2026</v>
      </c>
      <c r="U373">
        <f>IF(SCTR_Brokers[[#This Row],[Estado]]="FINALIZADO",1,0)</f>
        <v>1</v>
      </c>
      <c r="V373">
        <f>IF(SCTR_Brokers[[#This Row],[FechaRecepcion]]="","",IF(SCTR_Brokers[[#This Row],[Estado]]="FINALIZADO",0,1))</f>
        <v>0</v>
      </c>
      <c r="W373">
        <f ca="1">IF(AND(SCTR_Brokers[[#This Row],[Estado]]="FINALIZADO",SCTR_Brokers[[#This Row],[Plazo]]=LISTAS!$J$3),1,0)</f>
        <v>0</v>
      </c>
      <c r="X373">
        <f ca="1">IF(AND(SCTR_Brokers[[#This Row],[Estado]]="FINALIZADO",SCTR_Brokers[[#This Row],[Plazo]]=LISTAS!$J$4),1,0)</f>
        <v>1</v>
      </c>
      <c r="Y373">
        <f ca="1">IF(AND(SCTR_Brokers[[#This Row],[Estado]]&lt;&gt;"FINALIZADO",SCTR_Brokers[[#This Row],[Plazo]]=LISTAS!$J$4),1,0)</f>
        <v>0</v>
      </c>
      <c r="Z373">
        <f>IF(SCTR_Brokers[[#This Row],[Fecha_Solic_Informe]]="",0,1)</f>
        <v>0</v>
      </c>
      <c r="AA373">
        <f>IF(SCTR_Brokers[[#This Row],[Fecha_Informe]]="",0,1)</f>
        <v>0</v>
      </c>
      <c r="AB373">
        <f>IF(AND(SCTR_Brokers[[#This Row],[Fecha_Solic_Informe]]&lt;&gt;"",SCTR_Brokers[[#This Row],[Fecha_Informe]]=""),1,0)</f>
        <v>0</v>
      </c>
      <c r="AC37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74" spans="1:29" hidden="1">
      <c r="A374" t="s">
        <v>847</v>
      </c>
      <c r="C374" t="str">
        <f>IF(SCTR_Brokers[[#This Row],[FechaRecepcion]]="","",SCTR_Brokers[[#This Row],[ConversationId]]&amp;"-"&amp;TEXT(SCTR_Brokers[[#This Row],[FechaRecepcion]],"aaaammddhhmmss"))</f>
        <v>AAQkADdkNThjNzFkLWM0ZmMtNDJhYS04MDVlLTIwNzE4ZDI1Mzg4YgAQABv5NG4qxUJOkq-pv3-Zy1k=-20260924102638</v>
      </c>
      <c r="D374" s="16" t="s">
        <v>848</v>
      </c>
      <c r="E374" t="s">
        <v>20</v>
      </c>
      <c r="F374" s="3">
        <v>46289.435162037036</v>
      </c>
      <c r="G374" s="3">
        <v>46293.762002314812</v>
      </c>
      <c r="H374" t="s">
        <v>849</v>
      </c>
      <c r="I374" t="s">
        <v>7</v>
      </c>
      <c r="K374" t="s">
        <v>67</v>
      </c>
      <c r="L374" s="10"/>
      <c r="N37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74" s="3"/>
      <c r="P374" s="3"/>
      <c r="Q374" s="3">
        <v>46293.668749999997</v>
      </c>
      <c r="R37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74" t="str">
        <f>IF(SCTR_Brokers[[#This Row],[FechaRecepcion]]="","",TEXT(SCTR_Brokers[[#This Row],[FechaRecepcion]],"mmmm")&amp;" "&amp;YEAR(SCTR_Brokers[[#This Row],[FechaRecepcion]]))</f>
        <v>septiembre 2026</v>
      </c>
      <c r="U374">
        <f>IF(SCTR_Brokers[[#This Row],[Estado]]="FINALIZADO",1,0)</f>
        <v>1</v>
      </c>
      <c r="V374">
        <f>IF(SCTR_Brokers[[#This Row],[FechaRecepcion]]="","",IF(SCTR_Brokers[[#This Row],[Estado]]="FINALIZADO",0,1))</f>
        <v>0</v>
      </c>
      <c r="W374">
        <f ca="1">IF(AND(SCTR_Brokers[[#This Row],[Estado]]="FINALIZADO",SCTR_Brokers[[#This Row],[Plazo]]=LISTAS!$J$3),1,0)</f>
        <v>0</v>
      </c>
      <c r="X374">
        <f ca="1">IF(AND(SCTR_Brokers[[#This Row],[Estado]]="FINALIZADO",SCTR_Brokers[[#This Row],[Plazo]]=LISTAS!$J$4),1,0)</f>
        <v>1</v>
      </c>
      <c r="Y374">
        <f ca="1">IF(AND(SCTR_Brokers[[#This Row],[Estado]]&lt;&gt;"FINALIZADO",SCTR_Brokers[[#This Row],[Plazo]]=LISTAS!$J$4),1,0)</f>
        <v>0</v>
      </c>
      <c r="Z374">
        <f>IF(SCTR_Brokers[[#This Row],[Fecha_Solic_Informe]]="",0,1)</f>
        <v>0</v>
      </c>
      <c r="AA374">
        <f>IF(SCTR_Brokers[[#This Row],[Fecha_Informe]]="",0,1)</f>
        <v>0</v>
      </c>
      <c r="AB374">
        <f>IF(AND(SCTR_Brokers[[#This Row],[Fecha_Solic_Informe]]&lt;&gt;"",SCTR_Brokers[[#This Row],[Fecha_Informe]]=""),1,0)</f>
        <v>0</v>
      </c>
      <c r="AC37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75" spans="1:29" hidden="1">
      <c r="A375" t="s">
        <v>850</v>
      </c>
      <c r="C375" t="str">
        <f>IF(SCTR_Brokers[[#This Row],[FechaRecepcion]]="","",SCTR_Brokers[[#This Row],[ConversationId]]&amp;"-"&amp;TEXT(SCTR_Brokers[[#This Row],[FechaRecepcion]],"aaaammddhhmmss"))</f>
        <v>AAQkADdkNThjNzFkLWM0ZmMtNDJhYS04MDVlLTIwNzE4ZDI1Mzg4YgAQAG-qLa3jLbtHsQaiT7SyFV0=-20260924112439</v>
      </c>
      <c r="D375" s="16" t="s">
        <v>851</v>
      </c>
      <c r="E375" t="s">
        <v>632</v>
      </c>
      <c r="F375" s="3">
        <v>46289.475451388891</v>
      </c>
      <c r="G375" s="3">
        <v>46289.477002314816</v>
      </c>
      <c r="H375" t="s">
        <v>633</v>
      </c>
      <c r="I375" t="s">
        <v>7</v>
      </c>
      <c r="K375" t="s">
        <v>67</v>
      </c>
      <c r="L375" s="10"/>
      <c r="N37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75" s="3"/>
      <c r="P375" s="3"/>
      <c r="Q375" s="3"/>
      <c r="R37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75" t="str">
        <f>IF(SCTR_Brokers[[#This Row],[FechaRecepcion]]="","",TEXT(SCTR_Brokers[[#This Row],[FechaRecepcion]],"mmmm")&amp;" "&amp;YEAR(SCTR_Brokers[[#This Row],[FechaRecepcion]]))</f>
        <v>septiembre 2026</v>
      </c>
      <c r="U375">
        <f>IF(SCTR_Brokers[[#This Row],[Estado]]="FINALIZADO",1,0)</f>
        <v>1</v>
      </c>
      <c r="V375">
        <f>IF(SCTR_Brokers[[#This Row],[FechaRecepcion]]="","",IF(SCTR_Brokers[[#This Row],[Estado]]="FINALIZADO",0,1))</f>
        <v>0</v>
      </c>
      <c r="W375">
        <f ca="1">IF(AND(SCTR_Brokers[[#This Row],[Estado]]="FINALIZADO",SCTR_Brokers[[#This Row],[Plazo]]=LISTAS!$J$3),1,0)</f>
        <v>0</v>
      </c>
      <c r="X375">
        <f ca="1">IF(AND(SCTR_Brokers[[#This Row],[Estado]]="FINALIZADO",SCTR_Brokers[[#This Row],[Plazo]]=LISTAS!$J$4),1,0)</f>
        <v>1</v>
      </c>
      <c r="Y375">
        <f ca="1">IF(AND(SCTR_Brokers[[#This Row],[Estado]]&lt;&gt;"FINALIZADO",SCTR_Brokers[[#This Row],[Plazo]]=LISTAS!$J$4),1,0)</f>
        <v>0</v>
      </c>
      <c r="Z375">
        <f>IF(SCTR_Brokers[[#This Row],[Fecha_Solic_Informe]]="",0,1)</f>
        <v>0</v>
      </c>
      <c r="AA375">
        <f>IF(SCTR_Brokers[[#This Row],[Fecha_Informe]]="",0,1)</f>
        <v>0</v>
      </c>
      <c r="AB375">
        <f>IF(AND(SCTR_Brokers[[#This Row],[Fecha_Solic_Informe]]&lt;&gt;"",SCTR_Brokers[[#This Row],[Fecha_Informe]]=""),1,0)</f>
        <v>0</v>
      </c>
      <c r="AC37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76" spans="1:29" hidden="1">
      <c r="A376" t="s">
        <v>852</v>
      </c>
      <c r="C376" t="str">
        <f>IF(SCTR_Brokers[[#This Row],[FechaRecepcion]]="","",SCTR_Brokers[[#This Row],[ConversationId]]&amp;"-"&amp;TEXT(SCTR_Brokers[[#This Row],[FechaRecepcion]],"aaaammddhhmmss"))</f>
        <v>AAQkADdkNThjNzFkLWM0ZmMtNDJhYS04MDVlLTIwNzE4ZDI1Mzg4YgAQACfBSS8wRlBNk944-gxjVPA=-20260924122203</v>
      </c>
      <c r="D376" s="16" t="s">
        <v>853</v>
      </c>
      <c r="E376" t="s">
        <v>21</v>
      </c>
      <c r="F376" s="3">
        <v>46289.5153125</v>
      </c>
      <c r="G376" s="3">
        <v>46289.5153125</v>
      </c>
      <c r="H376" t="s">
        <v>455</v>
      </c>
      <c r="I376" t="s">
        <v>7</v>
      </c>
      <c r="K376" t="s">
        <v>67</v>
      </c>
      <c r="L376" s="10"/>
      <c r="N37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76" s="3"/>
      <c r="P376" s="3"/>
      <c r="Q376" s="3"/>
      <c r="R37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76" t="str">
        <f>IF(SCTR_Brokers[[#This Row],[FechaRecepcion]]="","",TEXT(SCTR_Brokers[[#This Row],[FechaRecepcion]],"mmmm")&amp;" "&amp;YEAR(SCTR_Brokers[[#This Row],[FechaRecepcion]]))</f>
        <v>septiembre 2026</v>
      </c>
      <c r="U376">
        <f>IF(SCTR_Brokers[[#This Row],[Estado]]="FINALIZADO",1,0)</f>
        <v>1</v>
      </c>
      <c r="V376">
        <f>IF(SCTR_Brokers[[#This Row],[FechaRecepcion]]="","",IF(SCTR_Brokers[[#This Row],[Estado]]="FINALIZADO",0,1))</f>
        <v>0</v>
      </c>
      <c r="W376">
        <f ca="1">IF(AND(SCTR_Brokers[[#This Row],[Estado]]="FINALIZADO",SCTR_Brokers[[#This Row],[Plazo]]=LISTAS!$J$3),1,0)</f>
        <v>0</v>
      </c>
      <c r="X376">
        <f ca="1">IF(AND(SCTR_Brokers[[#This Row],[Estado]]="FINALIZADO",SCTR_Brokers[[#This Row],[Plazo]]=LISTAS!$J$4),1,0)</f>
        <v>1</v>
      </c>
      <c r="Y376">
        <f ca="1">IF(AND(SCTR_Brokers[[#This Row],[Estado]]&lt;&gt;"FINALIZADO",SCTR_Brokers[[#This Row],[Plazo]]=LISTAS!$J$4),1,0)</f>
        <v>0</v>
      </c>
      <c r="Z376">
        <f>IF(SCTR_Brokers[[#This Row],[Fecha_Solic_Informe]]="",0,1)</f>
        <v>0</v>
      </c>
      <c r="AA376">
        <f>IF(SCTR_Brokers[[#This Row],[Fecha_Informe]]="",0,1)</f>
        <v>0</v>
      </c>
      <c r="AB376">
        <f>IF(AND(SCTR_Brokers[[#This Row],[Fecha_Solic_Informe]]&lt;&gt;"",SCTR_Brokers[[#This Row],[Fecha_Informe]]=""),1,0)</f>
        <v>0</v>
      </c>
      <c r="AC37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77" spans="1:29" hidden="1">
      <c r="A377" t="s">
        <v>854</v>
      </c>
      <c r="C377" t="str">
        <f>IF(SCTR_Brokers[[#This Row],[FechaRecepcion]]="","",SCTR_Brokers[[#This Row],[ConversationId]]&amp;"-"&amp;TEXT(SCTR_Brokers[[#This Row],[FechaRecepcion]],"aaaammddhhmmss"))</f>
        <v>AAQkADdkNThjNzFkLWM0ZmMtNDJhYS04MDVlLTIwNzE4ZDI1Mzg4YgAQAHQWYFQZ_0kfnuhsTw_VB98=-20260924151132</v>
      </c>
      <c r="D377" s="16" t="s">
        <v>855</v>
      </c>
      <c r="E377" t="s">
        <v>21</v>
      </c>
      <c r="F377" s="3">
        <v>46289.633009259262</v>
      </c>
      <c r="G377" s="3">
        <v>46289.633009259262</v>
      </c>
      <c r="H377" t="s">
        <v>758</v>
      </c>
      <c r="I377" t="s">
        <v>7</v>
      </c>
      <c r="K377" t="s">
        <v>67</v>
      </c>
      <c r="L377" s="10"/>
      <c r="N37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77" s="3"/>
      <c r="P377" s="3"/>
      <c r="Q377" s="3"/>
      <c r="R37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77" t="str">
        <f>IF(SCTR_Brokers[[#This Row],[FechaRecepcion]]="","",TEXT(SCTR_Brokers[[#This Row],[FechaRecepcion]],"mmmm")&amp;" "&amp;YEAR(SCTR_Brokers[[#This Row],[FechaRecepcion]]))</f>
        <v>septiembre 2026</v>
      </c>
      <c r="U377">
        <f>IF(SCTR_Brokers[[#This Row],[Estado]]="FINALIZADO",1,0)</f>
        <v>1</v>
      </c>
      <c r="V377">
        <f>IF(SCTR_Brokers[[#This Row],[FechaRecepcion]]="","",IF(SCTR_Brokers[[#This Row],[Estado]]="FINALIZADO",0,1))</f>
        <v>0</v>
      </c>
      <c r="W377">
        <f ca="1">IF(AND(SCTR_Brokers[[#This Row],[Estado]]="FINALIZADO",SCTR_Brokers[[#This Row],[Plazo]]=LISTAS!$J$3),1,0)</f>
        <v>0</v>
      </c>
      <c r="X377">
        <f ca="1">IF(AND(SCTR_Brokers[[#This Row],[Estado]]="FINALIZADO",SCTR_Brokers[[#This Row],[Plazo]]=LISTAS!$J$4),1,0)</f>
        <v>1</v>
      </c>
      <c r="Y377">
        <f ca="1">IF(AND(SCTR_Brokers[[#This Row],[Estado]]&lt;&gt;"FINALIZADO",SCTR_Brokers[[#This Row],[Plazo]]=LISTAS!$J$4),1,0)</f>
        <v>0</v>
      </c>
      <c r="Z377">
        <f>IF(SCTR_Brokers[[#This Row],[Fecha_Solic_Informe]]="",0,1)</f>
        <v>0</v>
      </c>
      <c r="AA377">
        <f>IF(SCTR_Brokers[[#This Row],[Fecha_Informe]]="",0,1)</f>
        <v>0</v>
      </c>
      <c r="AB377">
        <f>IF(AND(SCTR_Brokers[[#This Row],[Fecha_Solic_Informe]]&lt;&gt;"",SCTR_Brokers[[#This Row],[Fecha_Informe]]=""),1,0)</f>
        <v>0</v>
      </c>
      <c r="AC37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78" spans="1:29" hidden="1">
      <c r="A378" t="s">
        <v>856</v>
      </c>
      <c r="C378" t="str">
        <f>IF(SCTR_Brokers[[#This Row],[FechaRecepcion]]="","",SCTR_Brokers[[#This Row],[ConversationId]]&amp;"-"&amp;TEXT(SCTR_Brokers[[#This Row],[FechaRecepcion]],"aaaammddhhmmss"))</f>
        <v>AAQkADdkNThjNzFkLWM0ZmMtNDJhYS04MDVlLTIwNzE4ZDI1Mzg4YgAQAMXKxd5JaEzogViQa7m2TpA=-20260925083311</v>
      </c>
      <c r="D378" s="16" t="s">
        <v>857</v>
      </c>
      <c r="E378" t="s">
        <v>8</v>
      </c>
      <c r="F378" s="3">
        <v>46290.356377314813</v>
      </c>
      <c r="G378" s="3">
        <v>46290.611087962963</v>
      </c>
      <c r="H378" t="s">
        <v>858</v>
      </c>
      <c r="I378" t="s">
        <v>7</v>
      </c>
      <c r="K378" t="s">
        <v>67</v>
      </c>
      <c r="L378" s="10"/>
      <c r="N37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78" s="3"/>
      <c r="P378" s="3"/>
      <c r="Q378" s="3"/>
      <c r="R37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78" t="str">
        <f>IF(SCTR_Brokers[[#This Row],[FechaRecepcion]]="","",TEXT(SCTR_Brokers[[#This Row],[FechaRecepcion]],"mmmm")&amp;" "&amp;YEAR(SCTR_Brokers[[#This Row],[FechaRecepcion]]))</f>
        <v>septiembre 2026</v>
      </c>
      <c r="U378">
        <f>IF(SCTR_Brokers[[#This Row],[Estado]]="FINALIZADO",1,0)</f>
        <v>1</v>
      </c>
      <c r="V378">
        <f>IF(SCTR_Brokers[[#This Row],[FechaRecepcion]]="","",IF(SCTR_Brokers[[#This Row],[Estado]]="FINALIZADO",0,1))</f>
        <v>0</v>
      </c>
      <c r="W378">
        <f ca="1">IF(AND(SCTR_Brokers[[#This Row],[Estado]]="FINALIZADO",SCTR_Brokers[[#This Row],[Plazo]]=LISTAS!$J$3),1,0)</f>
        <v>0</v>
      </c>
      <c r="X378">
        <f ca="1">IF(AND(SCTR_Brokers[[#This Row],[Estado]]="FINALIZADO",SCTR_Brokers[[#This Row],[Plazo]]=LISTAS!$J$4),1,0)</f>
        <v>1</v>
      </c>
      <c r="Y378">
        <f ca="1">IF(AND(SCTR_Brokers[[#This Row],[Estado]]&lt;&gt;"FINALIZADO",SCTR_Brokers[[#This Row],[Plazo]]=LISTAS!$J$4),1,0)</f>
        <v>0</v>
      </c>
      <c r="Z378">
        <f>IF(SCTR_Brokers[[#This Row],[Fecha_Solic_Informe]]="",0,1)</f>
        <v>0</v>
      </c>
      <c r="AA378">
        <f>IF(SCTR_Brokers[[#This Row],[Fecha_Informe]]="",0,1)</f>
        <v>0</v>
      </c>
      <c r="AB378">
        <f>IF(AND(SCTR_Brokers[[#This Row],[Fecha_Solic_Informe]]&lt;&gt;"",SCTR_Brokers[[#This Row],[Fecha_Informe]]=""),1,0)</f>
        <v>0</v>
      </c>
      <c r="AC37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79" spans="1:29" hidden="1">
      <c r="A379" t="s">
        <v>859</v>
      </c>
      <c r="C379" t="str">
        <f>IF(SCTR_Brokers[[#This Row],[FechaRecepcion]]="","",SCTR_Brokers[[#This Row],[ConversationId]]&amp;"-"&amp;TEXT(SCTR_Brokers[[#This Row],[FechaRecepcion]],"aaaammddhhmmss"))</f>
        <v>AAQkADdkNThjNzFkLWM0ZmMtNDJhYS04MDVlLTIwNzE4ZDI1Mzg4YgAQAObBtBqfhy1OjqYZBFWJYFk=-20260925090356</v>
      </c>
      <c r="D379" s="16" t="s">
        <v>860</v>
      </c>
      <c r="E379" t="s">
        <v>20</v>
      </c>
      <c r="F379" s="3">
        <v>46290.37773148148</v>
      </c>
      <c r="G379" s="3">
        <v>46290.37773148148</v>
      </c>
      <c r="H379" t="s">
        <v>338</v>
      </c>
      <c r="I379" t="s">
        <v>7</v>
      </c>
      <c r="K379" t="s">
        <v>67</v>
      </c>
      <c r="L379" s="10"/>
      <c r="N37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79" s="3"/>
      <c r="P379" s="3"/>
      <c r="Q379" s="3"/>
      <c r="R37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79" t="str">
        <f>IF(SCTR_Brokers[[#This Row],[FechaRecepcion]]="","",TEXT(SCTR_Brokers[[#This Row],[FechaRecepcion]],"mmmm")&amp;" "&amp;YEAR(SCTR_Brokers[[#This Row],[FechaRecepcion]]))</f>
        <v>septiembre 2026</v>
      </c>
      <c r="U379">
        <f>IF(SCTR_Brokers[[#This Row],[Estado]]="FINALIZADO",1,0)</f>
        <v>1</v>
      </c>
      <c r="V379">
        <f>IF(SCTR_Brokers[[#This Row],[FechaRecepcion]]="","",IF(SCTR_Brokers[[#This Row],[Estado]]="FINALIZADO",0,1))</f>
        <v>0</v>
      </c>
      <c r="W379">
        <f ca="1">IF(AND(SCTR_Brokers[[#This Row],[Estado]]="FINALIZADO",SCTR_Brokers[[#This Row],[Plazo]]=LISTAS!$J$3),1,0)</f>
        <v>0</v>
      </c>
      <c r="X379">
        <f ca="1">IF(AND(SCTR_Brokers[[#This Row],[Estado]]="FINALIZADO",SCTR_Brokers[[#This Row],[Plazo]]=LISTAS!$J$4),1,0)</f>
        <v>1</v>
      </c>
      <c r="Y379">
        <f ca="1">IF(AND(SCTR_Brokers[[#This Row],[Estado]]&lt;&gt;"FINALIZADO",SCTR_Brokers[[#This Row],[Plazo]]=LISTAS!$J$4),1,0)</f>
        <v>0</v>
      </c>
      <c r="Z379">
        <f>IF(SCTR_Brokers[[#This Row],[Fecha_Solic_Informe]]="",0,1)</f>
        <v>0</v>
      </c>
      <c r="AA379">
        <f>IF(SCTR_Brokers[[#This Row],[Fecha_Informe]]="",0,1)</f>
        <v>0</v>
      </c>
      <c r="AB379">
        <f>IF(AND(SCTR_Brokers[[#This Row],[Fecha_Solic_Informe]]&lt;&gt;"",SCTR_Brokers[[#This Row],[Fecha_Informe]]=""),1,0)</f>
        <v>0</v>
      </c>
      <c r="AC37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80" spans="1:29" hidden="1">
      <c r="A380" t="s">
        <v>861</v>
      </c>
      <c r="C380" t="str">
        <f>IF(SCTR_Brokers[[#This Row],[FechaRecepcion]]="","",SCTR_Brokers[[#This Row],[ConversationId]]&amp;"-"&amp;TEXT(SCTR_Brokers[[#This Row],[FechaRecepcion]],"aaaammddhhmmss"))</f>
        <v>AAQkADdkNThjNzFkLWM0ZmMtNDJhYS04MDVlLTIwNzE4ZDI1Mzg4YgAQAK1__FNoZUFJlZlXs2it2Is=-20260925115458</v>
      </c>
      <c r="D380" s="16" t="s">
        <v>862</v>
      </c>
      <c r="E380" t="s">
        <v>8</v>
      </c>
      <c r="F380" s="3">
        <v>46290.496504629627</v>
      </c>
      <c r="G380" s="3">
        <v>46290.496504629627</v>
      </c>
      <c r="H380" t="s">
        <v>609</v>
      </c>
      <c r="I380" t="s">
        <v>7</v>
      </c>
      <c r="K380" t="s">
        <v>67</v>
      </c>
      <c r="L380" s="10"/>
      <c r="N38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80" s="3"/>
      <c r="P380" s="3"/>
      <c r="Q380" s="3"/>
      <c r="R38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80" t="str">
        <f>IF(SCTR_Brokers[[#This Row],[FechaRecepcion]]="","",TEXT(SCTR_Brokers[[#This Row],[FechaRecepcion]],"mmmm")&amp;" "&amp;YEAR(SCTR_Brokers[[#This Row],[FechaRecepcion]]))</f>
        <v>septiembre 2026</v>
      </c>
      <c r="U380">
        <f>IF(SCTR_Brokers[[#This Row],[Estado]]="FINALIZADO",1,0)</f>
        <v>1</v>
      </c>
      <c r="V380">
        <f>IF(SCTR_Brokers[[#This Row],[FechaRecepcion]]="","",IF(SCTR_Brokers[[#This Row],[Estado]]="FINALIZADO",0,1))</f>
        <v>0</v>
      </c>
      <c r="W380">
        <f ca="1">IF(AND(SCTR_Brokers[[#This Row],[Estado]]="FINALIZADO",SCTR_Brokers[[#This Row],[Plazo]]=LISTAS!$J$3),1,0)</f>
        <v>0</v>
      </c>
      <c r="X380">
        <f ca="1">IF(AND(SCTR_Brokers[[#This Row],[Estado]]="FINALIZADO",SCTR_Brokers[[#This Row],[Plazo]]=LISTAS!$J$4),1,0)</f>
        <v>1</v>
      </c>
      <c r="Y380">
        <f ca="1">IF(AND(SCTR_Brokers[[#This Row],[Estado]]&lt;&gt;"FINALIZADO",SCTR_Brokers[[#This Row],[Plazo]]=LISTAS!$J$4),1,0)</f>
        <v>0</v>
      </c>
      <c r="Z380">
        <f>IF(SCTR_Brokers[[#This Row],[Fecha_Solic_Informe]]="",0,1)</f>
        <v>0</v>
      </c>
      <c r="AA380">
        <f>IF(SCTR_Brokers[[#This Row],[Fecha_Informe]]="",0,1)</f>
        <v>0</v>
      </c>
      <c r="AB380">
        <f>IF(AND(SCTR_Brokers[[#This Row],[Fecha_Solic_Informe]]&lt;&gt;"",SCTR_Brokers[[#This Row],[Fecha_Informe]]=""),1,0)</f>
        <v>0</v>
      </c>
      <c r="AC38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81" spans="1:29" hidden="1">
      <c r="A381" t="s">
        <v>863</v>
      </c>
      <c r="C381" t="str">
        <f>IF(SCTR_Brokers[[#This Row],[FechaRecepcion]]="","",SCTR_Brokers[[#This Row],[ConversationId]]&amp;"-"&amp;TEXT(SCTR_Brokers[[#This Row],[FechaRecepcion]],"aaaammddhhmmss"))</f>
        <v>AAQkADdkNThjNzFkLWM0ZmMtNDJhYS04MDVlLTIwNzE4ZDI1Mzg4YgAQAIst3SAarkR5rtlCXlQ9dvw=-20260925115651</v>
      </c>
      <c r="D381" s="16" t="s">
        <v>864</v>
      </c>
      <c r="E381" t="s">
        <v>23</v>
      </c>
      <c r="F381" s="3">
        <v>46290.497812499998</v>
      </c>
      <c r="G381" s="3">
        <v>46290.497812499998</v>
      </c>
      <c r="H381" t="s">
        <v>325</v>
      </c>
      <c r="I381" t="s">
        <v>7</v>
      </c>
      <c r="K381" t="s">
        <v>67</v>
      </c>
      <c r="L381" s="10"/>
      <c r="N38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81" s="3"/>
      <c r="P381" s="3"/>
      <c r="Q381" s="3"/>
      <c r="R38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81" t="str">
        <f>IF(SCTR_Brokers[[#This Row],[FechaRecepcion]]="","",TEXT(SCTR_Brokers[[#This Row],[FechaRecepcion]],"mmmm")&amp;" "&amp;YEAR(SCTR_Brokers[[#This Row],[FechaRecepcion]]))</f>
        <v>septiembre 2026</v>
      </c>
      <c r="U381">
        <f>IF(SCTR_Brokers[[#This Row],[Estado]]="FINALIZADO",1,0)</f>
        <v>1</v>
      </c>
      <c r="V381">
        <f>IF(SCTR_Brokers[[#This Row],[FechaRecepcion]]="","",IF(SCTR_Brokers[[#This Row],[Estado]]="FINALIZADO",0,1))</f>
        <v>0</v>
      </c>
      <c r="W381">
        <f ca="1">IF(AND(SCTR_Brokers[[#This Row],[Estado]]="FINALIZADO",SCTR_Brokers[[#This Row],[Plazo]]=LISTAS!$J$3),1,0)</f>
        <v>0</v>
      </c>
      <c r="X381">
        <f ca="1">IF(AND(SCTR_Brokers[[#This Row],[Estado]]="FINALIZADO",SCTR_Brokers[[#This Row],[Plazo]]=LISTAS!$J$4),1,0)</f>
        <v>1</v>
      </c>
      <c r="Y381">
        <f ca="1">IF(AND(SCTR_Brokers[[#This Row],[Estado]]&lt;&gt;"FINALIZADO",SCTR_Brokers[[#This Row],[Plazo]]=LISTAS!$J$4),1,0)</f>
        <v>0</v>
      </c>
      <c r="Z381">
        <f>IF(SCTR_Brokers[[#This Row],[Fecha_Solic_Informe]]="",0,1)</f>
        <v>0</v>
      </c>
      <c r="AA381">
        <f>IF(SCTR_Brokers[[#This Row],[Fecha_Informe]]="",0,1)</f>
        <v>0</v>
      </c>
      <c r="AB381">
        <f>IF(AND(SCTR_Brokers[[#This Row],[Fecha_Solic_Informe]]&lt;&gt;"",SCTR_Brokers[[#This Row],[Fecha_Informe]]=""),1,0)</f>
        <v>0</v>
      </c>
      <c r="AC38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82" spans="1:29" hidden="1">
      <c r="A382" t="s">
        <v>865</v>
      </c>
      <c r="C382" t="str">
        <f>IF(SCTR_Brokers[[#This Row],[FechaRecepcion]]="","",SCTR_Brokers[[#This Row],[ConversationId]]&amp;"-"&amp;TEXT(SCTR_Brokers[[#This Row],[FechaRecepcion]],"aaaammddhhmmss"))</f>
        <v>AAQkADdkNThjNzFkLWM0ZmMtNDJhYS04MDVlLTIwNzE4ZDI1Mzg4YgAQAOqN2Y98lJVOrJpei4Ef2HQ=-20260925120305</v>
      </c>
      <c r="D382" s="16" t="s">
        <v>866</v>
      </c>
      <c r="E382" t="s">
        <v>23</v>
      </c>
      <c r="F382" s="3">
        <v>46290.502141203702</v>
      </c>
      <c r="G382" s="3">
        <v>46290.502141203702</v>
      </c>
      <c r="H382" t="s">
        <v>325</v>
      </c>
      <c r="I382" t="s">
        <v>7</v>
      </c>
      <c r="K382" t="s">
        <v>67</v>
      </c>
      <c r="L382" s="10"/>
      <c r="N38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82" s="3"/>
      <c r="P382" s="3"/>
      <c r="Q382" s="3">
        <v>46293.703472222223</v>
      </c>
      <c r="R38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82" t="str">
        <f>IF(SCTR_Brokers[[#This Row],[FechaRecepcion]]="","",TEXT(SCTR_Brokers[[#This Row],[FechaRecepcion]],"mmmm")&amp;" "&amp;YEAR(SCTR_Brokers[[#This Row],[FechaRecepcion]]))</f>
        <v>septiembre 2026</v>
      </c>
      <c r="U382">
        <f>IF(SCTR_Brokers[[#This Row],[Estado]]="FINALIZADO",1,0)</f>
        <v>1</v>
      </c>
      <c r="V382">
        <f>IF(SCTR_Brokers[[#This Row],[FechaRecepcion]]="","",IF(SCTR_Brokers[[#This Row],[Estado]]="FINALIZADO",0,1))</f>
        <v>0</v>
      </c>
      <c r="W382">
        <f ca="1">IF(AND(SCTR_Brokers[[#This Row],[Estado]]="FINALIZADO",SCTR_Brokers[[#This Row],[Plazo]]=LISTAS!$J$3),1,0)</f>
        <v>0</v>
      </c>
      <c r="X382">
        <f ca="1">IF(AND(SCTR_Brokers[[#This Row],[Estado]]="FINALIZADO",SCTR_Brokers[[#This Row],[Plazo]]=LISTAS!$J$4),1,0)</f>
        <v>1</v>
      </c>
      <c r="Y382">
        <f ca="1">IF(AND(SCTR_Brokers[[#This Row],[Estado]]&lt;&gt;"FINALIZADO",SCTR_Brokers[[#This Row],[Plazo]]=LISTAS!$J$4),1,0)</f>
        <v>0</v>
      </c>
      <c r="Z382">
        <f>IF(SCTR_Brokers[[#This Row],[Fecha_Solic_Informe]]="",0,1)</f>
        <v>0</v>
      </c>
      <c r="AA382">
        <f>IF(SCTR_Brokers[[#This Row],[Fecha_Informe]]="",0,1)</f>
        <v>0</v>
      </c>
      <c r="AB382">
        <f>IF(AND(SCTR_Brokers[[#This Row],[Fecha_Solic_Informe]]&lt;&gt;"",SCTR_Brokers[[#This Row],[Fecha_Informe]]=""),1,0)</f>
        <v>0</v>
      </c>
      <c r="AC38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83" spans="1:29" hidden="1">
      <c r="A383" t="s">
        <v>867</v>
      </c>
      <c r="C383" t="str">
        <f>IF(SCTR_Brokers[[#This Row],[FechaRecepcion]]="","",SCTR_Brokers[[#This Row],[ConversationId]]&amp;"-"&amp;TEXT(SCTR_Brokers[[#This Row],[FechaRecepcion]],"aaaammddhhmmss"))</f>
        <v>AAQkADdkNThjNzFkLWM0ZmMtNDJhYS04MDVlLTIwNzE4ZDI1Mzg4YgAQAFKoljECJULFgqOxxucp3sI=-20260925131601</v>
      </c>
      <c r="D383" s="16" t="s">
        <v>868</v>
      </c>
      <c r="E383" t="s">
        <v>14</v>
      </c>
      <c r="F383" s="3">
        <v>46290.552789351852</v>
      </c>
      <c r="G383" s="3">
        <v>46290.552789351852</v>
      </c>
      <c r="H383" t="s">
        <v>115</v>
      </c>
      <c r="I383" t="s">
        <v>7</v>
      </c>
      <c r="K383" t="s">
        <v>67</v>
      </c>
      <c r="L383" s="10"/>
      <c r="N38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83" s="3"/>
      <c r="P383" s="3"/>
      <c r="Q383" s="3"/>
      <c r="R38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83" t="str">
        <f>IF(SCTR_Brokers[[#This Row],[FechaRecepcion]]="","",TEXT(SCTR_Brokers[[#This Row],[FechaRecepcion]],"mmmm")&amp;" "&amp;YEAR(SCTR_Brokers[[#This Row],[FechaRecepcion]]))</f>
        <v>septiembre 2026</v>
      </c>
      <c r="U383">
        <f>IF(SCTR_Brokers[[#This Row],[Estado]]="FINALIZADO",1,0)</f>
        <v>1</v>
      </c>
      <c r="V383">
        <f>IF(SCTR_Brokers[[#This Row],[FechaRecepcion]]="","",IF(SCTR_Brokers[[#This Row],[Estado]]="FINALIZADO",0,1))</f>
        <v>0</v>
      </c>
      <c r="W383">
        <f ca="1">IF(AND(SCTR_Brokers[[#This Row],[Estado]]="FINALIZADO",SCTR_Brokers[[#This Row],[Plazo]]=LISTAS!$J$3),1,0)</f>
        <v>0</v>
      </c>
      <c r="X383">
        <f ca="1">IF(AND(SCTR_Brokers[[#This Row],[Estado]]="FINALIZADO",SCTR_Brokers[[#This Row],[Plazo]]=LISTAS!$J$4),1,0)</f>
        <v>1</v>
      </c>
      <c r="Y383">
        <f ca="1">IF(AND(SCTR_Brokers[[#This Row],[Estado]]&lt;&gt;"FINALIZADO",SCTR_Brokers[[#This Row],[Plazo]]=LISTAS!$J$4),1,0)</f>
        <v>0</v>
      </c>
      <c r="Z383">
        <f>IF(SCTR_Brokers[[#This Row],[Fecha_Solic_Informe]]="",0,1)</f>
        <v>0</v>
      </c>
      <c r="AA383">
        <f>IF(SCTR_Brokers[[#This Row],[Fecha_Informe]]="",0,1)</f>
        <v>0</v>
      </c>
      <c r="AB383">
        <f>IF(AND(SCTR_Brokers[[#This Row],[Fecha_Solic_Informe]]&lt;&gt;"",SCTR_Brokers[[#This Row],[Fecha_Informe]]=""),1,0)</f>
        <v>0</v>
      </c>
      <c r="AC38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84" spans="1:29" hidden="1">
      <c r="A384" t="s">
        <v>869</v>
      </c>
      <c r="C384" t="str">
        <f>IF(SCTR_Brokers[[#This Row],[FechaRecepcion]]="","",SCTR_Brokers[[#This Row],[ConversationId]]&amp;"-"&amp;TEXT(SCTR_Brokers[[#This Row],[FechaRecepcion]],"aaaammddhhmmss"))</f>
        <v>AAQkADdkNThjNzFkLWM0ZmMtNDJhYS04MDVlLTIwNzE4ZDI1Mzg4YgAQAB3PU4hJr0UOoLcVcb5VISs=-20260925143734</v>
      </c>
      <c r="D384" s="16" t="s">
        <v>870</v>
      </c>
      <c r="E384" t="s">
        <v>8</v>
      </c>
      <c r="F384" s="3">
        <v>46290.6094212963</v>
      </c>
      <c r="G384" s="3">
        <v>46290.6094212963</v>
      </c>
      <c r="H384" t="s">
        <v>858</v>
      </c>
      <c r="I384" t="s">
        <v>7</v>
      </c>
      <c r="K384" t="s">
        <v>67</v>
      </c>
      <c r="L384" s="10"/>
      <c r="N38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84" s="3"/>
      <c r="P384" s="3"/>
      <c r="Q384" s="3"/>
      <c r="R38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84" t="str">
        <f>IF(SCTR_Brokers[[#This Row],[FechaRecepcion]]="","",TEXT(SCTR_Brokers[[#This Row],[FechaRecepcion]],"mmmm")&amp;" "&amp;YEAR(SCTR_Brokers[[#This Row],[FechaRecepcion]]))</f>
        <v>septiembre 2026</v>
      </c>
      <c r="U384">
        <f>IF(SCTR_Brokers[[#This Row],[Estado]]="FINALIZADO",1,0)</f>
        <v>1</v>
      </c>
      <c r="V384">
        <f>IF(SCTR_Brokers[[#This Row],[FechaRecepcion]]="","",IF(SCTR_Brokers[[#This Row],[Estado]]="FINALIZADO",0,1))</f>
        <v>0</v>
      </c>
      <c r="W384">
        <f ca="1">IF(AND(SCTR_Brokers[[#This Row],[Estado]]="FINALIZADO",SCTR_Brokers[[#This Row],[Plazo]]=LISTAS!$J$3),1,0)</f>
        <v>0</v>
      </c>
      <c r="X384">
        <f ca="1">IF(AND(SCTR_Brokers[[#This Row],[Estado]]="FINALIZADO",SCTR_Brokers[[#This Row],[Plazo]]=LISTAS!$J$4),1,0)</f>
        <v>1</v>
      </c>
      <c r="Y384">
        <f ca="1">IF(AND(SCTR_Brokers[[#This Row],[Estado]]&lt;&gt;"FINALIZADO",SCTR_Brokers[[#This Row],[Plazo]]=LISTAS!$J$4),1,0)</f>
        <v>0</v>
      </c>
      <c r="Z384">
        <f>IF(SCTR_Brokers[[#This Row],[Fecha_Solic_Informe]]="",0,1)</f>
        <v>0</v>
      </c>
      <c r="AA384">
        <f>IF(SCTR_Brokers[[#This Row],[Fecha_Informe]]="",0,1)</f>
        <v>0</v>
      </c>
      <c r="AB384">
        <f>IF(AND(SCTR_Brokers[[#This Row],[Fecha_Solic_Informe]]&lt;&gt;"",SCTR_Brokers[[#This Row],[Fecha_Informe]]=""),1,0)</f>
        <v>0</v>
      </c>
      <c r="AC38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85" spans="1:29" hidden="1">
      <c r="A385" t="s">
        <v>871</v>
      </c>
      <c r="C385" t="str">
        <f>IF(SCTR_Brokers[[#This Row],[FechaRecepcion]]="","",SCTR_Brokers[[#This Row],[ConversationId]]&amp;"-"&amp;TEXT(SCTR_Brokers[[#This Row],[FechaRecepcion]],"aaaammddhhmmss"))</f>
        <v>AAQkADdkNThjNzFkLWM0ZmMtNDJhYS04MDVlLTIwNzE4ZDI1Mzg4YgAQAEZxp6g4mUBDoSDzpG9GSKg=-20260927121222</v>
      </c>
      <c r="D385" s="16" t="s">
        <v>872</v>
      </c>
      <c r="E385" t="s">
        <v>21</v>
      </c>
      <c r="F385" s="3">
        <v>46292.508587962962</v>
      </c>
      <c r="G385" s="3">
        <v>46293.39435185185</v>
      </c>
      <c r="H385" t="s">
        <v>644</v>
      </c>
      <c r="I385" t="s">
        <v>7</v>
      </c>
      <c r="K385" t="s">
        <v>67</v>
      </c>
      <c r="L385" s="10"/>
      <c r="N38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85" s="3"/>
      <c r="P385" s="3"/>
      <c r="Q385" s="3"/>
      <c r="R38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85" t="str">
        <f>IF(SCTR_Brokers[[#This Row],[FechaRecepcion]]="","",TEXT(SCTR_Brokers[[#This Row],[FechaRecepcion]],"mmmm")&amp;" "&amp;YEAR(SCTR_Brokers[[#This Row],[FechaRecepcion]]))</f>
        <v>septiembre 2026</v>
      </c>
      <c r="U385">
        <f>IF(SCTR_Brokers[[#This Row],[Estado]]="FINALIZADO",1,0)</f>
        <v>1</v>
      </c>
      <c r="V385">
        <f>IF(SCTR_Brokers[[#This Row],[FechaRecepcion]]="","",IF(SCTR_Brokers[[#This Row],[Estado]]="FINALIZADO",0,1))</f>
        <v>0</v>
      </c>
      <c r="W385">
        <f ca="1">IF(AND(SCTR_Brokers[[#This Row],[Estado]]="FINALIZADO",SCTR_Brokers[[#This Row],[Plazo]]=LISTAS!$J$3),1,0)</f>
        <v>0</v>
      </c>
      <c r="X385">
        <f ca="1">IF(AND(SCTR_Brokers[[#This Row],[Estado]]="FINALIZADO",SCTR_Brokers[[#This Row],[Plazo]]=LISTAS!$J$4),1,0)</f>
        <v>1</v>
      </c>
      <c r="Y385">
        <f ca="1">IF(AND(SCTR_Brokers[[#This Row],[Estado]]&lt;&gt;"FINALIZADO",SCTR_Brokers[[#This Row],[Plazo]]=LISTAS!$J$4),1,0)</f>
        <v>0</v>
      </c>
      <c r="Z385">
        <f>IF(SCTR_Brokers[[#This Row],[Fecha_Solic_Informe]]="",0,1)</f>
        <v>0</v>
      </c>
      <c r="AA385">
        <f>IF(SCTR_Brokers[[#This Row],[Fecha_Informe]]="",0,1)</f>
        <v>0</v>
      </c>
      <c r="AB385">
        <f>IF(AND(SCTR_Brokers[[#This Row],[Fecha_Solic_Informe]]&lt;&gt;"",SCTR_Brokers[[#This Row],[Fecha_Informe]]=""),1,0)</f>
        <v>0</v>
      </c>
      <c r="AC38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86" spans="1:29" hidden="1">
      <c r="A386" t="s">
        <v>873</v>
      </c>
      <c r="C386" t="str">
        <f>IF(SCTR_Brokers[[#This Row],[FechaRecepcion]]="","",SCTR_Brokers[[#This Row],[ConversationId]]&amp;"-"&amp;TEXT(SCTR_Brokers[[#This Row],[FechaRecepcion]],"aaaammddhhmmss"))</f>
        <v>AAQkADdkNThjNzFkLWM0ZmMtNDJhYS04MDVlLTIwNzE4ZDI1Mzg4YgAQAK_uOHJuD7BGlkUIK38kZzo=-20260927122125</v>
      </c>
      <c r="D386" s="16" t="s">
        <v>872</v>
      </c>
      <c r="E386" t="s">
        <v>21</v>
      </c>
      <c r="F386" s="3">
        <v>46292.514872685184</v>
      </c>
      <c r="G386" s="3">
        <v>46292.514872685184</v>
      </c>
      <c r="H386" t="s">
        <v>874</v>
      </c>
      <c r="I386" t="s">
        <v>7</v>
      </c>
      <c r="K386" t="s">
        <v>67</v>
      </c>
      <c r="L386" s="10"/>
      <c r="N38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86" s="3"/>
      <c r="P386" s="3"/>
      <c r="Q386" s="3"/>
      <c r="R38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86" t="str">
        <f>IF(SCTR_Brokers[[#This Row],[FechaRecepcion]]="","",TEXT(SCTR_Brokers[[#This Row],[FechaRecepcion]],"mmmm")&amp;" "&amp;YEAR(SCTR_Brokers[[#This Row],[FechaRecepcion]]))</f>
        <v>septiembre 2026</v>
      </c>
      <c r="U386">
        <f>IF(SCTR_Brokers[[#This Row],[Estado]]="FINALIZADO",1,0)</f>
        <v>1</v>
      </c>
      <c r="V386">
        <f>IF(SCTR_Brokers[[#This Row],[FechaRecepcion]]="","",IF(SCTR_Brokers[[#This Row],[Estado]]="FINALIZADO",0,1))</f>
        <v>0</v>
      </c>
      <c r="W386">
        <f ca="1">IF(AND(SCTR_Brokers[[#This Row],[Estado]]="FINALIZADO",SCTR_Brokers[[#This Row],[Plazo]]=LISTAS!$J$3),1,0)</f>
        <v>0</v>
      </c>
      <c r="X386">
        <f ca="1">IF(AND(SCTR_Brokers[[#This Row],[Estado]]="FINALIZADO",SCTR_Brokers[[#This Row],[Plazo]]=LISTAS!$J$4),1,0)</f>
        <v>1</v>
      </c>
      <c r="Y386">
        <f ca="1">IF(AND(SCTR_Brokers[[#This Row],[Estado]]&lt;&gt;"FINALIZADO",SCTR_Brokers[[#This Row],[Plazo]]=LISTAS!$J$4),1,0)</f>
        <v>0</v>
      </c>
      <c r="Z386">
        <f>IF(SCTR_Brokers[[#This Row],[Fecha_Solic_Informe]]="",0,1)</f>
        <v>0</v>
      </c>
      <c r="AA386">
        <f>IF(SCTR_Brokers[[#This Row],[Fecha_Informe]]="",0,1)</f>
        <v>0</v>
      </c>
      <c r="AB386">
        <f>IF(AND(SCTR_Brokers[[#This Row],[Fecha_Solic_Informe]]&lt;&gt;"",SCTR_Brokers[[#This Row],[Fecha_Informe]]=""),1,0)</f>
        <v>0</v>
      </c>
      <c r="AC38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87" spans="1:29" hidden="1">
      <c r="A387" t="s">
        <v>875</v>
      </c>
      <c r="C387" t="str">
        <f>IF(SCTR_Brokers[[#This Row],[FechaRecepcion]]="","",SCTR_Brokers[[#This Row],[ConversationId]]&amp;"-"&amp;TEXT(SCTR_Brokers[[#This Row],[FechaRecepcion]],"aaaammddhhmmss"))</f>
        <v>AAQkADdkNThjNzFkLWM0ZmMtNDJhYS04MDVlLTIwNzE4ZDI1Mzg4YgAQAPK3twdM_Y5PpOSzWUhCvO4=-20260928105053</v>
      </c>
      <c r="D387" s="16" t="s">
        <v>876</v>
      </c>
      <c r="E387" t="s">
        <v>20</v>
      </c>
      <c r="F387" s="3">
        <v>46293.452002314814</v>
      </c>
      <c r="G387" s="3">
        <v>46293.452002314814</v>
      </c>
      <c r="H387" t="s">
        <v>356</v>
      </c>
      <c r="I387" t="s">
        <v>7</v>
      </c>
      <c r="K387" t="s">
        <v>67</v>
      </c>
      <c r="L387" s="10"/>
      <c r="N38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87" s="3"/>
      <c r="P387" s="3"/>
      <c r="Q387" s="3"/>
      <c r="R38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87" t="str">
        <f>IF(SCTR_Brokers[[#This Row],[FechaRecepcion]]="","",TEXT(SCTR_Brokers[[#This Row],[FechaRecepcion]],"mmmm")&amp;" "&amp;YEAR(SCTR_Brokers[[#This Row],[FechaRecepcion]]))</f>
        <v>septiembre 2026</v>
      </c>
      <c r="U387">
        <f>IF(SCTR_Brokers[[#This Row],[Estado]]="FINALIZADO",1,0)</f>
        <v>1</v>
      </c>
      <c r="V387">
        <f>IF(SCTR_Brokers[[#This Row],[FechaRecepcion]]="","",IF(SCTR_Brokers[[#This Row],[Estado]]="FINALIZADO",0,1))</f>
        <v>0</v>
      </c>
      <c r="W387">
        <f ca="1">IF(AND(SCTR_Brokers[[#This Row],[Estado]]="FINALIZADO",SCTR_Brokers[[#This Row],[Plazo]]=LISTAS!$J$3),1,0)</f>
        <v>0</v>
      </c>
      <c r="X387">
        <f ca="1">IF(AND(SCTR_Brokers[[#This Row],[Estado]]="FINALIZADO",SCTR_Brokers[[#This Row],[Plazo]]=LISTAS!$J$4),1,0)</f>
        <v>1</v>
      </c>
      <c r="Y387">
        <f ca="1">IF(AND(SCTR_Brokers[[#This Row],[Estado]]&lt;&gt;"FINALIZADO",SCTR_Brokers[[#This Row],[Plazo]]=LISTAS!$J$4),1,0)</f>
        <v>0</v>
      </c>
      <c r="Z387">
        <f>IF(SCTR_Brokers[[#This Row],[Fecha_Solic_Informe]]="",0,1)</f>
        <v>0</v>
      </c>
      <c r="AA387">
        <f>IF(SCTR_Brokers[[#This Row],[Fecha_Informe]]="",0,1)</f>
        <v>0</v>
      </c>
      <c r="AB387">
        <f>IF(AND(SCTR_Brokers[[#This Row],[Fecha_Solic_Informe]]&lt;&gt;"",SCTR_Brokers[[#This Row],[Fecha_Informe]]=""),1,0)</f>
        <v>0</v>
      </c>
      <c r="AC38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88" spans="1:29" hidden="1">
      <c r="A388" t="s">
        <v>877</v>
      </c>
      <c r="C388" t="str">
        <f>IF(SCTR_Brokers[[#This Row],[FechaRecepcion]]="","",SCTR_Brokers[[#This Row],[ConversationId]]&amp;"-"&amp;TEXT(SCTR_Brokers[[#This Row],[FechaRecepcion]],"aaaammddhhmmss"))</f>
        <v>AAQkADdkNThjNzFkLWM0ZmMtNDJhYS04MDVlLTIwNzE4ZDI1Mzg4YgAQAC3FW1khXJBAn4Ja5ivOvKk=-20260928112241</v>
      </c>
      <c r="D388" s="16" t="s">
        <v>878</v>
      </c>
      <c r="E388" t="s">
        <v>14</v>
      </c>
      <c r="F388" s="3">
        <v>46293.474085648151</v>
      </c>
      <c r="G388" s="3">
        <v>46293.474085648151</v>
      </c>
      <c r="H388" t="s">
        <v>115</v>
      </c>
      <c r="I388" t="s">
        <v>7</v>
      </c>
      <c r="K388" t="s">
        <v>67</v>
      </c>
      <c r="L388" s="10"/>
      <c r="N38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88" s="3"/>
      <c r="P388" s="3"/>
      <c r="Q388" s="3"/>
      <c r="R38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88" t="str">
        <f>IF(SCTR_Brokers[[#This Row],[FechaRecepcion]]="","",TEXT(SCTR_Brokers[[#This Row],[FechaRecepcion]],"mmmm")&amp;" "&amp;YEAR(SCTR_Brokers[[#This Row],[FechaRecepcion]]))</f>
        <v>septiembre 2026</v>
      </c>
      <c r="U388">
        <f>IF(SCTR_Brokers[[#This Row],[Estado]]="FINALIZADO",1,0)</f>
        <v>1</v>
      </c>
      <c r="V388">
        <f>IF(SCTR_Brokers[[#This Row],[FechaRecepcion]]="","",IF(SCTR_Brokers[[#This Row],[Estado]]="FINALIZADO",0,1))</f>
        <v>0</v>
      </c>
      <c r="W388">
        <f ca="1">IF(AND(SCTR_Brokers[[#This Row],[Estado]]="FINALIZADO",SCTR_Brokers[[#This Row],[Plazo]]=LISTAS!$J$3),1,0)</f>
        <v>0</v>
      </c>
      <c r="X388">
        <f ca="1">IF(AND(SCTR_Brokers[[#This Row],[Estado]]="FINALIZADO",SCTR_Brokers[[#This Row],[Plazo]]=LISTAS!$J$4),1,0)</f>
        <v>1</v>
      </c>
      <c r="Y388">
        <f ca="1">IF(AND(SCTR_Brokers[[#This Row],[Estado]]&lt;&gt;"FINALIZADO",SCTR_Brokers[[#This Row],[Plazo]]=LISTAS!$J$4),1,0)</f>
        <v>0</v>
      </c>
      <c r="Z388">
        <f>IF(SCTR_Brokers[[#This Row],[Fecha_Solic_Informe]]="",0,1)</f>
        <v>0</v>
      </c>
      <c r="AA388">
        <f>IF(SCTR_Brokers[[#This Row],[Fecha_Informe]]="",0,1)</f>
        <v>0</v>
      </c>
      <c r="AB388">
        <f>IF(AND(SCTR_Brokers[[#This Row],[Fecha_Solic_Informe]]&lt;&gt;"",SCTR_Brokers[[#This Row],[Fecha_Informe]]=""),1,0)</f>
        <v>0</v>
      </c>
      <c r="AC38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89" spans="1:29" hidden="1">
      <c r="A389" t="s">
        <v>879</v>
      </c>
      <c r="C389" t="str">
        <f>IF(SCTR_Brokers[[#This Row],[FechaRecepcion]]="","",SCTR_Brokers[[#This Row],[ConversationId]]&amp;"-"&amp;TEXT(SCTR_Brokers[[#This Row],[FechaRecepcion]],"aaaammddhhmmss"))</f>
        <v>AAQkADdkNThjNzFkLWM0ZmMtNDJhYS04MDVlLTIwNzE4ZDI1Mzg4YgAQAFmS2-jtWmVJlMnSajbfXA8=-20260928124347</v>
      </c>
      <c r="D389" s="16" t="s">
        <v>880</v>
      </c>
      <c r="E389" t="s">
        <v>20</v>
      </c>
      <c r="F389" s="3">
        <v>46293.530405092592</v>
      </c>
      <c r="G389" s="3">
        <v>46293.530405092592</v>
      </c>
      <c r="H389" t="s">
        <v>356</v>
      </c>
      <c r="I389" t="s">
        <v>7</v>
      </c>
      <c r="K389" t="s">
        <v>67</v>
      </c>
      <c r="L389" s="10"/>
      <c r="N38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89" s="3"/>
      <c r="P389" s="3"/>
      <c r="Q389" s="3">
        <v>46293.698611111111</v>
      </c>
      <c r="R38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89" t="str">
        <f>IF(SCTR_Brokers[[#This Row],[FechaRecepcion]]="","",TEXT(SCTR_Brokers[[#This Row],[FechaRecepcion]],"mmmm")&amp;" "&amp;YEAR(SCTR_Brokers[[#This Row],[FechaRecepcion]]))</f>
        <v>septiembre 2026</v>
      </c>
      <c r="U389">
        <f>IF(SCTR_Brokers[[#This Row],[Estado]]="FINALIZADO",1,0)</f>
        <v>1</v>
      </c>
      <c r="V389">
        <f>IF(SCTR_Brokers[[#This Row],[FechaRecepcion]]="","",IF(SCTR_Brokers[[#This Row],[Estado]]="FINALIZADO",0,1))</f>
        <v>0</v>
      </c>
      <c r="W389">
        <f ca="1">IF(AND(SCTR_Brokers[[#This Row],[Estado]]="FINALIZADO",SCTR_Brokers[[#This Row],[Plazo]]=LISTAS!$J$3),1,0)</f>
        <v>1</v>
      </c>
      <c r="X389">
        <f ca="1">IF(AND(SCTR_Brokers[[#This Row],[Estado]]="FINALIZADO",SCTR_Brokers[[#This Row],[Plazo]]=LISTAS!$J$4),1,0)</f>
        <v>0</v>
      </c>
      <c r="Y389">
        <f ca="1">IF(AND(SCTR_Brokers[[#This Row],[Estado]]&lt;&gt;"FINALIZADO",SCTR_Brokers[[#This Row],[Plazo]]=LISTAS!$J$4),1,0)</f>
        <v>0</v>
      </c>
      <c r="Z389">
        <f>IF(SCTR_Brokers[[#This Row],[Fecha_Solic_Informe]]="",0,1)</f>
        <v>0</v>
      </c>
      <c r="AA389">
        <f>IF(SCTR_Brokers[[#This Row],[Fecha_Informe]]="",0,1)</f>
        <v>0</v>
      </c>
      <c r="AB389">
        <f>IF(AND(SCTR_Brokers[[#This Row],[Fecha_Solic_Informe]]&lt;&gt;"",SCTR_Brokers[[#This Row],[Fecha_Informe]]=""),1,0)</f>
        <v>0</v>
      </c>
      <c r="AC38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90" spans="1:29" hidden="1">
      <c r="A390" t="s">
        <v>881</v>
      </c>
      <c r="C390" t="str">
        <f>IF(SCTR_Brokers[[#This Row],[FechaRecepcion]]="","",SCTR_Brokers[[#This Row],[ConversationId]]&amp;"-"&amp;TEXT(SCTR_Brokers[[#This Row],[FechaRecepcion]],"aaaammddhhmmss"))</f>
        <v>AAQkADdkNThjNzFkLWM0ZmMtNDJhYS04MDVlLTIwNzE4ZDI1Mzg4YgAQAPBGX6Y6KF5Eg5ub-BCxk5I=-20260928124556</v>
      </c>
      <c r="D390" s="16" t="s">
        <v>882</v>
      </c>
      <c r="E390" t="s">
        <v>8</v>
      </c>
      <c r="F390" s="3">
        <v>46293.531898148147</v>
      </c>
      <c r="G390" s="3">
        <v>46293.531898148147</v>
      </c>
      <c r="H390" t="s">
        <v>73</v>
      </c>
      <c r="I390" t="s">
        <v>7</v>
      </c>
      <c r="K390" t="s">
        <v>67</v>
      </c>
      <c r="L390" s="10"/>
      <c r="N39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90" s="3"/>
      <c r="P390" s="3"/>
      <c r="Q390" s="3">
        <v>46293.7</v>
      </c>
      <c r="R39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90" t="str">
        <f>IF(SCTR_Brokers[[#This Row],[FechaRecepcion]]="","",TEXT(SCTR_Brokers[[#This Row],[FechaRecepcion]],"mmmm")&amp;" "&amp;YEAR(SCTR_Brokers[[#This Row],[FechaRecepcion]]))</f>
        <v>septiembre 2026</v>
      </c>
      <c r="U390">
        <f>IF(SCTR_Brokers[[#This Row],[Estado]]="FINALIZADO",1,0)</f>
        <v>1</v>
      </c>
      <c r="V390">
        <f>IF(SCTR_Brokers[[#This Row],[FechaRecepcion]]="","",IF(SCTR_Brokers[[#This Row],[Estado]]="FINALIZADO",0,1))</f>
        <v>0</v>
      </c>
      <c r="W390">
        <f ca="1">IF(AND(SCTR_Brokers[[#This Row],[Estado]]="FINALIZADO",SCTR_Brokers[[#This Row],[Plazo]]=LISTAS!$J$3),1,0)</f>
        <v>1</v>
      </c>
      <c r="X390">
        <f ca="1">IF(AND(SCTR_Brokers[[#This Row],[Estado]]="FINALIZADO",SCTR_Brokers[[#This Row],[Plazo]]=LISTAS!$J$4),1,0)</f>
        <v>0</v>
      </c>
      <c r="Y390">
        <f ca="1">IF(AND(SCTR_Brokers[[#This Row],[Estado]]&lt;&gt;"FINALIZADO",SCTR_Brokers[[#This Row],[Plazo]]=LISTAS!$J$4),1,0)</f>
        <v>0</v>
      </c>
      <c r="Z390">
        <f>IF(SCTR_Brokers[[#This Row],[Fecha_Solic_Informe]]="",0,1)</f>
        <v>0</v>
      </c>
      <c r="AA390">
        <f>IF(SCTR_Brokers[[#This Row],[Fecha_Informe]]="",0,1)</f>
        <v>0</v>
      </c>
      <c r="AB390">
        <f>IF(AND(SCTR_Brokers[[#This Row],[Fecha_Solic_Informe]]&lt;&gt;"",SCTR_Brokers[[#This Row],[Fecha_Informe]]=""),1,0)</f>
        <v>0</v>
      </c>
      <c r="AC39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91" spans="1:29" hidden="1">
      <c r="A391" t="s">
        <v>883</v>
      </c>
      <c r="C391" t="str">
        <f>IF(SCTR_Brokers[[#This Row],[FechaRecepcion]]="","",SCTR_Brokers[[#This Row],[ConversationId]]&amp;"-"&amp;TEXT(SCTR_Brokers[[#This Row],[FechaRecepcion]],"aaaammddhhmmss"))</f>
        <v>AAQkADdkNThjNzFkLWM0ZmMtNDJhYS04MDVlLTIwNzE4ZDI1Mzg4YgAQADHv7M8LFU2QtCLtz0fpxWk=-20260928131614</v>
      </c>
      <c r="D391" s="16" t="s">
        <v>884</v>
      </c>
      <c r="E391" t="s">
        <v>14</v>
      </c>
      <c r="F391" s="3">
        <v>46293.552939814814</v>
      </c>
      <c r="G391" s="3">
        <v>46295.375405092593</v>
      </c>
      <c r="H391" t="s">
        <v>885</v>
      </c>
      <c r="I391" t="s">
        <v>7</v>
      </c>
      <c r="K391" t="s">
        <v>67</v>
      </c>
      <c r="L391" s="10"/>
      <c r="N39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91" s="3"/>
      <c r="P391" s="3"/>
      <c r="Q391" s="3">
        <v>46295.374305555553</v>
      </c>
      <c r="R39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91" t="str">
        <f>IF(SCTR_Brokers[[#This Row],[FechaRecepcion]]="","",TEXT(SCTR_Brokers[[#This Row],[FechaRecepcion]],"mmmm")&amp;" "&amp;YEAR(SCTR_Brokers[[#This Row],[FechaRecepcion]]))</f>
        <v>septiembre 2026</v>
      </c>
      <c r="U391">
        <f>IF(SCTR_Brokers[[#This Row],[Estado]]="FINALIZADO",1,0)</f>
        <v>1</v>
      </c>
      <c r="V391">
        <f>IF(SCTR_Brokers[[#This Row],[FechaRecepcion]]="","",IF(SCTR_Brokers[[#This Row],[Estado]]="FINALIZADO",0,1))</f>
        <v>0</v>
      </c>
      <c r="W391">
        <f ca="1">IF(AND(SCTR_Brokers[[#This Row],[Estado]]="FINALIZADO",SCTR_Brokers[[#This Row],[Plazo]]=LISTAS!$J$3),1,0)</f>
        <v>0</v>
      </c>
      <c r="X391">
        <f ca="1">IF(AND(SCTR_Brokers[[#This Row],[Estado]]="FINALIZADO",SCTR_Brokers[[#This Row],[Plazo]]=LISTAS!$J$4),1,0)</f>
        <v>1</v>
      </c>
      <c r="Y391">
        <f ca="1">IF(AND(SCTR_Brokers[[#This Row],[Estado]]&lt;&gt;"FINALIZADO",SCTR_Brokers[[#This Row],[Plazo]]=LISTAS!$J$4),1,0)</f>
        <v>0</v>
      </c>
      <c r="Z391">
        <f>IF(SCTR_Brokers[[#This Row],[Fecha_Solic_Informe]]="",0,1)</f>
        <v>0</v>
      </c>
      <c r="AA391">
        <f>IF(SCTR_Brokers[[#This Row],[Fecha_Informe]]="",0,1)</f>
        <v>0</v>
      </c>
      <c r="AB391">
        <f>IF(AND(SCTR_Brokers[[#This Row],[Fecha_Solic_Informe]]&lt;&gt;"",SCTR_Brokers[[#This Row],[Fecha_Informe]]=""),1,0)</f>
        <v>0</v>
      </c>
      <c r="AC39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92" spans="1:29" hidden="1">
      <c r="A392" t="s">
        <v>886</v>
      </c>
      <c r="C392" t="str">
        <f>IF(SCTR_Brokers[[#This Row],[FechaRecepcion]]="","",SCTR_Brokers[[#This Row],[ConversationId]]&amp;"-"&amp;TEXT(SCTR_Brokers[[#This Row],[FechaRecepcion]],"aaaammddhhmmss"))</f>
        <v>AAQkADdkNThjNzFkLWM0ZmMtNDJhYS04MDVlLTIwNzE4ZDI1Mzg4YgAQABJrgQWVmFRJubqcKUgU-gw=-20260928134851</v>
      </c>
      <c r="D392" s="16" t="s">
        <v>887</v>
      </c>
      <c r="E392" t="s">
        <v>14</v>
      </c>
      <c r="F392" s="3">
        <v>46293.575590277775</v>
      </c>
      <c r="G392" s="3">
        <v>46293.575590277775</v>
      </c>
      <c r="H392" t="s">
        <v>135</v>
      </c>
      <c r="I392" t="s">
        <v>7</v>
      </c>
      <c r="K392" t="s">
        <v>67</v>
      </c>
      <c r="L392" s="10"/>
      <c r="N39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92" s="3"/>
      <c r="P392" s="3"/>
      <c r="Q392" s="3">
        <v>46294.426388888889</v>
      </c>
      <c r="R39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92" t="str">
        <f>IF(SCTR_Brokers[[#This Row],[FechaRecepcion]]="","",TEXT(SCTR_Brokers[[#This Row],[FechaRecepcion]],"mmmm")&amp;" "&amp;YEAR(SCTR_Brokers[[#This Row],[FechaRecepcion]]))</f>
        <v>septiembre 2026</v>
      </c>
      <c r="U392">
        <f>IF(SCTR_Brokers[[#This Row],[Estado]]="FINALIZADO",1,0)</f>
        <v>1</v>
      </c>
      <c r="V392">
        <f>IF(SCTR_Brokers[[#This Row],[FechaRecepcion]]="","",IF(SCTR_Brokers[[#This Row],[Estado]]="FINALIZADO",0,1))</f>
        <v>0</v>
      </c>
      <c r="W392">
        <f ca="1">IF(AND(SCTR_Brokers[[#This Row],[Estado]]="FINALIZADO",SCTR_Brokers[[#This Row],[Plazo]]=LISTAS!$J$3),1,0)</f>
        <v>1</v>
      </c>
      <c r="X392">
        <f ca="1">IF(AND(SCTR_Brokers[[#This Row],[Estado]]="FINALIZADO",SCTR_Brokers[[#This Row],[Plazo]]=LISTAS!$J$4),1,0)</f>
        <v>0</v>
      </c>
      <c r="Y392">
        <f ca="1">IF(AND(SCTR_Brokers[[#This Row],[Estado]]&lt;&gt;"FINALIZADO",SCTR_Brokers[[#This Row],[Plazo]]=LISTAS!$J$4),1,0)</f>
        <v>0</v>
      </c>
      <c r="Z392">
        <f>IF(SCTR_Brokers[[#This Row],[Fecha_Solic_Informe]]="",0,1)</f>
        <v>0</v>
      </c>
      <c r="AA392">
        <f>IF(SCTR_Brokers[[#This Row],[Fecha_Informe]]="",0,1)</f>
        <v>0</v>
      </c>
      <c r="AB392">
        <f>IF(AND(SCTR_Brokers[[#This Row],[Fecha_Solic_Informe]]&lt;&gt;"",SCTR_Brokers[[#This Row],[Fecha_Informe]]=""),1,0)</f>
        <v>0</v>
      </c>
      <c r="AC39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93" spans="1:29" hidden="1">
      <c r="A393" t="s">
        <v>888</v>
      </c>
      <c r="C393" t="str">
        <f>IF(SCTR_Brokers[[#This Row],[FechaRecepcion]]="","",SCTR_Brokers[[#This Row],[ConversationId]]&amp;"-"&amp;TEXT(SCTR_Brokers[[#This Row],[FechaRecepcion]],"aaaammddhhmmss"))</f>
        <v>AAQkADdkNThjNzFkLWM0ZmMtNDJhYS04MDVlLTIwNzE4ZDI1Mzg4YgAQAKv42Jh4h0k_lMhyaD6vUrY=-20260928150216</v>
      </c>
      <c r="D393" s="16" t="s">
        <v>889</v>
      </c>
      <c r="E393" t="s">
        <v>21</v>
      </c>
      <c r="F393" s="3">
        <v>46293.626574074071</v>
      </c>
      <c r="G393" s="3">
        <v>46293.626574074071</v>
      </c>
      <c r="H393" t="s">
        <v>890</v>
      </c>
      <c r="I393" t="s">
        <v>7</v>
      </c>
      <c r="K393" t="s">
        <v>67</v>
      </c>
      <c r="L393" s="10"/>
      <c r="N39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93" s="3"/>
      <c r="P393" s="3"/>
      <c r="Q393" s="3">
        <v>46293.663888888892</v>
      </c>
      <c r="R39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93" t="str">
        <f>IF(SCTR_Brokers[[#This Row],[FechaRecepcion]]="","",TEXT(SCTR_Brokers[[#This Row],[FechaRecepcion]],"mmmm")&amp;" "&amp;YEAR(SCTR_Brokers[[#This Row],[FechaRecepcion]]))</f>
        <v>septiembre 2026</v>
      </c>
      <c r="U393">
        <f>IF(SCTR_Brokers[[#This Row],[Estado]]="FINALIZADO",1,0)</f>
        <v>1</v>
      </c>
      <c r="V393">
        <f>IF(SCTR_Brokers[[#This Row],[FechaRecepcion]]="","",IF(SCTR_Brokers[[#This Row],[Estado]]="FINALIZADO",0,1))</f>
        <v>0</v>
      </c>
      <c r="W393">
        <f ca="1">IF(AND(SCTR_Brokers[[#This Row],[Estado]]="FINALIZADO",SCTR_Brokers[[#This Row],[Plazo]]=LISTAS!$J$3),1,0)</f>
        <v>1</v>
      </c>
      <c r="X393">
        <f ca="1">IF(AND(SCTR_Brokers[[#This Row],[Estado]]="FINALIZADO",SCTR_Brokers[[#This Row],[Plazo]]=LISTAS!$J$4),1,0)</f>
        <v>0</v>
      </c>
      <c r="Y393">
        <f ca="1">IF(AND(SCTR_Brokers[[#This Row],[Estado]]&lt;&gt;"FINALIZADO",SCTR_Brokers[[#This Row],[Plazo]]=LISTAS!$J$4),1,0)</f>
        <v>0</v>
      </c>
      <c r="Z393">
        <f>IF(SCTR_Brokers[[#This Row],[Fecha_Solic_Informe]]="",0,1)</f>
        <v>0</v>
      </c>
      <c r="AA393">
        <f>IF(SCTR_Brokers[[#This Row],[Fecha_Informe]]="",0,1)</f>
        <v>0</v>
      </c>
      <c r="AB393">
        <f>IF(AND(SCTR_Brokers[[#This Row],[Fecha_Solic_Informe]]&lt;&gt;"",SCTR_Brokers[[#This Row],[Fecha_Informe]]=""),1,0)</f>
        <v>0</v>
      </c>
      <c r="AC39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94" spans="1:29" hidden="1">
      <c r="A394" t="s">
        <v>891</v>
      </c>
      <c r="C394" t="str">
        <f>IF(SCTR_Brokers[[#This Row],[FechaRecepcion]]="","",SCTR_Brokers[[#This Row],[ConversationId]]&amp;"-"&amp;TEXT(SCTR_Brokers[[#This Row],[FechaRecepcion]],"aaaammddhhmmss"))</f>
        <v>AAQkADdkNThjNzFkLWM0ZmMtNDJhYS04MDVlLTIwNzE4ZDI1Mzg4YgAQANVadXdS4yBOtg0wbKXkHIM=-20260928151131</v>
      </c>
      <c r="D394" s="16" t="s">
        <v>892</v>
      </c>
      <c r="E394" t="s">
        <v>20</v>
      </c>
      <c r="F394" s="3">
        <v>46293.632997685185</v>
      </c>
      <c r="G394" s="3">
        <v>46293.632997685185</v>
      </c>
      <c r="H394" t="s">
        <v>356</v>
      </c>
      <c r="I394" t="s">
        <v>7</v>
      </c>
      <c r="K394" t="s">
        <v>67</v>
      </c>
      <c r="L394" s="10"/>
      <c r="N39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94" s="3"/>
      <c r="P394" s="3"/>
      <c r="Q394" s="3">
        <v>46293.695138888892</v>
      </c>
      <c r="R39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94" t="str">
        <f>IF(SCTR_Brokers[[#This Row],[FechaRecepcion]]="","",TEXT(SCTR_Brokers[[#This Row],[FechaRecepcion]],"mmmm")&amp;" "&amp;YEAR(SCTR_Brokers[[#This Row],[FechaRecepcion]]))</f>
        <v>septiembre 2026</v>
      </c>
      <c r="U394">
        <f>IF(SCTR_Brokers[[#This Row],[Estado]]="FINALIZADO",1,0)</f>
        <v>1</v>
      </c>
      <c r="V394">
        <f>IF(SCTR_Brokers[[#This Row],[FechaRecepcion]]="","",IF(SCTR_Brokers[[#This Row],[Estado]]="FINALIZADO",0,1))</f>
        <v>0</v>
      </c>
      <c r="W394">
        <f ca="1">IF(AND(SCTR_Brokers[[#This Row],[Estado]]="FINALIZADO",SCTR_Brokers[[#This Row],[Plazo]]=LISTAS!$J$3),1,0)</f>
        <v>1</v>
      </c>
      <c r="X394">
        <f ca="1">IF(AND(SCTR_Brokers[[#This Row],[Estado]]="FINALIZADO",SCTR_Brokers[[#This Row],[Plazo]]=LISTAS!$J$4),1,0)</f>
        <v>0</v>
      </c>
      <c r="Y394">
        <f ca="1">IF(AND(SCTR_Brokers[[#This Row],[Estado]]&lt;&gt;"FINALIZADO",SCTR_Brokers[[#This Row],[Plazo]]=LISTAS!$J$4),1,0)</f>
        <v>0</v>
      </c>
      <c r="Z394">
        <f>IF(SCTR_Brokers[[#This Row],[Fecha_Solic_Informe]]="",0,1)</f>
        <v>0</v>
      </c>
      <c r="AA394">
        <f>IF(SCTR_Brokers[[#This Row],[Fecha_Informe]]="",0,1)</f>
        <v>0</v>
      </c>
      <c r="AB394">
        <f>IF(AND(SCTR_Brokers[[#This Row],[Fecha_Solic_Informe]]&lt;&gt;"",SCTR_Brokers[[#This Row],[Fecha_Informe]]=""),1,0)</f>
        <v>0</v>
      </c>
      <c r="AC39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95" spans="1:29" hidden="1">
      <c r="A395" t="s">
        <v>893</v>
      </c>
      <c r="C395" t="str">
        <f>IF(SCTR_Brokers[[#This Row],[FechaRecepcion]]="","",SCTR_Brokers[[#This Row],[ConversationId]]&amp;"-"&amp;TEXT(SCTR_Brokers[[#This Row],[FechaRecepcion]],"aaaammddhhmmss"))</f>
        <v>AAQkADdkNThjNzFkLWM0ZmMtNDJhYS04MDVlLTIwNzE4ZDI1Mzg4YgAQALXLv6_1Mw9IrEN_985ZS6E=-20260928222921</v>
      </c>
      <c r="D395" s="16" t="s">
        <v>894</v>
      </c>
      <c r="E395" t="s">
        <v>21</v>
      </c>
      <c r="F395" s="3">
        <v>46293.937048611115</v>
      </c>
      <c r="G395" s="3">
        <v>46294.365104166667</v>
      </c>
      <c r="H395" t="s">
        <v>758</v>
      </c>
      <c r="I395" t="s">
        <v>7</v>
      </c>
      <c r="K395" t="s">
        <v>67</v>
      </c>
      <c r="L395" s="10"/>
      <c r="N39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95" s="3"/>
      <c r="P395" s="3"/>
      <c r="Q395" s="3">
        <v>46294.445833333331</v>
      </c>
      <c r="R39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95" t="str">
        <f>IF(SCTR_Brokers[[#This Row],[FechaRecepcion]]="","",TEXT(SCTR_Brokers[[#This Row],[FechaRecepcion]],"mmmm")&amp;" "&amp;YEAR(SCTR_Brokers[[#This Row],[FechaRecepcion]]))</f>
        <v>septiembre 2026</v>
      </c>
      <c r="U395">
        <f>IF(SCTR_Brokers[[#This Row],[Estado]]="FINALIZADO",1,0)</f>
        <v>1</v>
      </c>
      <c r="V395">
        <f>IF(SCTR_Brokers[[#This Row],[FechaRecepcion]]="","",IF(SCTR_Brokers[[#This Row],[Estado]]="FINALIZADO",0,1))</f>
        <v>0</v>
      </c>
      <c r="W395">
        <f ca="1">IF(AND(SCTR_Brokers[[#This Row],[Estado]]="FINALIZADO",SCTR_Brokers[[#This Row],[Plazo]]=LISTAS!$J$3),1,0)</f>
        <v>1</v>
      </c>
      <c r="X395">
        <f ca="1">IF(AND(SCTR_Brokers[[#This Row],[Estado]]="FINALIZADO",SCTR_Brokers[[#This Row],[Plazo]]=LISTAS!$J$4),1,0)</f>
        <v>0</v>
      </c>
      <c r="Y395">
        <f ca="1">IF(AND(SCTR_Brokers[[#This Row],[Estado]]&lt;&gt;"FINALIZADO",SCTR_Brokers[[#This Row],[Plazo]]=LISTAS!$J$4),1,0)</f>
        <v>0</v>
      </c>
      <c r="Z395">
        <f>IF(SCTR_Brokers[[#This Row],[Fecha_Solic_Informe]]="",0,1)</f>
        <v>0</v>
      </c>
      <c r="AA395">
        <f>IF(SCTR_Brokers[[#This Row],[Fecha_Informe]]="",0,1)</f>
        <v>0</v>
      </c>
      <c r="AB395">
        <f>IF(AND(SCTR_Brokers[[#This Row],[Fecha_Solic_Informe]]&lt;&gt;"",SCTR_Brokers[[#This Row],[Fecha_Informe]]=""),1,0)</f>
        <v>0</v>
      </c>
      <c r="AC39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96" spans="1:29" hidden="1">
      <c r="A396" t="s">
        <v>895</v>
      </c>
      <c r="C396" t="str">
        <f>IF(SCTR_Brokers[[#This Row],[FechaRecepcion]]="","",SCTR_Brokers[[#This Row],[ConversationId]]&amp;"-"&amp;TEXT(SCTR_Brokers[[#This Row],[FechaRecepcion]],"aaaammddhhmmss"))</f>
        <v>AAQkADdkNThjNzFkLWM0ZmMtNDJhYS04MDVlLTIwNzE4ZDI1Mzg4YgAQAPWtDCZwtUpEkHKpVNeQbco=-20260929123602</v>
      </c>
      <c r="D396" s="16" t="s">
        <v>896</v>
      </c>
      <c r="E396" t="s">
        <v>21</v>
      </c>
      <c r="F396" s="3">
        <v>46294.525023148148</v>
      </c>
      <c r="G396" s="3">
        <v>46294.525023148148</v>
      </c>
      <c r="H396" t="s">
        <v>795</v>
      </c>
      <c r="I396" t="s">
        <v>7</v>
      </c>
      <c r="K396" t="s">
        <v>67</v>
      </c>
      <c r="L396" s="10"/>
      <c r="N39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96" s="3"/>
      <c r="P396" s="3"/>
      <c r="Q396" s="3">
        <v>46294.636805555558</v>
      </c>
      <c r="R39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96" t="str">
        <f>IF(SCTR_Brokers[[#This Row],[FechaRecepcion]]="","",TEXT(SCTR_Brokers[[#This Row],[FechaRecepcion]],"mmmm")&amp;" "&amp;YEAR(SCTR_Brokers[[#This Row],[FechaRecepcion]]))</f>
        <v>septiembre 2026</v>
      </c>
      <c r="U396">
        <f>IF(SCTR_Brokers[[#This Row],[Estado]]="FINALIZADO",1,0)</f>
        <v>1</v>
      </c>
      <c r="V396">
        <f>IF(SCTR_Brokers[[#This Row],[FechaRecepcion]]="","",IF(SCTR_Brokers[[#This Row],[Estado]]="FINALIZADO",0,1))</f>
        <v>0</v>
      </c>
      <c r="W396">
        <f ca="1">IF(AND(SCTR_Brokers[[#This Row],[Estado]]="FINALIZADO",SCTR_Brokers[[#This Row],[Plazo]]=LISTAS!$J$3),1,0)</f>
        <v>1</v>
      </c>
      <c r="X396">
        <f ca="1">IF(AND(SCTR_Brokers[[#This Row],[Estado]]="FINALIZADO",SCTR_Brokers[[#This Row],[Plazo]]=LISTAS!$J$4),1,0)</f>
        <v>0</v>
      </c>
      <c r="Y396">
        <f ca="1">IF(AND(SCTR_Brokers[[#This Row],[Estado]]&lt;&gt;"FINALIZADO",SCTR_Brokers[[#This Row],[Plazo]]=LISTAS!$J$4),1,0)</f>
        <v>0</v>
      </c>
      <c r="Z396">
        <f>IF(SCTR_Brokers[[#This Row],[Fecha_Solic_Informe]]="",0,1)</f>
        <v>0</v>
      </c>
      <c r="AA396">
        <f>IF(SCTR_Brokers[[#This Row],[Fecha_Informe]]="",0,1)</f>
        <v>0</v>
      </c>
      <c r="AB396">
        <f>IF(AND(SCTR_Brokers[[#This Row],[Fecha_Solic_Informe]]&lt;&gt;"",SCTR_Brokers[[#This Row],[Fecha_Informe]]=""),1,0)</f>
        <v>0</v>
      </c>
      <c r="AC39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97" spans="1:29" hidden="1">
      <c r="A397" t="s">
        <v>897</v>
      </c>
      <c r="C397" t="str">
        <f>IF(SCTR_Brokers[[#This Row],[FechaRecepcion]]="","",SCTR_Brokers[[#This Row],[ConversationId]]&amp;"-"&amp;TEXT(SCTR_Brokers[[#This Row],[FechaRecepcion]],"aaaammddhhmmss"))</f>
        <v>AAQkADdkNThjNzFkLWM0ZmMtNDJhYS04MDVlLTIwNzE4ZDI1Mzg4YgAQAA2l8sDa9kw5km3MVfsj4Uo=-20260929125343</v>
      </c>
      <c r="D397" s="16" t="s">
        <v>898</v>
      </c>
      <c r="E397" t="s">
        <v>8</v>
      </c>
      <c r="F397" s="3">
        <v>46294.537303240744</v>
      </c>
      <c r="G397" s="3">
        <v>46294.537303240744</v>
      </c>
      <c r="H397" t="s">
        <v>899</v>
      </c>
      <c r="I397" t="s">
        <v>7</v>
      </c>
      <c r="K397" t="s">
        <v>67</v>
      </c>
      <c r="L397" s="10"/>
      <c r="N39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97" s="3"/>
      <c r="P397" s="3"/>
      <c r="Q397" s="3">
        <v>46294.634027777778</v>
      </c>
      <c r="R39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97" t="str">
        <f>IF(SCTR_Brokers[[#This Row],[FechaRecepcion]]="","",TEXT(SCTR_Brokers[[#This Row],[FechaRecepcion]],"mmmm")&amp;" "&amp;YEAR(SCTR_Brokers[[#This Row],[FechaRecepcion]]))</f>
        <v>septiembre 2026</v>
      </c>
      <c r="U397">
        <f>IF(SCTR_Brokers[[#This Row],[Estado]]="FINALIZADO",1,0)</f>
        <v>1</v>
      </c>
      <c r="V397">
        <f>IF(SCTR_Brokers[[#This Row],[FechaRecepcion]]="","",IF(SCTR_Brokers[[#This Row],[Estado]]="FINALIZADO",0,1))</f>
        <v>0</v>
      </c>
      <c r="W397">
        <f ca="1">IF(AND(SCTR_Brokers[[#This Row],[Estado]]="FINALIZADO",SCTR_Brokers[[#This Row],[Plazo]]=LISTAS!$J$3),1,0)</f>
        <v>1</v>
      </c>
      <c r="X397">
        <f ca="1">IF(AND(SCTR_Brokers[[#This Row],[Estado]]="FINALIZADO",SCTR_Brokers[[#This Row],[Plazo]]=LISTAS!$J$4),1,0)</f>
        <v>0</v>
      </c>
      <c r="Y397">
        <f ca="1">IF(AND(SCTR_Brokers[[#This Row],[Estado]]&lt;&gt;"FINALIZADO",SCTR_Brokers[[#This Row],[Plazo]]=LISTAS!$J$4),1,0)</f>
        <v>0</v>
      </c>
      <c r="Z397">
        <f>IF(SCTR_Brokers[[#This Row],[Fecha_Solic_Informe]]="",0,1)</f>
        <v>0</v>
      </c>
      <c r="AA397">
        <f>IF(SCTR_Brokers[[#This Row],[Fecha_Informe]]="",0,1)</f>
        <v>0</v>
      </c>
      <c r="AB397">
        <f>IF(AND(SCTR_Brokers[[#This Row],[Fecha_Solic_Informe]]&lt;&gt;"",SCTR_Brokers[[#This Row],[Fecha_Informe]]=""),1,0)</f>
        <v>0</v>
      </c>
      <c r="AC39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98" spans="1:29" hidden="1">
      <c r="A398" t="s">
        <v>900</v>
      </c>
      <c r="C398" t="str">
        <f>IF(SCTR_Brokers[[#This Row],[FechaRecepcion]]="","",SCTR_Brokers[[#This Row],[ConversationId]]&amp;"-"&amp;TEXT(SCTR_Brokers[[#This Row],[FechaRecepcion]],"aaaammddhhmmss"))</f>
        <v>AAQkADdkNThjNzFkLWM0ZmMtNDJhYS04MDVlLTIwNzE4ZDI1Mzg4YgAQANuFodI5RQFJlQJ38scF61Q=-20260929140004</v>
      </c>
      <c r="D398" s="16" t="s">
        <v>901</v>
      </c>
      <c r="E398" t="s">
        <v>20</v>
      </c>
      <c r="F398" s="3">
        <v>46294.583379629628</v>
      </c>
      <c r="G398" s="3">
        <v>46294.583379629628</v>
      </c>
      <c r="H398" t="s">
        <v>356</v>
      </c>
      <c r="I398" t="s">
        <v>7</v>
      </c>
      <c r="K398" t="s">
        <v>67</v>
      </c>
      <c r="L398" s="10"/>
      <c r="N39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98" s="3"/>
      <c r="P398" s="3"/>
      <c r="Q398" s="3">
        <v>46295.454861111109</v>
      </c>
      <c r="R39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398" t="str">
        <f>IF(SCTR_Brokers[[#This Row],[FechaRecepcion]]="","",TEXT(SCTR_Brokers[[#This Row],[FechaRecepcion]],"mmmm")&amp;" "&amp;YEAR(SCTR_Brokers[[#This Row],[FechaRecepcion]]))</f>
        <v>septiembre 2026</v>
      </c>
      <c r="U398">
        <f>IF(SCTR_Brokers[[#This Row],[Estado]]="FINALIZADO",1,0)</f>
        <v>1</v>
      </c>
      <c r="V398">
        <f>IF(SCTR_Brokers[[#This Row],[FechaRecepcion]]="","",IF(SCTR_Brokers[[#This Row],[Estado]]="FINALIZADO",0,1))</f>
        <v>0</v>
      </c>
      <c r="W398">
        <f ca="1">IF(AND(SCTR_Brokers[[#This Row],[Estado]]="FINALIZADO",SCTR_Brokers[[#This Row],[Plazo]]=LISTAS!$J$3),1,0)</f>
        <v>0</v>
      </c>
      <c r="X398">
        <f ca="1">IF(AND(SCTR_Brokers[[#This Row],[Estado]]="FINALIZADO",SCTR_Brokers[[#This Row],[Plazo]]=LISTAS!$J$4),1,0)</f>
        <v>1</v>
      </c>
      <c r="Y398">
        <f ca="1">IF(AND(SCTR_Brokers[[#This Row],[Estado]]&lt;&gt;"FINALIZADO",SCTR_Brokers[[#This Row],[Plazo]]=LISTAS!$J$4),1,0)</f>
        <v>0</v>
      </c>
      <c r="Z398">
        <f>IF(SCTR_Brokers[[#This Row],[Fecha_Solic_Informe]]="",0,1)</f>
        <v>0</v>
      </c>
      <c r="AA398">
        <f>IF(SCTR_Brokers[[#This Row],[Fecha_Informe]]="",0,1)</f>
        <v>0</v>
      </c>
      <c r="AB398">
        <f>IF(AND(SCTR_Brokers[[#This Row],[Fecha_Solic_Informe]]&lt;&gt;"",SCTR_Brokers[[#This Row],[Fecha_Informe]]=""),1,0)</f>
        <v>0</v>
      </c>
      <c r="AC39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399" spans="1:29" hidden="1">
      <c r="A399" t="s">
        <v>902</v>
      </c>
      <c r="C399" t="str">
        <f>IF(SCTR_Brokers[[#This Row],[FechaRecepcion]]="","",SCTR_Brokers[[#This Row],[ConversationId]]&amp;"-"&amp;TEXT(SCTR_Brokers[[#This Row],[FechaRecepcion]],"aaaammddhhmmss"))</f>
        <v>AAQkADdkNThjNzFkLWM0ZmMtNDJhYS04MDVlLTIwNzE4ZDI1Mzg4YgAQADKRzaproHlBv2rJXDHWTnQ=-20260929144807</v>
      </c>
      <c r="D399" s="16" t="s">
        <v>903</v>
      </c>
      <c r="E399" t="s">
        <v>21</v>
      </c>
      <c r="F399" s="3">
        <v>46294.616747685184</v>
      </c>
      <c r="G399" s="3">
        <v>46294.616747685184</v>
      </c>
      <c r="H399" t="s">
        <v>716</v>
      </c>
      <c r="I399" t="s">
        <v>7</v>
      </c>
      <c r="K399" t="s">
        <v>67</v>
      </c>
      <c r="L399" s="10"/>
      <c r="N39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399" s="3"/>
      <c r="P399" s="3"/>
      <c r="Q399" s="3">
        <v>46295.429861111108</v>
      </c>
      <c r="R39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399" t="str">
        <f>IF(SCTR_Brokers[[#This Row],[FechaRecepcion]]="","",TEXT(SCTR_Brokers[[#This Row],[FechaRecepcion]],"mmmm")&amp;" "&amp;YEAR(SCTR_Brokers[[#This Row],[FechaRecepcion]]))</f>
        <v>septiembre 2026</v>
      </c>
      <c r="U399">
        <f>IF(SCTR_Brokers[[#This Row],[Estado]]="FINALIZADO",1,0)</f>
        <v>1</v>
      </c>
      <c r="V399">
        <f>IF(SCTR_Brokers[[#This Row],[FechaRecepcion]]="","",IF(SCTR_Brokers[[#This Row],[Estado]]="FINALIZADO",0,1))</f>
        <v>0</v>
      </c>
      <c r="W399">
        <f ca="1">IF(AND(SCTR_Brokers[[#This Row],[Estado]]="FINALIZADO",SCTR_Brokers[[#This Row],[Plazo]]=LISTAS!$J$3),1,0)</f>
        <v>1</v>
      </c>
      <c r="X399">
        <f ca="1">IF(AND(SCTR_Brokers[[#This Row],[Estado]]="FINALIZADO",SCTR_Brokers[[#This Row],[Plazo]]=LISTAS!$J$4),1,0)</f>
        <v>0</v>
      </c>
      <c r="Y399">
        <f ca="1">IF(AND(SCTR_Brokers[[#This Row],[Estado]]&lt;&gt;"FINALIZADO",SCTR_Brokers[[#This Row],[Plazo]]=LISTAS!$J$4),1,0)</f>
        <v>0</v>
      </c>
      <c r="Z399">
        <f>IF(SCTR_Brokers[[#This Row],[Fecha_Solic_Informe]]="",0,1)</f>
        <v>0</v>
      </c>
      <c r="AA399">
        <f>IF(SCTR_Brokers[[#This Row],[Fecha_Informe]]="",0,1)</f>
        <v>0</v>
      </c>
      <c r="AB399">
        <f>IF(AND(SCTR_Brokers[[#This Row],[Fecha_Solic_Informe]]&lt;&gt;"",SCTR_Brokers[[#This Row],[Fecha_Informe]]=""),1,0)</f>
        <v>0</v>
      </c>
      <c r="AC39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00" spans="1:29" hidden="1">
      <c r="A400" t="s">
        <v>904</v>
      </c>
      <c r="C400" t="str">
        <f>IF(SCTR_Brokers[[#This Row],[FechaRecepcion]]="","",SCTR_Brokers[[#This Row],[ConversationId]]&amp;"-"&amp;TEXT(SCTR_Brokers[[#This Row],[FechaRecepcion]],"aaaammddhhmmss"))</f>
        <v>AAQkADdkNThjNzFkLWM0ZmMtNDJhYS04MDVlLTIwNzE4ZDI1Mzg4YgAQACqAc3ujzQtDka_gePror4E=-20260929153938</v>
      </c>
      <c r="D400" s="16" t="s">
        <v>905</v>
      </c>
      <c r="E400" t="s">
        <v>23</v>
      </c>
      <c r="F400" s="3">
        <v>46294.65252314815</v>
      </c>
      <c r="G400" s="3">
        <v>46295.593055555553</v>
      </c>
      <c r="H400" t="s">
        <v>906</v>
      </c>
      <c r="I400" t="s">
        <v>7</v>
      </c>
      <c r="K400" t="s">
        <v>67</v>
      </c>
      <c r="L400" s="10"/>
      <c r="N40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00" s="3"/>
      <c r="P400" s="3"/>
      <c r="Q400" s="3">
        <v>46295.495138888888</v>
      </c>
      <c r="R40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00" t="str">
        <f>IF(SCTR_Brokers[[#This Row],[FechaRecepcion]]="","",TEXT(SCTR_Brokers[[#This Row],[FechaRecepcion]],"mmmm")&amp;" "&amp;YEAR(SCTR_Brokers[[#This Row],[FechaRecepcion]]))</f>
        <v>septiembre 2026</v>
      </c>
      <c r="U400">
        <f>IF(SCTR_Brokers[[#This Row],[Estado]]="FINALIZADO",1,0)</f>
        <v>1</v>
      </c>
      <c r="V400">
        <f>IF(SCTR_Brokers[[#This Row],[FechaRecepcion]]="","",IF(SCTR_Brokers[[#This Row],[Estado]]="FINALIZADO",0,1))</f>
        <v>0</v>
      </c>
      <c r="W400">
        <f ca="1">IF(AND(SCTR_Brokers[[#This Row],[Estado]]="FINALIZADO",SCTR_Brokers[[#This Row],[Plazo]]=LISTAS!$J$3),1,0)</f>
        <v>1</v>
      </c>
      <c r="X400">
        <f ca="1">IF(AND(SCTR_Brokers[[#This Row],[Estado]]="FINALIZADO",SCTR_Brokers[[#This Row],[Plazo]]=LISTAS!$J$4),1,0)</f>
        <v>0</v>
      </c>
      <c r="Y400">
        <f ca="1">IF(AND(SCTR_Brokers[[#This Row],[Estado]]&lt;&gt;"FINALIZADO",SCTR_Brokers[[#This Row],[Plazo]]=LISTAS!$J$4),1,0)</f>
        <v>0</v>
      </c>
      <c r="Z400">
        <f>IF(SCTR_Brokers[[#This Row],[Fecha_Solic_Informe]]="",0,1)</f>
        <v>0</v>
      </c>
      <c r="AA400">
        <f>IF(SCTR_Brokers[[#This Row],[Fecha_Informe]]="",0,1)</f>
        <v>0</v>
      </c>
      <c r="AB400">
        <f>IF(AND(SCTR_Brokers[[#This Row],[Fecha_Solic_Informe]]&lt;&gt;"",SCTR_Brokers[[#This Row],[Fecha_Informe]]=""),1,0)</f>
        <v>0</v>
      </c>
      <c r="AC40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01" spans="1:29" hidden="1">
      <c r="A401" t="s">
        <v>907</v>
      </c>
      <c r="C401" t="str">
        <f>IF(SCTR_Brokers[[#This Row],[FechaRecepcion]]="","",SCTR_Brokers[[#This Row],[ConversationId]]&amp;"-"&amp;TEXT(SCTR_Brokers[[#This Row],[FechaRecepcion]],"aaaammddhhmmss"))</f>
        <v>AAQkADdkNThjNzFkLWM0ZmMtNDJhYS04MDVlLTIwNzE4ZDI1Mzg4YgAQAAnMeITAJEfkn5fSQEZubQg=-20260929173728</v>
      </c>
      <c r="D401" s="16" t="s">
        <v>908</v>
      </c>
      <c r="E401" t="s">
        <v>21</v>
      </c>
      <c r="F401" s="3">
        <v>46294.734351851854</v>
      </c>
      <c r="G401" s="3">
        <v>46295.631331018521</v>
      </c>
      <c r="H401" t="s">
        <v>909</v>
      </c>
      <c r="I401" t="s">
        <v>7</v>
      </c>
      <c r="K401" t="s">
        <v>67</v>
      </c>
      <c r="L401" s="10"/>
      <c r="N40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01" s="3"/>
      <c r="P401" s="3"/>
      <c r="Q401" s="3">
        <v>46295.631249999999</v>
      </c>
      <c r="R40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401" t="str">
        <f>IF(SCTR_Brokers[[#This Row],[FechaRecepcion]]="","",TEXT(SCTR_Brokers[[#This Row],[FechaRecepcion]],"mmmm")&amp;" "&amp;YEAR(SCTR_Brokers[[#This Row],[FechaRecepcion]]))</f>
        <v>septiembre 2026</v>
      </c>
      <c r="U401">
        <f>IF(SCTR_Brokers[[#This Row],[Estado]]="FINALIZADO",1,0)</f>
        <v>1</v>
      </c>
      <c r="V401">
        <f>IF(SCTR_Brokers[[#This Row],[FechaRecepcion]]="","",IF(SCTR_Brokers[[#This Row],[Estado]]="FINALIZADO",0,1))</f>
        <v>0</v>
      </c>
      <c r="W401">
        <f ca="1">IF(AND(SCTR_Brokers[[#This Row],[Estado]]="FINALIZADO",SCTR_Brokers[[#This Row],[Plazo]]=LISTAS!$J$3),1,0)</f>
        <v>0</v>
      </c>
      <c r="X401">
        <f ca="1">IF(AND(SCTR_Brokers[[#This Row],[Estado]]="FINALIZADO",SCTR_Brokers[[#This Row],[Plazo]]=LISTAS!$J$4),1,0)</f>
        <v>1</v>
      </c>
      <c r="Y401">
        <f ca="1">IF(AND(SCTR_Brokers[[#This Row],[Estado]]&lt;&gt;"FINALIZADO",SCTR_Brokers[[#This Row],[Plazo]]=LISTAS!$J$4),1,0)</f>
        <v>0</v>
      </c>
      <c r="Z401">
        <f>IF(SCTR_Brokers[[#This Row],[Fecha_Solic_Informe]]="",0,1)</f>
        <v>0</v>
      </c>
      <c r="AA401">
        <f>IF(SCTR_Brokers[[#This Row],[Fecha_Informe]]="",0,1)</f>
        <v>0</v>
      </c>
      <c r="AB401">
        <f>IF(AND(SCTR_Brokers[[#This Row],[Fecha_Solic_Informe]]&lt;&gt;"",SCTR_Brokers[[#This Row],[Fecha_Informe]]=""),1,0)</f>
        <v>0</v>
      </c>
      <c r="AC40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02" spans="1:29" hidden="1">
      <c r="A402" t="s">
        <v>910</v>
      </c>
      <c r="C402" t="str">
        <f>IF(SCTR_Brokers[[#This Row],[FechaRecepcion]]="","",SCTR_Brokers[[#This Row],[ConversationId]]&amp;"-"&amp;TEXT(SCTR_Brokers[[#This Row],[FechaRecepcion]],"aaaammddhhmmss"))</f>
        <v>AAQkADdkNThjNzFkLWM0ZmMtNDJhYS04MDVlLTIwNzE4ZDI1Mzg4YgAQADnXEFrUQhlCnqODD5ssx30=-20260930091417</v>
      </c>
      <c r="D402" s="16" t="s">
        <v>911</v>
      </c>
      <c r="E402" t="s">
        <v>8</v>
      </c>
      <c r="F402" s="3">
        <v>46295.384918981479</v>
      </c>
      <c r="G402" s="3">
        <v>46295.384918981479</v>
      </c>
      <c r="H402" t="s">
        <v>912</v>
      </c>
      <c r="I402" t="s">
        <v>7</v>
      </c>
      <c r="K402" t="s">
        <v>67</v>
      </c>
      <c r="L402" s="10"/>
      <c r="N40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02" s="3"/>
      <c r="P402" s="3"/>
      <c r="Q402" s="3">
        <v>46295.481249999997</v>
      </c>
      <c r="R40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02" t="str">
        <f>IF(SCTR_Brokers[[#This Row],[FechaRecepcion]]="","",TEXT(SCTR_Brokers[[#This Row],[FechaRecepcion]],"mmmm")&amp;" "&amp;YEAR(SCTR_Brokers[[#This Row],[FechaRecepcion]]))</f>
        <v>septiembre 2026</v>
      </c>
      <c r="U402">
        <f>IF(SCTR_Brokers[[#This Row],[Estado]]="FINALIZADO",1,0)</f>
        <v>1</v>
      </c>
      <c r="V402">
        <f>IF(SCTR_Brokers[[#This Row],[FechaRecepcion]]="","",IF(SCTR_Brokers[[#This Row],[Estado]]="FINALIZADO",0,1))</f>
        <v>0</v>
      </c>
      <c r="W402">
        <f ca="1">IF(AND(SCTR_Brokers[[#This Row],[Estado]]="FINALIZADO",SCTR_Brokers[[#This Row],[Plazo]]=LISTAS!$J$3),1,0)</f>
        <v>1</v>
      </c>
      <c r="X402">
        <f ca="1">IF(AND(SCTR_Brokers[[#This Row],[Estado]]="FINALIZADO",SCTR_Brokers[[#This Row],[Plazo]]=LISTAS!$J$4),1,0)</f>
        <v>0</v>
      </c>
      <c r="Y402">
        <f ca="1">IF(AND(SCTR_Brokers[[#This Row],[Estado]]&lt;&gt;"FINALIZADO",SCTR_Brokers[[#This Row],[Plazo]]=LISTAS!$J$4),1,0)</f>
        <v>0</v>
      </c>
      <c r="Z402">
        <f>IF(SCTR_Brokers[[#This Row],[Fecha_Solic_Informe]]="",0,1)</f>
        <v>0</v>
      </c>
      <c r="AA402">
        <f>IF(SCTR_Brokers[[#This Row],[Fecha_Informe]]="",0,1)</f>
        <v>0</v>
      </c>
      <c r="AB402">
        <f>IF(AND(SCTR_Brokers[[#This Row],[Fecha_Solic_Informe]]&lt;&gt;"",SCTR_Brokers[[#This Row],[Fecha_Informe]]=""),1,0)</f>
        <v>0</v>
      </c>
      <c r="AC40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03" spans="1:29" hidden="1">
      <c r="A403" t="s">
        <v>913</v>
      </c>
      <c r="C403" t="str">
        <f>IF(SCTR_Brokers[[#This Row],[FechaRecepcion]]="","",SCTR_Brokers[[#This Row],[ConversationId]]&amp;"-"&amp;TEXT(SCTR_Brokers[[#This Row],[FechaRecepcion]],"aaaammddhhmmss"))</f>
        <v>AAQkADdkNThjNzFkLWM0ZmMtNDJhYS04MDVlLTIwNzE4ZDI1Mzg4YgAQAAfdmsuoEyFHt0t9wIIimAE=-20260930105952</v>
      </c>
      <c r="D403" s="16" t="s">
        <v>914</v>
      </c>
      <c r="E403" t="s">
        <v>21</v>
      </c>
      <c r="F403" s="3">
        <v>46295.458240740743</v>
      </c>
      <c r="G403" s="3">
        <v>46295.681585648148</v>
      </c>
      <c r="H403" t="s">
        <v>915</v>
      </c>
      <c r="I403" t="s">
        <v>7</v>
      </c>
      <c r="K403" t="s">
        <v>67</v>
      </c>
      <c r="L403" s="10"/>
      <c r="N40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03" s="3"/>
      <c r="P403" s="3"/>
      <c r="Q403" s="3">
        <v>46295.55972222222</v>
      </c>
      <c r="R40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03" t="str">
        <f>IF(SCTR_Brokers[[#This Row],[FechaRecepcion]]="","",TEXT(SCTR_Brokers[[#This Row],[FechaRecepcion]],"mmmm")&amp;" "&amp;YEAR(SCTR_Brokers[[#This Row],[FechaRecepcion]]))</f>
        <v>septiembre 2026</v>
      </c>
      <c r="U403">
        <f>IF(SCTR_Brokers[[#This Row],[Estado]]="FINALIZADO",1,0)</f>
        <v>1</v>
      </c>
      <c r="V403">
        <f>IF(SCTR_Brokers[[#This Row],[FechaRecepcion]]="","",IF(SCTR_Brokers[[#This Row],[Estado]]="FINALIZADO",0,1))</f>
        <v>0</v>
      </c>
      <c r="W403">
        <f ca="1">IF(AND(SCTR_Brokers[[#This Row],[Estado]]="FINALIZADO",SCTR_Brokers[[#This Row],[Plazo]]=LISTAS!$J$3),1,0)</f>
        <v>1</v>
      </c>
      <c r="X403">
        <f ca="1">IF(AND(SCTR_Brokers[[#This Row],[Estado]]="FINALIZADO",SCTR_Brokers[[#This Row],[Plazo]]=LISTAS!$J$4),1,0)</f>
        <v>0</v>
      </c>
      <c r="Y403">
        <f ca="1">IF(AND(SCTR_Brokers[[#This Row],[Estado]]&lt;&gt;"FINALIZADO",SCTR_Brokers[[#This Row],[Plazo]]=LISTAS!$J$4),1,0)</f>
        <v>0</v>
      </c>
      <c r="Z403">
        <f>IF(SCTR_Brokers[[#This Row],[Fecha_Solic_Informe]]="",0,1)</f>
        <v>0</v>
      </c>
      <c r="AA403">
        <f>IF(SCTR_Brokers[[#This Row],[Fecha_Informe]]="",0,1)</f>
        <v>0</v>
      </c>
      <c r="AB403">
        <f>IF(AND(SCTR_Brokers[[#This Row],[Fecha_Solic_Informe]]&lt;&gt;"",SCTR_Brokers[[#This Row],[Fecha_Informe]]=""),1,0)</f>
        <v>0</v>
      </c>
      <c r="AC40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04" spans="1:29" hidden="1">
      <c r="A404" t="s">
        <v>916</v>
      </c>
      <c r="C404" t="str">
        <f>IF(SCTR_Brokers[[#This Row],[FechaRecepcion]]="","",SCTR_Brokers[[#This Row],[ConversationId]]&amp;"-"&amp;TEXT(SCTR_Brokers[[#This Row],[FechaRecepcion]],"aaaammddhhmmss"))</f>
        <v>AAQkADdkNThjNzFkLWM0ZmMtNDJhYS04MDVlLTIwNzE4ZDI1Mzg4YgAQAGyiw8SIsUgrrYm1-Ye_MY8=-20260930111735</v>
      </c>
      <c r="D404" s="16" t="s">
        <v>917</v>
      </c>
      <c r="E404" t="s">
        <v>21</v>
      </c>
      <c r="F404" s="3">
        <v>46295.470543981479</v>
      </c>
      <c r="G404" s="3">
        <v>46295.485081018516</v>
      </c>
      <c r="H404" t="s">
        <v>918</v>
      </c>
      <c r="I404" t="s">
        <v>7</v>
      </c>
      <c r="K404" t="s">
        <v>67</v>
      </c>
      <c r="L404" s="10"/>
      <c r="N40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04" s="3"/>
      <c r="P404" s="3"/>
      <c r="Q404" s="3">
        <v>46295.5</v>
      </c>
      <c r="R40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04" t="str">
        <f>IF(SCTR_Brokers[[#This Row],[FechaRecepcion]]="","",TEXT(SCTR_Brokers[[#This Row],[FechaRecepcion]],"mmmm")&amp;" "&amp;YEAR(SCTR_Brokers[[#This Row],[FechaRecepcion]]))</f>
        <v>septiembre 2026</v>
      </c>
      <c r="U404">
        <f>IF(SCTR_Brokers[[#This Row],[Estado]]="FINALIZADO",1,0)</f>
        <v>1</v>
      </c>
      <c r="V404">
        <f>IF(SCTR_Brokers[[#This Row],[FechaRecepcion]]="","",IF(SCTR_Brokers[[#This Row],[Estado]]="FINALIZADO",0,1))</f>
        <v>0</v>
      </c>
      <c r="W404">
        <f ca="1">IF(AND(SCTR_Brokers[[#This Row],[Estado]]="FINALIZADO",SCTR_Brokers[[#This Row],[Plazo]]=LISTAS!$J$3),1,0)</f>
        <v>1</v>
      </c>
      <c r="X404">
        <f ca="1">IF(AND(SCTR_Brokers[[#This Row],[Estado]]="FINALIZADO",SCTR_Brokers[[#This Row],[Plazo]]=LISTAS!$J$4),1,0)</f>
        <v>0</v>
      </c>
      <c r="Y404">
        <f ca="1">IF(AND(SCTR_Brokers[[#This Row],[Estado]]&lt;&gt;"FINALIZADO",SCTR_Brokers[[#This Row],[Plazo]]=LISTAS!$J$4),1,0)</f>
        <v>0</v>
      </c>
      <c r="Z404">
        <f>IF(SCTR_Brokers[[#This Row],[Fecha_Solic_Informe]]="",0,1)</f>
        <v>0</v>
      </c>
      <c r="AA404">
        <f>IF(SCTR_Brokers[[#This Row],[Fecha_Informe]]="",0,1)</f>
        <v>0</v>
      </c>
      <c r="AB404">
        <f>IF(AND(SCTR_Brokers[[#This Row],[Fecha_Solic_Informe]]&lt;&gt;"",SCTR_Brokers[[#This Row],[Fecha_Informe]]=""),1,0)</f>
        <v>0</v>
      </c>
      <c r="AC40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05" spans="1:29" hidden="1">
      <c r="A405" t="s">
        <v>919</v>
      </c>
      <c r="C405" t="str">
        <f>IF(SCTR_Brokers[[#This Row],[FechaRecepcion]]="","",SCTR_Brokers[[#This Row],[ConversationId]]&amp;"-"&amp;TEXT(SCTR_Brokers[[#This Row],[FechaRecepcion]],"aaaammddhhmmss"))</f>
        <v>AAQkADdkNThjNzFkLWM0ZmMtNDJhYS04MDVlLTIwNzE4ZDI1Mzg4YgAQAPTm0yKbxChBjFUcJMVVDyE=-20260930154037</v>
      </c>
      <c r="D405" s="16" t="s">
        <v>920</v>
      </c>
      <c r="E405" t="s">
        <v>8</v>
      </c>
      <c r="F405" s="3">
        <v>46295.65320601852</v>
      </c>
      <c r="G405" s="3">
        <v>46296.617974537039</v>
      </c>
      <c r="H405" t="s">
        <v>70</v>
      </c>
      <c r="I405" t="s">
        <v>7</v>
      </c>
      <c r="K405" t="s">
        <v>67</v>
      </c>
      <c r="L405" s="10"/>
      <c r="N40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05" s="3"/>
      <c r="P405" s="3"/>
      <c r="Q405" s="3">
        <v>46296.617974537039</v>
      </c>
      <c r="R40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405" t="str">
        <f>IF(SCTR_Brokers[[#This Row],[FechaRecepcion]]="","",TEXT(SCTR_Brokers[[#This Row],[FechaRecepcion]],"mmmm")&amp;" "&amp;YEAR(SCTR_Brokers[[#This Row],[FechaRecepcion]]))</f>
        <v>septiembre 2026</v>
      </c>
      <c r="U405">
        <f>IF(SCTR_Brokers[[#This Row],[Estado]]="FINALIZADO",1,0)</f>
        <v>1</v>
      </c>
      <c r="V405">
        <f>IF(SCTR_Brokers[[#This Row],[FechaRecepcion]]="","",IF(SCTR_Brokers[[#This Row],[Estado]]="FINALIZADO",0,1))</f>
        <v>0</v>
      </c>
      <c r="W405">
        <f ca="1">IF(AND(SCTR_Brokers[[#This Row],[Estado]]="FINALIZADO",SCTR_Brokers[[#This Row],[Plazo]]=LISTAS!$J$3),1,0)</f>
        <v>0</v>
      </c>
      <c r="X405">
        <f ca="1">IF(AND(SCTR_Brokers[[#This Row],[Estado]]="FINALIZADO",SCTR_Brokers[[#This Row],[Plazo]]=LISTAS!$J$4),1,0)</f>
        <v>1</v>
      </c>
      <c r="Y405">
        <f ca="1">IF(AND(SCTR_Brokers[[#This Row],[Estado]]&lt;&gt;"FINALIZADO",SCTR_Brokers[[#This Row],[Plazo]]=LISTAS!$J$4),1,0)</f>
        <v>0</v>
      </c>
      <c r="Z405">
        <f>IF(SCTR_Brokers[[#This Row],[Fecha_Solic_Informe]]="",0,1)</f>
        <v>0</v>
      </c>
      <c r="AA405">
        <f>IF(SCTR_Brokers[[#This Row],[Fecha_Informe]]="",0,1)</f>
        <v>0</v>
      </c>
      <c r="AB405">
        <f>IF(AND(SCTR_Brokers[[#This Row],[Fecha_Solic_Informe]]&lt;&gt;"",SCTR_Brokers[[#This Row],[Fecha_Informe]]=""),1,0)</f>
        <v>0</v>
      </c>
      <c r="AC40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06" spans="1:29" hidden="1">
      <c r="A406" t="s">
        <v>921</v>
      </c>
      <c r="C406" t="str">
        <f>IF(SCTR_Brokers[[#This Row],[FechaRecepcion]]="","",SCTR_Brokers[[#This Row],[ConversationId]]&amp;"-"&amp;TEXT(SCTR_Brokers[[#This Row],[FechaRecepcion]],"aaaammddhhmmss"))</f>
        <v>AAQkADdkNThjNzFkLWM0ZmMtNDJhYS04MDVlLTIwNzE4ZDI1Mzg4YgAQAFTjUBbkomxEp5b0Ohcehzk=-20260930160522</v>
      </c>
      <c r="D406" s="16" t="s">
        <v>922</v>
      </c>
      <c r="E406" t="s">
        <v>8</v>
      </c>
      <c r="F406" s="3">
        <v>46295.670393518521</v>
      </c>
      <c r="G406" s="3">
        <v>46295.670393518521</v>
      </c>
      <c r="H406" t="s">
        <v>73</v>
      </c>
      <c r="I406" t="s">
        <v>7</v>
      </c>
      <c r="K406" t="s">
        <v>67</v>
      </c>
      <c r="L406" s="10"/>
      <c r="N40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06" s="3"/>
      <c r="P406" s="3"/>
      <c r="Q406" s="3">
        <v>46295.677777777775</v>
      </c>
      <c r="R40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06" t="str">
        <f>IF(SCTR_Brokers[[#This Row],[FechaRecepcion]]="","",TEXT(SCTR_Brokers[[#This Row],[FechaRecepcion]],"mmmm")&amp;" "&amp;YEAR(SCTR_Brokers[[#This Row],[FechaRecepcion]]))</f>
        <v>septiembre 2026</v>
      </c>
      <c r="U406">
        <f>IF(SCTR_Brokers[[#This Row],[Estado]]="FINALIZADO",1,0)</f>
        <v>1</v>
      </c>
      <c r="V406">
        <f>IF(SCTR_Brokers[[#This Row],[FechaRecepcion]]="","",IF(SCTR_Brokers[[#This Row],[Estado]]="FINALIZADO",0,1))</f>
        <v>0</v>
      </c>
      <c r="W406">
        <f ca="1">IF(AND(SCTR_Brokers[[#This Row],[Estado]]="FINALIZADO",SCTR_Brokers[[#This Row],[Plazo]]=LISTAS!$J$3),1,0)</f>
        <v>1</v>
      </c>
      <c r="X406">
        <f ca="1">IF(AND(SCTR_Brokers[[#This Row],[Estado]]="FINALIZADO",SCTR_Brokers[[#This Row],[Plazo]]=LISTAS!$J$4),1,0)</f>
        <v>0</v>
      </c>
      <c r="Y406">
        <f ca="1">IF(AND(SCTR_Brokers[[#This Row],[Estado]]&lt;&gt;"FINALIZADO",SCTR_Brokers[[#This Row],[Plazo]]=LISTAS!$J$4),1,0)</f>
        <v>0</v>
      </c>
      <c r="Z406">
        <f>IF(SCTR_Brokers[[#This Row],[Fecha_Solic_Informe]]="",0,1)</f>
        <v>0</v>
      </c>
      <c r="AA406">
        <f>IF(SCTR_Brokers[[#This Row],[Fecha_Informe]]="",0,1)</f>
        <v>0</v>
      </c>
      <c r="AB406">
        <f>IF(AND(SCTR_Brokers[[#This Row],[Fecha_Solic_Informe]]&lt;&gt;"",SCTR_Brokers[[#This Row],[Fecha_Informe]]=""),1,0)</f>
        <v>0</v>
      </c>
      <c r="AC40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07" spans="1:29" hidden="1">
      <c r="A407" t="s">
        <v>923</v>
      </c>
      <c r="C407" t="str">
        <f>IF(SCTR_Brokers[[#This Row],[FechaRecepcion]]="","",SCTR_Brokers[[#This Row],[ConversationId]]&amp;"-"&amp;TEXT(SCTR_Brokers[[#This Row],[FechaRecepcion]],"aaaammddhhmmss"))</f>
        <v>AAQkADdkNThjNzFkLWM0ZmMtNDJhYS04MDVlLTIwNzE4ZDI1Mzg4YgAQANUiXlDLX5dMpbsMoshiIac=-20260930163820</v>
      </c>
      <c r="D407" s="16" t="s">
        <v>924</v>
      </c>
      <c r="E407" t="s">
        <v>20</v>
      </c>
      <c r="F407" s="3">
        <v>46295.693287037036</v>
      </c>
      <c r="G407" s="3">
        <v>46295.693287037036</v>
      </c>
      <c r="H407" t="s">
        <v>356</v>
      </c>
      <c r="I407" t="s">
        <v>7</v>
      </c>
      <c r="K407" t="s">
        <v>67</v>
      </c>
      <c r="L407" s="10"/>
      <c r="N40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07" s="3"/>
      <c r="P407" s="3"/>
      <c r="Q407" s="3">
        <v>46295.731249999997</v>
      </c>
      <c r="R40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07" t="str">
        <f>IF(SCTR_Brokers[[#This Row],[FechaRecepcion]]="","",TEXT(SCTR_Brokers[[#This Row],[FechaRecepcion]],"mmmm")&amp;" "&amp;YEAR(SCTR_Brokers[[#This Row],[FechaRecepcion]]))</f>
        <v>septiembre 2026</v>
      </c>
      <c r="U407">
        <f>IF(SCTR_Brokers[[#This Row],[Estado]]="FINALIZADO",1,0)</f>
        <v>1</v>
      </c>
      <c r="V407">
        <f>IF(SCTR_Brokers[[#This Row],[FechaRecepcion]]="","",IF(SCTR_Brokers[[#This Row],[Estado]]="FINALIZADO",0,1))</f>
        <v>0</v>
      </c>
      <c r="W407">
        <f ca="1">IF(AND(SCTR_Brokers[[#This Row],[Estado]]="FINALIZADO",SCTR_Brokers[[#This Row],[Plazo]]=LISTAS!$J$3),1,0)</f>
        <v>1</v>
      </c>
      <c r="X407">
        <f ca="1">IF(AND(SCTR_Brokers[[#This Row],[Estado]]="FINALIZADO",SCTR_Brokers[[#This Row],[Plazo]]=LISTAS!$J$4),1,0)</f>
        <v>0</v>
      </c>
      <c r="Y407">
        <f ca="1">IF(AND(SCTR_Brokers[[#This Row],[Estado]]&lt;&gt;"FINALIZADO",SCTR_Brokers[[#This Row],[Plazo]]=LISTAS!$J$4),1,0)</f>
        <v>0</v>
      </c>
      <c r="Z407">
        <f>IF(SCTR_Brokers[[#This Row],[Fecha_Solic_Informe]]="",0,1)</f>
        <v>0</v>
      </c>
      <c r="AA407">
        <f>IF(SCTR_Brokers[[#This Row],[Fecha_Informe]]="",0,1)</f>
        <v>0</v>
      </c>
      <c r="AB407">
        <f>IF(AND(SCTR_Brokers[[#This Row],[Fecha_Solic_Informe]]&lt;&gt;"",SCTR_Brokers[[#This Row],[Fecha_Informe]]=""),1,0)</f>
        <v>0</v>
      </c>
      <c r="AC40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08" spans="1:29" hidden="1">
      <c r="A408" t="s">
        <v>925</v>
      </c>
      <c r="C408" t="str">
        <f>IF(SCTR_Brokers[[#This Row],[FechaRecepcion]]="","",SCTR_Brokers[[#This Row],[ConversationId]]&amp;"-"&amp;TEXT(SCTR_Brokers[[#This Row],[FechaRecepcion]],"aaaammddhhmmss"))</f>
        <v>AAQkADdkNThjNzFkLWM0ZmMtNDJhYS04MDVlLTIwNzE4ZDI1Mzg4YgAQANdXBRXYe9hIiKRaIbjat30=-20260930173930</v>
      </c>
      <c r="D408" s="16" t="s">
        <v>926</v>
      </c>
      <c r="E408" t="s">
        <v>8</v>
      </c>
      <c r="F408" s="3">
        <v>46295.735763888886</v>
      </c>
      <c r="G408" s="3">
        <v>46295.735763888886</v>
      </c>
      <c r="H408" t="s">
        <v>858</v>
      </c>
      <c r="I408" t="s">
        <v>7</v>
      </c>
      <c r="J408" t="s">
        <v>927</v>
      </c>
      <c r="K408" t="s">
        <v>67</v>
      </c>
      <c r="L408" s="10"/>
      <c r="N40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08" s="3"/>
      <c r="P408" s="3"/>
      <c r="Q408" s="3">
        <v>46295.735763888893</v>
      </c>
      <c r="R40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408" t="s">
        <v>164</v>
      </c>
      <c r="T408" t="str">
        <f>IF(SCTR_Brokers[[#This Row],[FechaRecepcion]]="","",TEXT(SCTR_Brokers[[#This Row],[FechaRecepcion]],"mmmm")&amp;" "&amp;YEAR(SCTR_Brokers[[#This Row],[FechaRecepcion]]))</f>
        <v>septiembre 2026</v>
      </c>
      <c r="U408">
        <f>IF(SCTR_Brokers[[#This Row],[Estado]]="FINALIZADO",1,0)</f>
        <v>1</v>
      </c>
      <c r="V408">
        <f>IF(SCTR_Brokers[[#This Row],[FechaRecepcion]]="","",IF(SCTR_Brokers[[#This Row],[Estado]]="FINALIZADO",0,1))</f>
        <v>0</v>
      </c>
      <c r="W408">
        <f ca="1">IF(AND(SCTR_Brokers[[#This Row],[Estado]]="FINALIZADO",SCTR_Brokers[[#This Row],[Plazo]]=LISTAS!$J$3),1,0)</f>
        <v>1</v>
      </c>
      <c r="X408">
        <f ca="1">IF(AND(SCTR_Brokers[[#This Row],[Estado]]="FINALIZADO",SCTR_Brokers[[#This Row],[Plazo]]=LISTAS!$J$4),1,0)</f>
        <v>0</v>
      </c>
      <c r="Y408">
        <f ca="1">IF(AND(SCTR_Brokers[[#This Row],[Estado]]&lt;&gt;"FINALIZADO",SCTR_Brokers[[#This Row],[Plazo]]=LISTAS!$J$4),1,0)</f>
        <v>0</v>
      </c>
      <c r="Z408">
        <f>IF(SCTR_Brokers[[#This Row],[Fecha_Solic_Informe]]="",0,1)</f>
        <v>0</v>
      </c>
      <c r="AA408">
        <f>IF(SCTR_Brokers[[#This Row],[Fecha_Informe]]="",0,1)</f>
        <v>0</v>
      </c>
      <c r="AB408">
        <f>IF(AND(SCTR_Brokers[[#This Row],[Fecha_Solic_Informe]]&lt;&gt;"",SCTR_Brokers[[#This Row],[Fecha_Informe]]=""),1,0)</f>
        <v>0</v>
      </c>
      <c r="AC40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09" spans="1:29" hidden="1">
      <c r="A409" t="s">
        <v>928</v>
      </c>
      <c r="C409" t="str">
        <f>IF(SCTR_Brokers[[#This Row],[FechaRecepcion]]="","",SCTR_Brokers[[#This Row],[ConversationId]]&amp;"-"&amp;TEXT(SCTR_Brokers[[#This Row],[FechaRecepcion]],"aaaammddhhmmss"))</f>
        <v>AAQkADdkNThjNzFkLWM0ZmMtNDJhYS04MDVlLTIwNzE4ZDI1Mzg4YgAQAAAyYt9mlkLiqf1EynoLYNc=-20260930174820</v>
      </c>
      <c r="D409" s="16" t="s">
        <v>929</v>
      </c>
      <c r="E409" t="s">
        <v>21</v>
      </c>
      <c r="F409" s="3">
        <v>46295.741898148146</v>
      </c>
      <c r="G409" s="3">
        <v>46296.392013888886</v>
      </c>
      <c r="H409" t="s">
        <v>70</v>
      </c>
      <c r="I409" t="s">
        <v>7</v>
      </c>
      <c r="K409" t="s">
        <v>67</v>
      </c>
      <c r="L409" s="10"/>
      <c r="N40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09" s="3"/>
      <c r="P409" s="3"/>
      <c r="Q409" s="3">
        <v>46296.392013888886</v>
      </c>
      <c r="R40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09" t="str">
        <f>IF(SCTR_Brokers[[#This Row],[FechaRecepcion]]="","",TEXT(SCTR_Brokers[[#This Row],[FechaRecepcion]],"mmmm")&amp;" "&amp;YEAR(SCTR_Brokers[[#This Row],[FechaRecepcion]]))</f>
        <v>septiembre 2026</v>
      </c>
      <c r="U409">
        <f>IF(SCTR_Brokers[[#This Row],[Estado]]="FINALIZADO",1,0)</f>
        <v>1</v>
      </c>
      <c r="V409">
        <f>IF(SCTR_Brokers[[#This Row],[FechaRecepcion]]="","",IF(SCTR_Brokers[[#This Row],[Estado]]="FINALIZADO",0,1))</f>
        <v>0</v>
      </c>
      <c r="W409">
        <f ca="1">IF(AND(SCTR_Brokers[[#This Row],[Estado]]="FINALIZADO",SCTR_Brokers[[#This Row],[Plazo]]=LISTAS!$J$3),1,0)</f>
        <v>1</v>
      </c>
      <c r="X409">
        <f ca="1">IF(AND(SCTR_Brokers[[#This Row],[Estado]]="FINALIZADO",SCTR_Brokers[[#This Row],[Plazo]]=LISTAS!$J$4),1,0)</f>
        <v>0</v>
      </c>
      <c r="Y409">
        <f ca="1">IF(AND(SCTR_Brokers[[#This Row],[Estado]]&lt;&gt;"FINALIZADO",SCTR_Brokers[[#This Row],[Plazo]]=LISTAS!$J$4),1,0)</f>
        <v>0</v>
      </c>
      <c r="Z409">
        <f>IF(SCTR_Brokers[[#This Row],[Fecha_Solic_Informe]]="",0,1)</f>
        <v>0</v>
      </c>
      <c r="AA409">
        <f>IF(SCTR_Brokers[[#This Row],[Fecha_Informe]]="",0,1)</f>
        <v>0</v>
      </c>
      <c r="AB409">
        <f>IF(AND(SCTR_Brokers[[#This Row],[Fecha_Solic_Informe]]&lt;&gt;"",SCTR_Brokers[[#This Row],[Fecha_Informe]]=""),1,0)</f>
        <v>0</v>
      </c>
      <c r="AC40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10" spans="1:29" hidden="1">
      <c r="A410" t="s">
        <v>930</v>
      </c>
      <c r="C410" t="str">
        <f>IF(SCTR_Brokers[[#This Row],[FechaRecepcion]]="","",SCTR_Brokers[[#This Row],[ConversationId]]&amp;"-"&amp;TEXT(SCTR_Brokers[[#This Row],[FechaRecepcion]],"aaaammddhhmmss"))</f>
        <v>AAQkADdkNThjNzFkLWM0ZmMtNDJhYS04MDVlLTIwNzE4ZDI1Mzg4YgAQAATNc3IMvUknr5PixD6IRmU=-20260930182352</v>
      </c>
      <c r="D410" s="16" t="s">
        <v>931</v>
      </c>
      <c r="E410" t="s">
        <v>23</v>
      </c>
      <c r="F410" s="3">
        <v>46295.766574074078</v>
      </c>
      <c r="G410" s="3">
        <v>46300.499502314815</v>
      </c>
      <c r="H410" t="s">
        <v>70</v>
      </c>
      <c r="I410" t="s">
        <v>7</v>
      </c>
      <c r="K410" t="s">
        <v>67</v>
      </c>
      <c r="L410" s="10"/>
      <c r="N41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10" s="3"/>
      <c r="P410" s="3"/>
      <c r="Q410" s="3">
        <v>46300.499502314815</v>
      </c>
      <c r="R41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410" t="str">
        <f>IF(SCTR_Brokers[[#This Row],[FechaRecepcion]]="","",TEXT(SCTR_Brokers[[#This Row],[FechaRecepcion]],"mmmm")&amp;" "&amp;YEAR(SCTR_Brokers[[#This Row],[FechaRecepcion]]))</f>
        <v>septiembre 2026</v>
      </c>
      <c r="U410">
        <f>IF(SCTR_Brokers[[#This Row],[Estado]]="FINALIZADO",1,0)</f>
        <v>1</v>
      </c>
      <c r="V410">
        <f>IF(SCTR_Brokers[[#This Row],[FechaRecepcion]]="","",IF(SCTR_Brokers[[#This Row],[Estado]]="FINALIZADO",0,1))</f>
        <v>0</v>
      </c>
      <c r="W410">
        <f ca="1">IF(AND(SCTR_Brokers[[#This Row],[Estado]]="FINALIZADO",SCTR_Brokers[[#This Row],[Plazo]]=LISTAS!$J$3),1,0)</f>
        <v>0</v>
      </c>
      <c r="X410">
        <f ca="1">IF(AND(SCTR_Brokers[[#This Row],[Estado]]="FINALIZADO",SCTR_Brokers[[#This Row],[Plazo]]=LISTAS!$J$4),1,0)</f>
        <v>1</v>
      </c>
      <c r="Y410">
        <f ca="1">IF(AND(SCTR_Brokers[[#This Row],[Estado]]&lt;&gt;"FINALIZADO",SCTR_Brokers[[#This Row],[Plazo]]=LISTAS!$J$4),1,0)</f>
        <v>0</v>
      </c>
      <c r="Z410">
        <f>IF(SCTR_Brokers[[#This Row],[Fecha_Solic_Informe]]="",0,1)</f>
        <v>0</v>
      </c>
      <c r="AA410">
        <f>IF(SCTR_Brokers[[#This Row],[Fecha_Informe]]="",0,1)</f>
        <v>0</v>
      </c>
      <c r="AB410">
        <f>IF(AND(SCTR_Brokers[[#This Row],[Fecha_Solic_Informe]]&lt;&gt;"",SCTR_Brokers[[#This Row],[Fecha_Informe]]=""),1,0)</f>
        <v>0</v>
      </c>
      <c r="AC41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11" spans="1:29" hidden="1">
      <c r="A411" t="s">
        <v>932</v>
      </c>
      <c r="C411" t="str">
        <f>IF(SCTR_Brokers[[#This Row],[FechaRecepcion]]="","",SCTR_Brokers[[#This Row],[ConversationId]]&amp;"-"&amp;TEXT(SCTR_Brokers[[#This Row],[FechaRecepcion]],"aaaammddhhmmss"))</f>
        <v>AAQkADdkNThjNzFkLWM0ZmMtNDJhYS04MDVlLTIwNzE4ZDI1Mzg4YgAQALPy2wAy4kUrknbeLbVwjHg=-20260930190122</v>
      </c>
      <c r="D411" s="16" t="s">
        <v>933</v>
      </c>
      <c r="E411" t="s">
        <v>21</v>
      </c>
      <c r="F411" s="3">
        <v>46295.792615740742</v>
      </c>
      <c r="G411" s="3">
        <v>46297.478530092594</v>
      </c>
      <c r="H411" t="s">
        <v>70</v>
      </c>
      <c r="I411" t="s">
        <v>7</v>
      </c>
      <c r="K411" t="s">
        <v>67</v>
      </c>
      <c r="L411" s="10"/>
      <c r="N41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11" s="3"/>
      <c r="P411" s="3"/>
      <c r="Q411" s="3">
        <v>46297.478530092594</v>
      </c>
      <c r="R41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411" t="str">
        <f>IF(SCTR_Brokers[[#This Row],[FechaRecepcion]]="","",TEXT(SCTR_Brokers[[#This Row],[FechaRecepcion]],"mmmm")&amp;" "&amp;YEAR(SCTR_Brokers[[#This Row],[FechaRecepcion]]))</f>
        <v>septiembre 2026</v>
      </c>
      <c r="U411">
        <f>IF(SCTR_Brokers[[#This Row],[Estado]]="FINALIZADO",1,0)</f>
        <v>1</v>
      </c>
      <c r="V411">
        <f>IF(SCTR_Brokers[[#This Row],[FechaRecepcion]]="","",IF(SCTR_Brokers[[#This Row],[Estado]]="FINALIZADO",0,1))</f>
        <v>0</v>
      </c>
      <c r="W411">
        <f ca="1">IF(AND(SCTR_Brokers[[#This Row],[Estado]]="FINALIZADO",SCTR_Brokers[[#This Row],[Plazo]]=LISTAS!$J$3),1,0)</f>
        <v>0</v>
      </c>
      <c r="X411">
        <f ca="1">IF(AND(SCTR_Brokers[[#This Row],[Estado]]="FINALIZADO",SCTR_Brokers[[#This Row],[Plazo]]=LISTAS!$J$4),1,0)</f>
        <v>1</v>
      </c>
      <c r="Y411">
        <f ca="1">IF(AND(SCTR_Brokers[[#This Row],[Estado]]&lt;&gt;"FINALIZADO",SCTR_Brokers[[#This Row],[Plazo]]=LISTAS!$J$4),1,0)</f>
        <v>0</v>
      </c>
      <c r="Z411">
        <f>IF(SCTR_Brokers[[#This Row],[Fecha_Solic_Informe]]="",0,1)</f>
        <v>0</v>
      </c>
      <c r="AA411">
        <f>IF(SCTR_Brokers[[#This Row],[Fecha_Informe]]="",0,1)</f>
        <v>0</v>
      </c>
      <c r="AB411">
        <f>IF(AND(SCTR_Brokers[[#This Row],[Fecha_Solic_Informe]]&lt;&gt;"",SCTR_Brokers[[#This Row],[Fecha_Informe]]=""),1,0)</f>
        <v>0</v>
      </c>
      <c r="AC41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12" spans="1:29" hidden="1">
      <c r="A412" t="s">
        <v>934</v>
      </c>
      <c r="C412" t="str">
        <f>IF(SCTR_Brokers[[#This Row],[FechaRecepcion]]="","",SCTR_Brokers[[#This Row],[ConversationId]]&amp;"-"&amp;TEXT(SCTR_Brokers[[#This Row],[FechaRecepcion]],"aaaammddhhmmss"))</f>
        <v>AAQkADdkNThjNzFkLWM0ZmMtNDJhYS04MDVlLTIwNzE4ZDI1Mzg4YgAQAOJ2w0aHrEwJuhQLoTJGbW8=-20260930195027</v>
      </c>
      <c r="D412" s="16" t="s">
        <v>935</v>
      </c>
      <c r="E412" t="s">
        <v>21</v>
      </c>
      <c r="F412" s="3">
        <v>46295.826701388891</v>
      </c>
      <c r="G412" s="3">
        <v>46296.413842592592</v>
      </c>
      <c r="H412" t="s">
        <v>70</v>
      </c>
      <c r="I412" t="s">
        <v>7</v>
      </c>
      <c r="K412" t="s">
        <v>67</v>
      </c>
      <c r="L412" s="10"/>
      <c r="N41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12" s="3"/>
      <c r="P412" s="3"/>
      <c r="Q412" s="3">
        <v>46296.413842592592</v>
      </c>
      <c r="R41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12" t="str">
        <f>IF(SCTR_Brokers[[#This Row],[FechaRecepcion]]="","",TEXT(SCTR_Brokers[[#This Row],[FechaRecepcion]],"mmmm")&amp;" "&amp;YEAR(SCTR_Brokers[[#This Row],[FechaRecepcion]]))</f>
        <v>septiembre 2026</v>
      </c>
      <c r="U412">
        <f>IF(SCTR_Brokers[[#This Row],[Estado]]="FINALIZADO",1,0)</f>
        <v>1</v>
      </c>
      <c r="V412">
        <f>IF(SCTR_Brokers[[#This Row],[FechaRecepcion]]="","",IF(SCTR_Brokers[[#This Row],[Estado]]="FINALIZADO",0,1))</f>
        <v>0</v>
      </c>
      <c r="W412">
        <f ca="1">IF(AND(SCTR_Brokers[[#This Row],[Estado]]="FINALIZADO",SCTR_Brokers[[#This Row],[Plazo]]=LISTAS!$J$3),1,0)</f>
        <v>1</v>
      </c>
      <c r="X412">
        <f ca="1">IF(AND(SCTR_Brokers[[#This Row],[Estado]]="FINALIZADO",SCTR_Brokers[[#This Row],[Plazo]]=LISTAS!$J$4),1,0)</f>
        <v>0</v>
      </c>
      <c r="Y412">
        <f ca="1">IF(AND(SCTR_Brokers[[#This Row],[Estado]]&lt;&gt;"FINALIZADO",SCTR_Brokers[[#This Row],[Plazo]]=LISTAS!$J$4),1,0)</f>
        <v>0</v>
      </c>
      <c r="Z412">
        <f>IF(SCTR_Brokers[[#This Row],[Fecha_Solic_Informe]]="",0,1)</f>
        <v>0</v>
      </c>
      <c r="AA412">
        <f>IF(SCTR_Brokers[[#This Row],[Fecha_Informe]]="",0,1)</f>
        <v>0</v>
      </c>
      <c r="AB412">
        <f>IF(AND(SCTR_Brokers[[#This Row],[Fecha_Solic_Informe]]&lt;&gt;"",SCTR_Brokers[[#This Row],[Fecha_Informe]]=""),1,0)</f>
        <v>0</v>
      </c>
      <c r="AC41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13" spans="1:29" hidden="1">
      <c r="A413" t="s">
        <v>936</v>
      </c>
      <c r="C413" t="str">
        <f>IF(SCTR_Brokers[[#This Row],[FechaRecepcion]]="","",SCTR_Brokers[[#This Row],[ConversationId]]&amp;"-"&amp;TEXT(SCTR_Brokers[[#This Row],[FechaRecepcion]],"aaaammddhhmmss"))</f>
        <v>AAQkADdkNThjNzFkLWM0ZmMtNDJhYS04MDVlLTIwNzE4ZDI1Mzg4YgAQAOHnrlJCgj9Kh8xQpynLLbM=-20260930205358</v>
      </c>
      <c r="D413" s="16" t="s">
        <v>937</v>
      </c>
      <c r="E413" t="s">
        <v>21</v>
      </c>
      <c r="F413" s="3">
        <v>46295.870810185188</v>
      </c>
      <c r="G413" s="3">
        <v>46295.870810185188</v>
      </c>
      <c r="H413" t="s">
        <v>874</v>
      </c>
      <c r="I413" t="s">
        <v>7</v>
      </c>
      <c r="K413" t="s">
        <v>67</v>
      </c>
      <c r="L413" s="10"/>
      <c r="N41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13" s="3"/>
      <c r="P413" s="3"/>
      <c r="Q413" s="3">
        <v>46296.431250000001</v>
      </c>
      <c r="R41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13" t="str">
        <f>IF(SCTR_Brokers[[#This Row],[FechaRecepcion]]="","",TEXT(SCTR_Brokers[[#This Row],[FechaRecepcion]],"mmmm")&amp;" "&amp;YEAR(SCTR_Brokers[[#This Row],[FechaRecepcion]]))</f>
        <v>septiembre 2026</v>
      </c>
      <c r="U413">
        <f>IF(SCTR_Brokers[[#This Row],[Estado]]="FINALIZADO",1,0)</f>
        <v>1</v>
      </c>
      <c r="V413">
        <f>IF(SCTR_Brokers[[#This Row],[FechaRecepcion]]="","",IF(SCTR_Brokers[[#This Row],[Estado]]="FINALIZADO",0,1))</f>
        <v>0</v>
      </c>
      <c r="W413">
        <f ca="1">IF(AND(SCTR_Brokers[[#This Row],[Estado]]="FINALIZADO",SCTR_Brokers[[#This Row],[Plazo]]=LISTAS!$J$3),1,0)</f>
        <v>1</v>
      </c>
      <c r="X413">
        <f ca="1">IF(AND(SCTR_Brokers[[#This Row],[Estado]]="FINALIZADO",SCTR_Brokers[[#This Row],[Plazo]]=LISTAS!$J$4),1,0)</f>
        <v>0</v>
      </c>
      <c r="Y413">
        <f ca="1">IF(AND(SCTR_Brokers[[#This Row],[Estado]]&lt;&gt;"FINALIZADO",SCTR_Brokers[[#This Row],[Plazo]]=LISTAS!$J$4),1,0)</f>
        <v>0</v>
      </c>
      <c r="Z413">
        <f>IF(SCTR_Brokers[[#This Row],[Fecha_Solic_Informe]]="",0,1)</f>
        <v>0</v>
      </c>
      <c r="AA413">
        <f>IF(SCTR_Brokers[[#This Row],[Fecha_Informe]]="",0,1)</f>
        <v>0</v>
      </c>
      <c r="AB413">
        <f>IF(AND(SCTR_Brokers[[#This Row],[Fecha_Solic_Informe]]&lt;&gt;"",SCTR_Brokers[[#This Row],[Fecha_Informe]]=""),1,0)</f>
        <v>0</v>
      </c>
      <c r="AC41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14" spans="1:29" hidden="1">
      <c r="A414" t="s">
        <v>938</v>
      </c>
      <c r="C414" t="str">
        <f>IF(SCTR_Brokers[[#This Row],[FechaRecepcion]]="","",SCTR_Brokers[[#This Row],[ConversationId]]&amp;"-"&amp;TEXT(SCTR_Brokers[[#This Row],[FechaRecepcion]],"aaaammddhhmmss"))</f>
        <v>AAQkADdkNThjNzFkLWM0ZmMtNDJhYS04MDVlLTIwNzE4ZDI1Mzg4YgAQACagVAcmkUOBldTo7OCc_58=-20261001103036</v>
      </c>
      <c r="D414" s="16" t="s">
        <v>939</v>
      </c>
      <c r="E414" t="s">
        <v>8</v>
      </c>
      <c r="F414" s="3">
        <v>46296.437916666669</v>
      </c>
      <c r="G414" s="3">
        <v>46296.480104166665</v>
      </c>
      <c r="H414" t="s">
        <v>70</v>
      </c>
      <c r="I414" t="s">
        <v>7</v>
      </c>
      <c r="K414" t="s">
        <v>67</v>
      </c>
      <c r="L414" s="10"/>
      <c r="N41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14" s="3"/>
      <c r="P414" s="3"/>
      <c r="Q414" s="3">
        <v>46296.480104166665</v>
      </c>
      <c r="R41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14" t="str">
        <f>IF(SCTR_Brokers[[#This Row],[FechaRecepcion]]="","",TEXT(SCTR_Brokers[[#This Row],[FechaRecepcion]],"mmmm")&amp;" "&amp;YEAR(SCTR_Brokers[[#This Row],[FechaRecepcion]]))</f>
        <v>octubre 2026</v>
      </c>
      <c r="U414">
        <f>IF(SCTR_Brokers[[#This Row],[Estado]]="FINALIZADO",1,0)</f>
        <v>1</v>
      </c>
      <c r="V414">
        <f>IF(SCTR_Brokers[[#This Row],[FechaRecepcion]]="","",IF(SCTR_Brokers[[#This Row],[Estado]]="FINALIZADO",0,1))</f>
        <v>0</v>
      </c>
      <c r="W414">
        <f ca="1">IF(AND(SCTR_Brokers[[#This Row],[Estado]]="FINALIZADO",SCTR_Brokers[[#This Row],[Plazo]]=LISTAS!$J$3),1,0)</f>
        <v>1</v>
      </c>
      <c r="X414">
        <f ca="1">IF(AND(SCTR_Brokers[[#This Row],[Estado]]="FINALIZADO",SCTR_Brokers[[#This Row],[Plazo]]=LISTAS!$J$4),1,0)</f>
        <v>0</v>
      </c>
      <c r="Y414">
        <f ca="1">IF(AND(SCTR_Brokers[[#This Row],[Estado]]&lt;&gt;"FINALIZADO",SCTR_Brokers[[#This Row],[Plazo]]=LISTAS!$J$4),1,0)</f>
        <v>0</v>
      </c>
      <c r="Z414">
        <f>IF(SCTR_Brokers[[#This Row],[Fecha_Solic_Informe]]="",0,1)</f>
        <v>0</v>
      </c>
      <c r="AA414">
        <f>IF(SCTR_Brokers[[#This Row],[Fecha_Informe]]="",0,1)</f>
        <v>0</v>
      </c>
      <c r="AB414">
        <f>IF(AND(SCTR_Brokers[[#This Row],[Fecha_Solic_Informe]]&lt;&gt;"",SCTR_Brokers[[#This Row],[Fecha_Informe]]=""),1,0)</f>
        <v>0</v>
      </c>
      <c r="AC41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15" spans="1:29" hidden="1">
      <c r="A415" t="s">
        <v>940</v>
      </c>
      <c r="C415" t="str">
        <f>IF(SCTR_Brokers[[#This Row],[FechaRecepcion]]="","",SCTR_Brokers[[#This Row],[ConversationId]]&amp;"-"&amp;TEXT(SCTR_Brokers[[#This Row],[FechaRecepcion]],"aaaammddhhmmss"))</f>
        <v>AAQkADdkNThjNzFkLWM0ZmMtNDJhYS04MDVlLTIwNzE4ZDI1Mzg4YgAQAIfEsw_cwahMjtZcXwGhuGI=-20261001120426</v>
      </c>
      <c r="D415" s="16" t="s">
        <v>941</v>
      </c>
      <c r="E415" t="s">
        <v>21</v>
      </c>
      <c r="F415" s="3">
        <v>46296.503078703703</v>
      </c>
      <c r="G415" s="3">
        <v>46297.470555555556</v>
      </c>
      <c r="H415" t="s">
        <v>70</v>
      </c>
      <c r="I415" t="s">
        <v>7</v>
      </c>
      <c r="K415" t="s">
        <v>67</v>
      </c>
      <c r="L415" s="10"/>
      <c r="N41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15" s="3"/>
      <c r="P415" s="3"/>
      <c r="Q415" s="3">
        <v>46297.470555555556</v>
      </c>
      <c r="R41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415" t="str">
        <f>IF(SCTR_Brokers[[#This Row],[FechaRecepcion]]="","",TEXT(SCTR_Brokers[[#This Row],[FechaRecepcion]],"mmmm")&amp;" "&amp;YEAR(SCTR_Brokers[[#This Row],[FechaRecepcion]]))</f>
        <v>octubre 2026</v>
      </c>
      <c r="U415">
        <f>IF(SCTR_Brokers[[#This Row],[Estado]]="FINALIZADO",1,0)</f>
        <v>1</v>
      </c>
      <c r="V415">
        <f>IF(SCTR_Brokers[[#This Row],[FechaRecepcion]]="","",IF(SCTR_Brokers[[#This Row],[Estado]]="FINALIZADO",0,1))</f>
        <v>0</v>
      </c>
      <c r="W415">
        <f ca="1">IF(AND(SCTR_Brokers[[#This Row],[Estado]]="FINALIZADO",SCTR_Brokers[[#This Row],[Plazo]]=LISTAS!$J$3),1,0)</f>
        <v>0</v>
      </c>
      <c r="X415">
        <f ca="1">IF(AND(SCTR_Brokers[[#This Row],[Estado]]="FINALIZADO",SCTR_Brokers[[#This Row],[Plazo]]=LISTAS!$J$4),1,0)</f>
        <v>1</v>
      </c>
      <c r="Y415">
        <f ca="1">IF(AND(SCTR_Brokers[[#This Row],[Estado]]&lt;&gt;"FINALIZADO",SCTR_Brokers[[#This Row],[Plazo]]=LISTAS!$J$4),1,0)</f>
        <v>0</v>
      </c>
      <c r="Z415">
        <f>IF(SCTR_Brokers[[#This Row],[Fecha_Solic_Informe]]="",0,1)</f>
        <v>0</v>
      </c>
      <c r="AA415">
        <f>IF(SCTR_Brokers[[#This Row],[Fecha_Informe]]="",0,1)</f>
        <v>0</v>
      </c>
      <c r="AB415">
        <f>IF(AND(SCTR_Brokers[[#This Row],[Fecha_Solic_Informe]]&lt;&gt;"",SCTR_Brokers[[#This Row],[Fecha_Informe]]=""),1,0)</f>
        <v>0</v>
      </c>
      <c r="AC41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16" spans="1:29" hidden="1">
      <c r="A416" t="s">
        <v>804</v>
      </c>
      <c r="C416" t="str">
        <f>IF(SCTR_Brokers[[#This Row],[FechaRecepcion]]="","",SCTR_Brokers[[#This Row],[ConversationId]]&amp;"-"&amp;TEXT(SCTR_Brokers[[#This Row],[FechaRecepcion]],"aaaammddhhmmss"))</f>
        <v>AAQkADdkNThjNzFkLWM0ZmMtNDJhYS04MDVlLTIwNzE4ZDI1Mzg4YgAQALTxXf2y8EWYmiZeHhl17_Q=-20261001120812</v>
      </c>
      <c r="D416" s="16" t="s">
        <v>805</v>
      </c>
      <c r="E416" t="s">
        <v>21</v>
      </c>
      <c r="F416" s="3">
        <v>46296.505694444444</v>
      </c>
      <c r="G416" s="3">
        <v>46297.457627314812</v>
      </c>
      <c r="H416" t="s">
        <v>70</v>
      </c>
      <c r="I416" t="s">
        <v>7</v>
      </c>
      <c r="K416" t="s">
        <v>67</v>
      </c>
      <c r="L416" s="10"/>
      <c r="N41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16" s="3"/>
      <c r="P416" s="3"/>
      <c r="Q416" s="3">
        <v>46297.457627314812</v>
      </c>
      <c r="R41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416" t="str">
        <f>IF(SCTR_Brokers[[#This Row],[FechaRecepcion]]="","",TEXT(SCTR_Brokers[[#This Row],[FechaRecepcion]],"mmmm")&amp;" "&amp;YEAR(SCTR_Brokers[[#This Row],[FechaRecepcion]]))</f>
        <v>octubre 2026</v>
      </c>
      <c r="U416">
        <f>IF(SCTR_Brokers[[#This Row],[Estado]]="FINALIZADO",1,0)</f>
        <v>1</v>
      </c>
      <c r="V416">
        <f>IF(SCTR_Brokers[[#This Row],[FechaRecepcion]]="","",IF(SCTR_Brokers[[#This Row],[Estado]]="FINALIZADO",0,1))</f>
        <v>0</v>
      </c>
      <c r="W416">
        <f ca="1">IF(AND(SCTR_Brokers[[#This Row],[Estado]]="FINALIZADO",SCTR_Brokers[[#This Row],[Plazo]]=LISTAS!$J$3),1,0)</f>
        <v>0</v>
      </c>
      <c r="X416">
        <f ca="1">IF(AND(SCTR_Brokers[[#This Row],[Estado]]="FINALIZADO",SCTR_Brokers[[#This Row],[Plazo]]=LISTAS!$J$4),1,0)</f>
        <v>1</v>
      </c>
      <c r="Y416">
        <f ca="1">IF(AND(SCTR_Brokers[[#This Row],[Estado]]&lt;&gt;"FINALIZADO",SCTR_Brokers[[#This Row],[Plazo]]=LISTAS!$J$4),1,0)</f>
        <v>0</v>
      </c>
      <c r="Z416">
        <f>IF(SCTR_Brokers[[#This Row],[Fecha_Solic_Informe]]="",0,1)</f>
        <v>0</v>
      </c>
      <c r="AA416">
        <f>IF(SCTR_Brokers[[#This Row],[Fecha_Informe]]="",0,1)</f>
        <v>0</v>
      </c>
      <c r="AB416">
        <f>IF(AND(SCTR_Brokers[[#This Row],[Fecha_Solic_Informe]]&lt;&gt;"",SCTR_Brokers[[#This Row],[Fecha_Informe]]=""),1,0)</f>
        <v>0</v>
      </c>
      <c r="AC41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17" spans="1:29" hidden="1">
      <c r="A417" t="s">
        <v>942</v>
      </c>
      <c r="C417" t="str">
        <f>IF(SCTR_Brokers[[#This Row],[FechaRecepcion]]="","",SCTR_Brokers[[#This Row],[ConversationId]]&amp;"-"&amp;TEXT(SCTR_Brokers[[#This Row],[FechaRecepcion]],"aaaammddhhmmss"))</f>
        <v>AAQkADdkNThjNzFkLWM0ZmMtNDJhYS04MDVlLTIwNzE4ZDI1Mzg4YgAQAG3aUI8ga-pAixtoV4MbV3U=-20261001120902</v>
      </c>
      <c r="D417" s="16" t="s">
        <v>943</v>
      </c>
      <c r="E417" t="s">
        <v>21</v>
      </c>
      <c r="F417" s="3">
        <v>46296.506273148145</v>
      </c>
      <c r="G417" s="3">
        <v>46296.50708333333</v>
      </c>
      <c r="H417" t="s">
        <v>455</v>
      </c>
      <c r="I417" t="s">
        <v>7</v>
      </c>
      <c r="K417" t="s">
        <v>67</v>
      </c>
      <c r="L417" s="10"/>
      <c r="N41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17" s="3"/>
      <c r="P417" s="3"/>
      <c r="Q417" s="3">
        <v>46296.50708333333</v>
      </c>
      <c r="R41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17" t="str">
        <f>IF(SCTR_Brokers[[#This Row],[FechaRecepcion]]="","",TEXT(SCTR_Brokers[[#This Row],[FechaRecepcion]],"mmmm")&amp;" "&amp;YEAR(SCTR_Brokers[[#This Row],[FechaRecepcion]]))</f>
        <v>octubre 2026</v>
      </c>
      <c r="U417">
        <f>IF(SCTR_Brokers[[#This Row],[Estado]]="FINALIZADO",1,0)</f>
        <v>1</v>
      </c>
      <c r="V417">
        <f>IF(SCTR_Brokers[[#This Row],[FechaRecepcion]]="","",IF(SCTR_Brokers[[#This Row],[Estado]]="FINALIZADO",0,1))</f>
        <v>0</v>
      </c>
      <c r="W417">
        <f ca="1">IF(AND(SCTR_Brokers[[#This Row],[Estado]]="FINALIZADO",SCTR_Brokers[[#This Row],[Plazo]]=LISTAS!$J$3),1,0)</f>
        <v>1</v>
      </c>
      <c r="X417">
        <f ca="1">IF(AND(SCTR_Brokers[[#This Row],[Estado]]="FINALIZADO",SCTR_Brokers[[#This Row],[Plazo]]=LISTAS!$J$4),1,0)</f>
        <v>0</v>
      </c>
      <c r="Y417">
        <f ca="1">IF(AND(SCTR_Brokers[[#This Row],[Estado]]&lt;&gt;"FINALIZADO",SCTR_Brokers[[#This Row],[Plazo]]=LISTAS!$J$4),1,0)</f>
        <v>0</v>
      </c>
      <c r="Z417">
        <f>IF(SCTR_Brokers[[#This Row],[Fecha_Solic_Informe]]="",0,1)</f>
        <v>0</v>
      </c>
      <c r="AA417">
        <f>IF(SCTR_Brokers[[#This Row],[Fecha_Informe]]="",0,1)</f>
        <v>0</v>
      </c>
      <c r="AB417">
        <f>IF(AND(SCTR_Brokers[[#This Row],[Fecha_Solic_Informe]]&lt;&gt;"",SCTR_Brokers[[#This Row],[Fecha_Informe]]=""),1,0)</f>
        <v>0</v>
      </c>
      <c r="AC41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18" spans="1:29" hidden="1">
      <c r="A418" t="s">
        <v>944</v>
      </c>
      <c r="C418" t="str">
        <f>IF(SCTR_Brokers[[#This Row],[FechaRecepcion]]="","",SCTR_Brokers[[#This Row],[ConversationId]]&amp;"-"&amp;TEXT(SCTR_Brokers[[#This Row],[FechaRecepcion]],"aaaammddhhmmss"))</f>
        <v>AAQkADdkNThjNzFkLWM0ZmMtNDJhYS04MDVlLTIwNzE4ZDI1Mzg4YgAQABZWL7bpT5VIoOWo3ugDltM=-20261001151406</v>
      </c>
      <c r="D418" s="16" t="s">
        <v>945</v>
      </c>
      <c r="E418" t="s">
        <v>23</v>
      </c>
      <c r="F418" s="3">
        <v>46296.634791666664</v>
      </c>
      <c r="G418" s="3">
        <v>46297.733796296299</v>
      </c>
      <c r="H418" t="s">
        <v>269</v>
      </c>
      <c r="I418" t="s">
        <v>7</v>
      </c>
      <c r="K418" t="s">
        <v>67</v>
      </c>
      <c r="L418" s="10"/>
      <c r="N41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18" s="3"/>
      <c r="P418" s="3"/>
      <c r="Q418" s="3">
        <v>46297.733796296299</v>
      </c>
      <c r="R41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418" t="str">
        <f>IF(SCTR_Brokers[[#This Row],[FechaRecepcion]]="","",TEXT(SCTR_Brokers[[#This Row],[FechaRecepcion]],"mmmm")&amp;" "&amp;YEAR(SCTR_Brokers[[#This Row],[FechaRecepcion]]))</f>
        <v>octubre 2026</v>
      </c>
      <c r="U418">
        <f>IF(SCTR_Brokers[[#This Row],[Estado]]="FINALIZADO",1,0)</f>
        <v>1</v>
      </c>
      <c r="V418">
        <f>IF(SCTR_Brokers[[#This Row],[FechaRecepcion]]="","",IF(SCTR_Brokers[[#This Row],[Estado]]="FINALIZADO",0,1))</f>
        <v>0</v>
      </c>
      <c r="W418">
        <f ca="1">IF(AND(SCTR_Brokers[[#This Row],[Estado]]="FINALIZADO",SCTR_Brokers[[#This Row],[Plazo]]=LISTAS!$J$3),1,0)</f>
        <v>0</v>
      </c>
      <c r="X418">
        <f ca="1">IF(AND(SCTR_Brokers[[#This Row],[Estado]]="FINALIZADO",SCTR_Brokers[[#This Row],[Plazo]]=LISTAS!$J$4),1,0)</f>
        <v>1</v>
      </c>
      <c r="Y418">
        <f ca="1">IF(AND(SCTR_Brokers[[#This Row],[Estado]]&lt;&gt;"FINALIZADO",SCTR_Brokers[[#This Row],[Plazo]]=LISTAS!$J$4),1,0)</f>
        <v>0</v>
      </c>
      <c r="Z418">
        <f>IF(SCTR_Brokers[[#This Row],[Fecha_Solic_Informe]]="",0,1)</f>
        <v>0</v>
      </c>
      <c r="AA418">
        <f>IF(SCTR_Brokers[[#This Row],[Fecha_Informe]]="",0,1)</f>
        <v>0</v>
      </c>
      <c r="AB418">
        <f>IF(AND(SCTR_Brokers[[#This Row],[Fecha_Solic_Informe]]&lt;&gt;"",SCTR_Brokers[[#This Row],[Fecha_Informe]]=""),1,0)</f>
        <v>0</v>
      </c>
      <c r="AC41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19" spans="1:29" hidden="1">
      <c r="A419" t="s">
        <v>902</v>
      </c>
      <c r="C419" t="str">
        <f>IF(SCTR_Brokers[[#This Row],[FechaRecepcion]]="","",SCTR_Brokers[[#This Row],[ConversationId]]&amp;"-"&amp;TEXT(SCTR_Brokers[[#This Row],[FechaRecepcion]],"aaaammddhhmmss"))</f>
        <v>AAQkADdkNThjNzFkLWM0ZmMtNDJhYS04MDVlLTIwNzE4ZDI1Mzg4YgAQADKRzaproHlBv2rJXDHWTnQ=-20261001152252</v>
      </c>
      <c r="D419" s="16" t="s">
        <v>946</v>
      </c>
      <c r="E419" t="s">
        <v>21</v>
      </c>
      <c r="F419" s="3">
        <v>46296.640879629631</v>
      </c>
      <c r="G419" s="3">
        <v>46297.513194444444</v>
      </c>
      <c r="H419" t="s">
        <v>70</v>
      </c>
      <c r="I419" t="s">
        <v>7</v>
      </c>
      <c r="K419" t="s">
        <v>67</v>
      </c>
      <c r="L419" s="10"/>
      <c r="N41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19" s="3"/>
      <c r="P419" s="3"/>
      <c r="Q419" s="3">
        <v>46297.513194444444</v>
      </c>
      <c r="R41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419" t="str">
        <f>IF(SCTR_Brokers[[#This Row],[FechaRecepcion]]="","",TEXT(SCTR_Brokers[[#This Row],[FechaRecepcion]],"mmmm")&amp;" "&amp;YEAR(SCTR_Brokers[[#This Row],[FechaRecepcion]]))</f>
        <v>octubre 2026</v>
      </c>
      <c r="U419">
        <f>IF(SCTR_Brokers[[#This Row],[Estado]]="FINALIZADO",1,0)</f>
        <v>1</v>
      </c>
      <c r="V419">
        <f>IF(SCTR_Brokers[[#This Row],[FechaRecepcion]]="","",IF(SCTR_Brokers[[#This Row],[Estado]]="FINALIZADO",0,1))</f>
        <v>0</v>
      </c>
      <c r="W419">
        <f ca="1">IF(AND(SCTR_Brokers[[#This Row],[Estado]]="FINALIZADO",SCTR_Brokers[[#This Row],[Plazo]]=LISTAS!$J$3),1,0)</f>
        <v>0</v>
      </c>
      <c r="X419">
        <f ca="1">IF(AND(SCTR_Brokers[[#This Row],[Estado]]="FINALIZADO",SCTR_Brokers[[#This Row],[Plazo]]=LISTAS!$J$4),1,0)</f>
        <v>1</v>
      </c>
      <c r="Y419">
        <f ca="1">IF(AND(SCTR_Brokers[[#This Row],[Estado]]&lt;&gt;"FINALIZADO",SCTR_Brokers[[#This Row],[Plazo]]=LISTAS!$J$4),1,0)</f>
        <v>0</v>
      </c>
      <c r="Z419">
        <f>IF(SCTR_Brokers[[#This Row],[Fecha_Solic_Informe]]="",0,1)</f>
        <v>0</v>
      </c>
      <c r="AA419">
        <f>IF(SCTR_Brokers[[#This Row],[Fecha_Informe]]="",0,1)</f>
        <v>0</v>
      </c>
      <c r="AB419">
        <f>IF(AND(SCTR_Brokers[[#This Row],[Fecha_Solic_Informe]]&lt;&gt;"",SCTR_Brokers[[#This Row],[Fecha_Informe]]=""),1,0)</f>
        <v>0</v>
      </c>
      <c r="AC41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20" spans="1:29" hidden="1">
      <c r="A420" t="s">
        <v>947</v>
      </c>
      <c r="C420" t="str">
        <f>IF(SCTR_Brokers[[#This Row],[FechaRecepcion]]="","",SCTR_Brokers[[#This Row],[ConversationId]]&amp;"-"&amp;TEXT(SCTR_Brokers[[#This Row],[FechaRecepcion]],"aaaammddhhmmss"))</f>
        <v>AAQkADdkNThjNzFkLWM0ZmMtNDJhYS04MDVlLTIwNzE4ZDI1Mzg4YgAQACDqyEyyhx5AjuWCr9chGqg=-20261001165555</v>
      </c>
      <c r="D420" s="16" t="s">
        <v>948</v>
      </c>
      <c r="E420" t="s">
        <v>14</v>
      </c>
      <c r="F420" s="3">
        <v>46296.705497685187</v>
      </c>
      <c r="G420" s="3">
        <v>46296.705497685187</v>
      </c>
      <c r="H420" t="s">
        <v>115</v>
      </c>
      <c r="I420" t="s">
        <v>7</v>
      </c>
      <c r="J420" t="s">
        <v>949</v>
      </c>
      <c r="K420" t="s">
        <v>67</v>
      </c>
      <c r="L420" s="10"/>
      <c r="N42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20" s="3"/>
      <c r="P420" s="3"/>
      <c r="Q420" s="3">
        <v>46296.705497685187</v>
      </c>
      <c r="R42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420" t="s">
        <v>164</v>
      </c>
      <c r="T420" t="str">
        <f>IF(SCTR_Brokers[[#This Row],[FechaRecepcion]]="","",TEXT(SCTR_Brokers[[#This Row],[FechaRecepcion]],"mmmm")&amp;" "&amp;YEAR(SCTR_Brokers[[#This Row],[FechaRecepcion]]))</f>
        <v>octubre 2026</v>
      </c>
      <c r="U420">
        <f>IF(SCTR_Brokers[[#This Row],[Estado]]="FINALIZADO",1,0)</f>
        <v>1</v>
      </c>
      <c r="V420">
        <f>IF(SCTR_Brokers[[#This Row],[FechaRecepcion]]="","",IF(SCTR_Brokers[[#This Row],[Estado]]="FINALIZADO",0,1))</f>
        <v>0</v>
      </c>
      <c r="W420">
        <f ca="1">IF(AND(SCTR_Brokers[[#This Row],[Estado]]="FINALIZADO",SCTR_Brokers[[#This Row],[Plazo]]=LISTAS!$J$3),1,0)</f>
        <v>1</v>
      </c>
      <c r="X420">
        <f ca="1">IF(AND(SCTR_Brokers[[#This Row],[Estado]]="FINALIZADO",SCTR_Brokers[[#This Row],[Plazo]]=LISTAS!$J$4),1,0)</f>
        <v>0</v>
      </c>
      <c r="Y420">
        <f ca="1">IF(AND(SCTR_Brokers[[#This Row],[Estado]]&lt;&gt;"FINALIZADO",SCTR_Brokers[[#This Row],[Plazo]]=LISTAS!$J$4),1,0)</f>
        <v>0</v>
      </c>
      <c r="Z420">
        <f>IF(SCTR_Brokers[[#This Row],[Fecha_Solic_Informe]]="",0,1)</f>
        <v>0</v>
      </c>
      <c r="AA420">
        <f>IF(SCTR_Brokers[[#This Row],[Fecha_Informe]]="",0,1)</f>
        <v>0</v>
      </c>
      <c r="AB420">
        <f>IF(AND(SCTR_Brokers[[#This Row],[Fecha_Solic_Informe]]&lt;&gt;"",SCTR_Brokers[[#This Row],[Fecha_Informe]]=""),1,0)</f>
        <v>0</v>
      </c>
      <c r="AC42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21" spans="1:29" hidden="1">
      <c r="A421" t="s">
        <v>916</v>
      </c>
      <c r="C421" t="str">
        <f>IF(SCTR_Brokers[[#This Row],[FechaRecepcion]]="","",SCTR_Brokers[[#This Row],[ConversationId]]&amp;"-"&amp;TEXT(SCTR_Brokers[[#This Row],[FechaRecepcion]],"aaaammddhhmmss"))</f>
        <v>AAQkADdkNThjNzFkLWM0ZmMtNDJhYS04MDVlLTIwNzE4ZDI1Mzg4YgAQAGyiw8SIsUgrrYm1-Ye_MY8=-20261001165641</v>
      </c>
      <c r="D421" s="16" t="s">
        <v>917</v>
      </c>
      <c r="E421" t="s">
        <v>21</v>
      </c>
      <c r="F421" s="3">
        <v>46296.706030092595</v>
      </c>
      <c r="G421" s="3">
        <v>46296.706030092595</v>
      </c>
      <c r="H421" t="s">
        <v>918</v>
      </c>
      <c r="I421" t="s">
        <v>7</v>
      </c>
      <c r="K421" t="s">
        <v>67</v>
      </c>
      <c r="L421" s="10"/>
      <c r="N42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21" s="3"/>
      <c r="P421" s="3"/>
      <c r="Q421" s="3">
        <v>46296.706030092595</v>
      </c>
      <c r="R42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21" t="str">
        <f>IF(SCTR_Brokers[[#This Row],[FechaRecepcion]]="","",TEXT(SCTR_Brokers[[#This Row],[FechaRecepcion]],"mmmm")&amp;" "&amp;YEAR(SCTR_Brokers[[#This Row],[FechaRecepcion]]))</f>
        <v>octubre 2026</v>
      </c>
      <c r="U421">
        <f>IF(SCTR_Brokers[[#This Row],[Estado]]="FINALIZADO",1,0)</f>
        <v>1</v>
      </c>
      <c r="V421">
        <f>IF(SCTR_Brokers[[#This Row],[FechaRecepcion]]="","",IF(SCTR_Brokers[[#This Row],[Estado]]="FINALIZADO",0,1))</f>
        <v>0</v>
      </c>
      <c r="W421">
        <f ca="1">IF(AND(SCTR_Brokers[[#This Row],[Estado]]="FINALIZADO",SCTR_Brokers[[#This Row],[Plazo]]=LISTAS!$J$3),1,0)</f>
        <v>1</v>
      </c>
      <c r="X421">
        <f ca="1">IF(AND(SCTR_Brokers[[#This Row],[Estado]]="FINALIZADO",SCTR_Brokers[[#This Row],[Plazo]]=LISTAS!$J$4),1,0)</f>
        <v>0</v>
      </c>
      <c r="Y421">
        <f ca="1">IF(AND(SCTR_Brokers[[#This Row],[Estado]]&lt;&gt;"FINALIZADO",SCTR_Brokers[[#This Row],[Plazo]]=LISTAS!$J$4),1,0)</f>
        <v>0</v>
      </c>
      <c r="Z421">
        <f>IF(SCTR_Brokers[[#This Row],[Fecha_Solic_Informe]]="",0,1)</f>
        <v>0</v>
      </c>
      <c r="AA421">
        <f>IF(SCTR_Brokers[[#This Row],[Fecha_Informe]]="",0,1)</f>
        <v>0</v>
      </c>
      <c r="AB421">
        <f>IF(AND(SCTR_Brokers[[#This Row],[Fecha_Solic_Informe]]&lt;&gt;"",SCTR_Brokers[[#This Row],[Fecha_Informe]]=""),1,0)</f>
        <v>0</v>
      </c>
      <c r="AC42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22" spans="1:29" hidden="1">
      <c r="A422" t="s">
        <v>950</v>
      </c>
      <c r="C422" t="str">
        <f>IF(SCTR_Brokers[[#This Row],[FechaRecepcion]]="","",SCTR_Brokers[[#This Row],[ConversationId]]&amp;"-"&amp;TEXT(SCTR_Brokers[[#This Row],[FechaRecepcion]],"aaaammddhhmmss"))</f>
        <v>AAQkADdkNThjNzFkLWM0ZmMtNDJhYS04MDVlLTIwNzE4ZDI1Mzg4YgAQANmQbggK5NtGv1mIo0DDKek=-20261001174820</v>
      </c>
      <c r="D422" s="16" t="s">
        <v>951</v>
      </c>
      <c r="E422" t="s">
        <v>21</v>
      </c>
      <c r="F422" s="3">
        <v>46296.741898148146</v>
      </c>
      <c r="G422" s="3">
        <v>46297.483611111114</v>
      </c>
      <c r="H422" t="s">
        <v>70</v>
      </c>
      <c r="I422" t="s">
        <v>7</v>
      </c>
      <c r="J422" t="s">
        <v>952</v>
      </c>
      <c r="K422" t="s">
        <v>67</v>
      </c>
      <c r="L422" s="10"/>
      <c r="M422" t="s">
        <v>16</v>
      </c>
      <c r="N42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22" s="3"/>
      <c r="P422" s="3">
        <v>46297.339282407411</v>
      </c>
      <c r="Q422" s="3">
        <v>46297.483611111114</v>
      </c>
      <c r="R42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22" t="str">
        <f>IF(SCTR_Brokers[[#This Row],[FechaRecepcion]]="","",TEXT(SCTR_Brokers[[#This Row],[FechaRecepcion]],"mmmm")&amp;" "&amp;YEAR(SCTR_Brokers[[#This Row],[FechaRecepcion]]))</f>
        <v>octubre 2026</v>
      </c>
      <c r="U422">
        <f>IF(SCTR_Brokers[[#This Row],[Estado]]="FINALIZADO",1,0)</f>
        <v>1</v>
      </c>
      <c r="V422">
        <f>IF(SCTR_Brokers[[#This Row],[FechaRecepcion]]="","",IF(SCTR_Brokers[[#This Row],[Estado]]="FINALIZADO",0,1))</f>
        <v>0</v>
      </c>
      <c r="W422">
        <f ca="1">IF(AND(SCTR_Brokers[[#This Row],[Estado]]="FINALIZADO",SCTR_Brokers[[#This Row],[Plazo]]=LISTAS!$J$3),1,0)</f>
        <v>1</v>
      </c>
      <c r="X422">
        <f ca="1">IF(AND(SCTR_Brokers[[#This Row],[Estado]]="FINALIZADO",SCTR_Brokers[[#This Row],[Plazo]]=LISTAS!$J$4),1,0)</f>
        <v>0</v>
      </c>
      <c r="Y422">
        <f ca="1">IF(AND(SCTR_Brokers[[#This Row],[Estado]]&lt;&gt;"FINALIZADO",SCTR_Brokers[[#This Row],[Plazo]]=LISTAS!$J$4),1,0)</f>
        <v>0</v>
      </c>
      <c r="Z422">
        <f>IF(SCTR_Brokers[[#This Row],[Fecha_Solic_Informe]]="",0,1)</f>
        <v>0</v>
      </c>
      <c r="AA422">
        <f>IF(SCTR_Brokers[[#This Row],[Fecha_Informe]]="",0,1)</f>
        <v>1</v>
      </c>
      <c r="AB422">
        <f>IF(AND(SCTR_Brokers[[#This Row],[Fecha_Solic_Informe]]&lt;&gt;"",SCTR_Brokers[[#This Row],[Fecha_Informe]]=""),1,0)</f>
        <v>0</v>
      </c>
      <c r="AC42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23" spans="1:29" hidden="1">
      <c r="A423" t="s">
        <v>836</v>
      </c>
      <c r="C423" t="str">
        <f>IF(SCTR_Brokers[[#This Row],[FechaRecepcion]]="","",SCTR_Brokers[[#This Row],[ConversationId]]&amp;"-"&amp;TEXT(SCTR_Brokers[[#This Row],[FechaRecepcion]],"aaaammddhhmmss"))</f>
        <v>AAQkADdkNThjNzFkLWM0ZmMtNDJhYS04MDVlLTIwNzE4ZDI1Mzg4YgAQAGE3WJVmTnlPq01pAtNJCrg=-20261001181915</v>
      </c>
      <c r="D423" s="16" t="s">
        <v>837</v>
      </c>
      <c r="E423" t="s">
        <v>21</v>
      </c>
      <c r="F423" s="3">
        <v>46296.763368055559</v>
      </c>
      <c r="G423" s="3">
        <v>46296.763368055559</v>
      </c>
      <c r="H423" t="s">
        <v>838</v>
      </c>
      <c r="I423" t="s">
        <v>7</v>
      </c>
      <c r="J423" t="s">
        <v>949</v>
      </c>
      <c r="K423" t="s">
        <v>67</v>
      </c>
      <c r="L423" s="10"/>
      <c r="N42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23" s="3"/>
      <c r="P423" s="3"/>
      <c r="Q423" s="3">
        <v>46296.763368055559</v>
      </c>
      <c r="R42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423" t="s">
        <v>164</v>
      </c>
      <c r="T423" t="str">
        <f>IF(SCTR_Brokers[[#This Row],[FechaRecepcion]]="","",TEXT(SCTR_Brokers[[#This Row],[FechaRecepcion]],"mmmm")&amp;" "&amp;YEAR(SCTR_Brokers[[#This Row],[FechaRecepcion]]))</f>
        <v>octubre 2026</v>
      </c>
      <c r="U423">
        <f>IF(SCTR_Brokers[[#This Row],[Estado]]="FINALIZADO",1,0)</f>
        <v>1</v>
      </c>
      <c r="V423">
        <f>IF(SCTR_Brokers[[#This Row],[FechaRecepcion]]="","",IF(SCTR_Brokers[[#This Row],[Estado]]="FINALIZADO",0,1))</f>
        <v>0</v>
      </c>
      <c r="W423">
        <f ca="1">IF(AND(SCTR_Brokers[[#This Row],[Estado]]="FINALIZADO",SCTR_Brokers[[#This Row],[Plazo]]=LISTAS!$J$3),1,0)</f>
        <v>1</v>
      </c>
      <c r="X423">
        <f ca="1">IF(AND(SCTR_Brokers[[#This Row],[Estado]]="FINALIZADO",SCTR_Brokers[[#This Row],[Plazo]]=LISTAS!$J$4),1,0)</f>
        <v>0</v>
      </c>
      <c r="Y423">
        <f ca="1">IF(AND(SCTR_Brokers[[#This Row],[Estado]]&lt;&gt;"FINALIZADO",SCTR_Brokers[[#This Row],[Plazo]]=LISTAS!$J$4),1,0)</f>
        <v>0</v>
      </c>
      <c r="Z423">
        <f>IF(SCTR_Brokers[[#This Row],[Fecha_Solic_Informe]]="",0,1)</f>
        <v>0</v>
      </c>
      <c r="AA423">
        <f>IF(SCTR_Brokers[[#This Row],[Fecha_Informe]]="",0,1)</f>
        <v>0</v>
      </c>
      <c r="AB423">
        <f>IF(AND(SCTR_Brokers[[#This Row],[Fecha_Solic_Informe]]&lt;&gt;"",SCTR_Brokers[[#This Row],[Fecha_Informe]]=""),1,0)</f>
        <v>0</v>
      </c>
      <c r="AC42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24" spans="1:29" hidden="1">
      <c r="A424" t="s">
        <v>953</v>
      </c>
      <c r="C424" t="str">
        <f>IF(SCTR_Brokers[[#This Row],[FechaRecepcion]]="","",SCTR_Brokers[[#This Row],[ConversationId]]&amp;"-"&amp;TEXT(SCTR_Brokers[[#This Row],[FechaRecepcion]],"aaaammddhhmmss"))</f>
        <v>AAQkADdkNThjNzFkLWM0ZmMtNDJhYS04MDVlLTIwNzE4ZDI1Mzg4YgAQADISK7yq9t5GsObIzKGGRqo=-20261002091811</v>
      </c>
      <c r="D424" s="16" t="s">
        <v>954</v>
      </c>
      <c r="E424" t="s">
        <v>21</v>
      </c>
      <c r="F424" s="3">
        <v>46297.387627314813</v>
      </c>
      <c r="G424" s="3">
        <v>46297.394444444442</v>
      </c>
      <c r="H424" t="s">
        <v>955</v>
      </c>
      <c r="I424" t="s">
        <v>7</v>
      </c>
      <c r="J424" t="s">
        <v>956</v>
      </c>
      <c r="K424" t="s">
        <v>67</v>
      </c>
      <c r="L424" s="10"/>
      <c r="N42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24" s="3"/>
      <c r="P424" s="3"/>
      <c r="Q424" s="3">
        <v>46297.394444444442</v>
      </c>
      <c r="R42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24" t="str">
        <f>IF(SCTR_Brokers[[#This Row],[FechaRecepcion]]="","",TEXT(SCTR_Brokers[[#This Row],[FechaRecepcion]],"mmmm")&amp;" "&amp;YEAR(SCTR_Brokers[[#This Row],[FechaRecepcion]]))</f>
        <v>octubre 2026</v>
      </c>
      <c r="U424">
        <f>IF(SCTR_Brokers[[#This Row],[Estado]]="FINALIZADO",1,0)</f>
        <v>1</v>
      </c>
      <c r="V424">
        <f>IF(SCTR_Brokers[[#This Row],[FechaRecepcion]]="","",IF(SCTR_Brokers[[#This Row],[Estado]]="FINALIZADO",0,1))</f>
        <v>0</v>
      </c>
      <c r="W424">
        <f ca="1">IF(AND(SCTR_Brokers[[#This Row],[Estado]]="FINALIZADO",SCTR_Brokers[[#This Row],[Plazo]]=LISTAS!$J$3),1,0)</f>
        <v>1</v>
      </c>
      <c r="X424">
        <f ca="1">IF(AND(SCTR_Brokers[[#This Row],[Estado]]="FINALIZADO",SCTR_Brokers[[#This Row],[Plazo]]=LISTAS!$J$4),1,0)</f>
        <v>0</v>
      </c>
      <c r="Y424">
        <f ca="1">IF(AND(SCTR_Brokers[[#This Row],[Estado]]&lt;&gt;"FINALIZADO",SCTR_Brokers[[#This Row],[Plazo]]=LISTAS!$J$4),1,0)</f>
        <v>0</v>
      </c>
      <c r="Z424">
        <f>IF(SCTR_Brokers[[#This Row],[Fecha_Solic_Informe]]="",0,1)</f>
        <v>0</v>
      </c>
      <c r="AA424">
        <f>IF(SCTR_Brokers[[#This Row],[Fecha_Informe]]="",0,1)</f>
        <v>0</v>
      </c>
      <c r="AB424">
        <f>IF(AND(SCTR_Brokers[[#This Row],[Fecha_Solic_Informe]]&lt;&gt;"",SCTR_Brokers[[#This Row],[Fecha_Informe]]=""),1,0)</f>
        <v>0</v>
      </c>
      <c r="AC42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25" spans="1:29" hidden="1">
      <c r="A425" t="s">
        <v>957</v>
      </c>
      <c r="C425" t="str">
        <f>IF(SCTR_Brokers[[#This Row],[FechaRecepcion]]="","",SCTR_Brokers[[#This Row],[ConversationId]]&amp;"-"&amp;TEXT(SCTR_Brokers[[#This Row],[FechaRecepcion]],"aaaammddhhmmss"))</f>
        <v>AAQkADdkNThjNzFkLWM0ZmMtNDJhYS04MDVlLTIwNzE4ZDI1Mzg4YgAQAMMe1tEDDihPjq3CfJUMDbM=-20261002101944</v>
      </c>
      <c r="D425" s="16" t="s">
        <v>958</v>
      </c>
      <c r="E425" t="s">
        <v>23</v>
      </c>
      <c r="F425" s="3">
        <v>46297.43037037037</v>
      </c>
      <c r="G425" s="3">
        <v>46297.43037037037</v>
      </c>
      <c r="H425" t="s">
        <v>959</v>
      </c>
      <c r="I425" t="s">
        <v>7</v>
      </c>
      <c r="K425" t="s">
        <v>67</v>
      </c>
      <c r="L425" s="10"/>
      <c r="N42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25" s="3"/>
      <c r="P425" s="3"/>
      <c r="Q425" s="3">
        <v>46297.497916666667</v>
      </c>
      <c r="R42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25" t="str">
        <f>IF(SCTR_Brokers[[#This Row],[FechaRecepcion]]="","",TEXT(SCTR_Brokers[[#This Row],[FechaRecepcion]],"mmmm")&amp;" "&amp;YEAR(SCTR_Brokers[[#This Row],[FechaRecepcion]]))</f>
        <v>octubre 2026</v>
      </c>
      <c r="U425">
        <f>IF(SCTR_Brokers[[#This Row],[Estado]]="FINALIZADO",1,0)</f>
        <v>1</v>
      </c>
      <c r="V425">
        <f>IF(SCTR_Brokers[[#This Row],[FechaRecepcion]]="","",IF(SCTR_Brokers[[#This Row],[Estado]]="FINALIZADO",0,1))</f>
        <v>0</v>
      </c>
      <c r="W425">
        <f ca="1">IF(AND(SCTR_Brokers[[#This Row],[Estado]]="FINALIZADO",SCTR_Brokers[[#This Row],[Plazo]]=LISTAS!$J$3),1,0)</f>
        <v>1</v>
      </c>
      <c r="X425">
        <f ca="1">IF(AND(SCTR_Brokers[[#This Row],[Estado]]="FINALIZADO",SCTR_Brokers[[#This Row],[Plazo]]=LISTAS!$J$4),1,0)</f>
        <v>0</v>
      </c>
      <c r="Y425">
        <f ca="1">IF(AND(SCTR_Brokers[[#This Row],[Estado]]&lt;&gt;"FINALIZADO",SCTR_Brokers[[#This Row],[Plazo]]=LISTAS!$J$4),1,0)</f>
        <v>0</v>
      </c>
      <c r="Z425">
        <f>IF(SCTR_Brokers[[#This Row],[Fecha_Solic_Informe]]="",0,1)</f>
        <v>0</v>
      </c>
      <c r="AA425">
        <f>IF(SCTR_Brokers[[#This Row],[Fecha_Informe]]="",0,1)</f>
        <v>0</v>
      </c>
      <c r="AB425">
        <f>IF(AND(SCTR_Brokers[[#This Row],[Fecha_Solic_Informe]]&lt;&gt;"",SCTR_Brokers[[#This Row],[Fecha_Informe]]=""),1,0)</f>
        <v>0</v>
      </c>
      <c r="AC42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26" spans="1:29" hidden="1">
      <c r="A426" t="s">
        <v>928</v>
      </c>
      <c r="C426" t="str">
        <f>IF(SCTR_Brokers[[#This Row],[FechaRecepcion]]="","",SCTR_Brokers[[#This Row],[ConversationId]]&amp;"-"&amp;TEXT(SCTR_Brokers[[#This Row],[FechaRecepcion]],"aaaammddhhmmss"))</f>
        <v>AAQkADdkNThjNzFkLWM0ZmMtNDJhYS04MDVlLTIwNzE4ZDI1Mzg4YgAQAAAyYt9mlkLiqf1EynoLYNc=-20261002103804</v>
      </c>
      <c r="D426" s="16" t="s">
        <v>929</v>
      </c>
      <c r="E426" t="s">
        <v>21</v>
      </c>
      <c r="F426" s="3">
        <v>46297.443101851852</v>
      </c>
      <c r="G426" s="3">
        <v>46300.488657407404</v>
      </c>
      <c r="H426" t="s">
        <v>644</v>
      </c>
      <c r="I426" t="s">
        <v>7</v>
      </c>
      <c r="K426" t="s">
        <v>67</v>
      </c>
      <c r="L426" s="10"/>
      <c r="N42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26" s="3"/>
      <c r="P426" s="3"/>
      <c r="Q426" s="3">
        <v>46300.488657407404</v>
      </c>
      <c r="R42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426" t="str">
        <f>IF(SCTR_Brokers[[#This Row],[FechaRecepcion]]="","",TEXT(SCTR_Brokers[[#This Row],[FechaRecepcion]],"mmmm")&amp;" "&amp;YEAR(SCTR_Brokers[[#This Row],[FechaRecepcion]]))</f>
        <v>octubre 2026</v>
      </c>
      <c r="U426">
        <f>IF(SCTR_Brokers[[#This Row],[Estado]]="FINALIZADO",1,0)</f>
        <v>1</v>
      </c>
      <c r="V426">
        <f>IF(SCTR_Brokers[[#This Row],[FechaRecepcion]]="","",IF(SCTR_Brokers[[#This Row],[Estado]]="FINALIZADO",0,1))</f>
        <v>0</v>
      </c>
      <c r="W426">
        <f ca="1">IF(AND(SCTR_Brokers[[#This Row],[Estado]]="FINALIZADO",SCTR_Brokers[[#This Row],[Plazo]]=LISTAS!$J$3),1,0)</f>
        <v>0</v>
      </c>
      <c r="X426">
        <f ca="1">IF(AND(SCTR_Brokers[[#This Row],[Estado]]="FINALIZADO",SCTR_Brokers[[#This Row],[Plazo]]=LISTAS!$J$4),1,0)</f>
        <v>1</v>
      </c>
      <c r="Y426">
        <f ca="1">IF(AND(SCTR_Brokers[[#This Row],[Estado]]&lt;&gt;"FINALIZADO",SCTR_Brokers[[#This Row],[Plazo]]=LISTAS!$J$4),1,0)</f>
        <v>0</v>
      </c>
      <c r="Z426">
        <f>IF(SCTR_Brokers[[#This Row],[Fecha_Solic_Informe]]="",0,1)</f>
        <v>0</v>
      </c>
      <c r="AA426">
        <f>IF(SCTR_Brokers[[#This Row],[Fecha_Informe]]="",0,1)</f>
        <v>0</v>
      </c>
      <c r="AB426">
        <f>IF(AND(SCTR_Brokers[[#This Row],[Fecha_Solic_Informe]]&lt;&gt;"",SCTR_Brokers[[#This Row],[Fecha_Informe]]=""),1,0)</f>
        <v>0</v>
      </c>
      <c r="AC42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27" spans="1:29" hidden="1">
      <c r="A427" t="s">
        <v>960</v>
      </c>
      <c r="C427" t="str">
        <f>IF(SCTR_Brokers[[#This Row],[FechaRecepcion]]="","",SCTR_Brokers[[#This Row],[ConversationId]]&amp;"-"&amp;TEXT(SCTR_Brokers[[#This Row],[FechaRecepcion]],"aaaammddhhmmss"))</f>
        <v>AAQkADdkNThjNzFkLWM0ZmMtNDJhYS04MDVlLTIwNzE4ZDI1Mzg4YgAQAO9seluGCE_anLpBDtDuk8A=-20261002110818</v>
      </c>
      <c r="D427" s="16" t="s">
        <v>961</v>
      </c>
      <c r="E427" t="s">
        <v>21</v>
      </c>
      <c r="F427" s="3">
        <v>46297.464097222219</v>
      </c>
      <c r="G427" s="3">
        <v>46297.519699074073</v>
      </c>
      <c r="H427" t="s">
        <v>70</v>
      </c>
      <c r="I427" t="s">
        <v>7</v>
      </c>
      <c r="K427" t="s">
        <v>67</v>
      </c>
      <c r="L427" s="10"/>
      <c r="N42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27" s="3"/>
      <c r="P427" s="3"/>
      <c r="Q427" s="3">
        <v>46297.519699074073</v>
      </c>
      <c r="R42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27" t="str">
        <f>IF(SCTR_Brokers[[#This Row],[FechaRecepcion]]="","",TEXT(SCTR_Brokers[[#This Row],[FechaRecepcion]],"mmmm")&amp;" "&amp;YEAR(SCTR_Brokers[[#This Row],[FechaRecepcion]]))</f>
        <v>octubre 2026</v>
      </c>
      <c r="U427">
        <f>IF(SCTR_Brokers[[#This Row],[Estado]]="FINALIZADO",1,0)</f>
        <v>1</v>
      </c>
      <c r="V427">
        <f>IF(SCTR_Brokers[[#This Row],[FechaRecepcion]]="","",IF(SCTR_Brokers[[#This Row],[Estado]]="FINALIZADO",0,1))</f>
        <v>0</v>
      </c>
      <c r="W427">
        <f ca="1">IF(AND(SCTR_Brokers[[#This Row],[Estado]]="FINALIZADO",SCTR_Brokers[[#This Row],[Plazo]]=LISTAS!$J$3),1,0)</f>
        <v>1</v>
      </c>
      <c r="X427">
        <f ca="1">IF(AND(SCTR_Brokers[[#This Row],[Estado]]="FINALIZADO",SCTR_Brokers[[#This Row],[Plazo]]=LISTAS!$J$4),1,0)</f>
        <v>0</v>
      </c>
      <c r="Y427">
        <f ca="1">IF(AND(SCTR_Brokers[[#This Row],[Estado]]&lt;&gt;"FINALIZADO",SCTR_Brokers[[#This Row],[Plazo]]=LISTAS!$J$4),1,0)</f>
        <v>0</v>
      </c>
      <c r="Z427">
        <f>IF(SCTR_Brokers[[#This Row],[Fecha_Solic_Informe]]="",0,1)</f>
        <v>0</v>
      </c>
      <c r="AA427">
        <f>IF(SCTR_Brokers[[#This Row],[Fecha_Informe]]="",0,1)</f>
        <v>0</v>
      </c>
      <c r="AB427">
        <f>IF(AND(SCTR_Brokers[[#This Row],[Fecha_Solic_Informe]]&lt;&gt;"",SCTR_Brokers[[#This Row],[Fecha_Informe]]=""),1,0)</f>
        <v>0</v>
      </c>
      <c r="AC42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28" spans="1:29" hidden="1">
      <c r="A428" t="s">
        <v>444</v>
      </c>
      <c r="C428" t="str">
        <f>IF(SCTR_Brokers[[#This Row],[FechaRecepcion]]="","",SCTR_Brokers[[#This Row],[ConversationId]]&amp;"-"&amp;TEXT(SCTR_Brokers[[#This Row],[FechaRecepcion]],"aaaammddhhmmss"))</f>
        <v>AAQkADdkNThjNzFkLWM0ZmMtNDJhYS04MDVlLTIwNzE4ZDI1Mzg4YgAQAG6w3D2gNbNPnZTazA6X2lM=-20261002111610</v>
      </c>
      <c r="D428" s="16" t="s">
        <v>477</v>
      </c>
      <c r="E428" t="s">
        <v>8</v>
      </c>
      <c r="F428" s="3">
        <v>46297.469560185185</v>
      </c>
      <c r="G428" s="3">
        <v>46300.616944444446</v>
      </c>
      <c r="H428" t="s">
        <v>70</v>
      </c>
      <c r="I428" t="s">
        <v>7</v>
      </c>
      <c r="K428" t="s">
        <v>67</v>
      </c>
      <c r="L428" s="10"/>
      <c r="N42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28" s="3"/>
      <c r="P428" s="3"/>
      <c r="Q428" s="3">
        <v>46300.616944444446</v>
      </c>
      <c r="R42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428" t="str">
        <f>IF(SCTR_Brokers[[#This Row],[FechaRecepcion]]="","",TEXT(SCTR_Brokers[[#This Row],[FechaRecepcion]],"mmmm")&amp;" "&amp;YEAR(SCTR_Brokers[[#This Row],[FechaRecepcion]]))</f>
        <v>octubre 2026</v>
      </c>
      <c r="U428">
        <f>IF(SCTR_Brokers[[#This Row],[Estado]]="FINALIZADO",1,0)</f>
        <v>1</v>
      </c>
      <c r="V428">
        <f>IF(SCTR_Brokers[[#This Row],[FechaRecepcion]]="","",IF(SCTR_Brokers[[#This Row],[Estado]]="FINALIZADO",0,1))</f>
        <v>0</v>
      </c>
      <c r="W428">
        <f ca="1">IF(AND(SCTR_Brokers[[#This Row],[Estado]]="FINALIZADO",SCTR_Brokers[[#This Row],[Plazo]]=LISTAS!$J$3),1,0)</f>
        <v>0</v>
      </c>
      <c r="X428">
        <f ca="1">IF(AND(SCTR_Brokers[[#This Row],[Estado]]="FINALIZADO",SCTR_Brokers[[#This Row],[Plazo]]=LISTAS!$J$4),1,0)</f>
        <v>1</v>
      </c>
      <c r="Y428">
        <f ca="1">IF(AND(SCTR_Brokers[[#This Row],[Estado]]&lt;&gt;"FINALIZADO",SCTR_Brokers[[#This Row],[Plazo]]=LISTAS!$J$4),1,0)</f>
        <v>0</v>
      </c>
      <c r="Z428">
        <f>IF(SCTR_Brokers[[#This Row],[Fecha_Solic_Informe]]="",0,1)</f>
        <v>0</v>
      </c>
      <c r="AA428">
        <f>IF(SCTR_Brokers[[#This Row],[Fecha_Informe]]="",0,1)</f>
        <v>0</v>
      </c>
      <c r="AB428">
        <f>IF(AND(SCTR_Brokers[[#This Row],[Fecha_Solic_Informe]]&lt;&gt;"",SCTR_Brokers[[#This Row],[Fecha_Informe]]=""),1,0)</f>
        <v>0</v>
      </c>
      <c r="AC42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29" spans="1:29" hidden="1">
      <c r="A429" t="s">
        <v>950</v>
      </c>
      <c r="C429" t="str">
        <f>IF(SCTR_Brokers[[#This Row],[FechaRecepcion]]="","",SCTR_Brokers[[#This Row],[ConversationId]]&amp;"-"&amp;TEXT(SCTR_Brokers[[#This Row],[FechaRecepcion]],"aaaammddhhmmss"))</f>
        <v>AAQkADdkNThjNzFkLWM0ZmMtNDJhYS04MDVlLTIwNzE4ZDI1Mzg4YgAQANmQbggK5NtGv1mIo0DDKek=-20261002114407</v>
      </c>
      <c r="D429" s="16" t="s">
        <v>962</v>
      </c>
      <c r="E429" t="s">
        <v>21</v>
      </c>
      <c r="F429" s="3">
        <v>46297.488969907405</v>
      </c>
      <c r="G429" s="3">
        <v>46298.713414351849</v>
      </c>
      <c r="H429" t="s">
        <v>217</v>
      </c>
      <c r="I429" t="s">
        <v>7</v>
      </c>
      <c r="J429" t="s">
        <v>218</v>
      </c>
      <c r="K429" t="s">
        <v>67</v>
      </c>
      <c r="L429" s="10"/>
      <c r="N42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29" s="3"/>
      <c r="P429" s="3"/>
      <c r="Q429" s="3">
        <v>46298.713414351849</v>
      </c>
      <c r="R42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29" t="str">
        <f>IF(SCTR_Brokers[[#This Row],[FechaRecepcion]]="","",TEXT(SCTR_Brokers[[#This Row],[FechaRecepcion]],"mmmm")&amp;" "&amp;YEAR(SCTR_Brokers[[#This Row],[FechaRecepcion]]))</f>
        <v>octubre 2026</v>
      </c>
      <c r="U429">
        <f>IF(SCTR_Brokers[[#This Row],[Estado]]="FINALIZADO",1,0)</f>
        <v>1</v>
      </c>
      <c r="V429">
        <f>IF(SCTR_Brokers[[#This Row],[FechaRecepcion]]="","",IF(SCTR_Brokers[[#This Row],[Estado]]="FINALIZADO",0,1))</f>
        <v>0</v>
      </c>
      <c r="W429">
        <f ca="1">IF(AND(SCTR_Brokers[[#This Row],[Estado]]="FINALIZADO",SCTR_Brokers[[#This Row],[Plazo]]=LISTAS!$J$3),1,0)</f>
        <v>1</v>
      </c>
      <c r="X429">
        <f ca="1">IF(AND(SCTR_Brokers[[#This Row],[Estado]]="FINALIZADO",SCTR_Brokers[[#This Row],[Plazo]]=LISTAS!$J$4),1,0)</f>
        <v>0</v>
      </c>
      <c r="Y429">
        <f ca="1">IF(AND(SCTR_Brokers[[#This Row],[Estado]]&lt;&gt;"FINALIZADO",SCTR_Brokers[[#This Row],[Plazo]]=LISTAS!$J$4),1,0)</f>
        <v>0</v>
      </c>
      <c r="Z429">
        <f>IF(SCTR_Brokers[[#This Row],[Fecha_Solic_Informe]]="",0,1)</f>
        <v>0</v>
      </c>
      <c r="AA429">
        <f>IF(SCTR_Brokers[[#This Row],[Fecha_Informe]]="",0,1)</f>
        <v>0</v>
      </c>
      <c r="AB429">
        <f>IF(AND(SCTR_Brokers[[#This Row],[Fecha_Solic_Informe]]&lt;&gt;"",SCTR_Brokers[[#This Row],[Fecha_Informe]]=""),1,0)</f>
        <v>0</v>
      </c>
      <c r="AC42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30" spans="1:29" hidden="1">
      <c r="A430" t="s">
        <v>963</v>
      </c>
      <c r="C430" t="str">
        <f>IF(SCTR_Brokers[[#This Row],[FechaRecepcion]]="","",SCTR_Brokers[[#This Row],[ConversationId]]&amp;"-"&amp;TEXT(SCTR_Brokers[[#This Row],[FechaRecepcion]],"aaaammddhhmmss"))</f>
        <v>AAQkADdkNThjNzFkLWM0ZmMtNDJhYS04MDVlLTIwNzE4ZDI1Mzg4YgAQANdZ3RZcsgNAi8rdCjPN-iU=-20261002114940</v>
      </c>
      <c r="D430" s="16" t="s">
        <v>964</v>
      </c>
      <c r="E430" t="s">
        <v>21</v>
      </c>
      <c r="F430" s="3">
        <v>46297.492824074077</v>
      </c>
      <c r="G430" s="3">
        <v>46300.713194444441</v>
      </c>
      <c r="H430" t="s">
        <v>70</v>
      </c>
      <c r="I430" t="s">
        <v>7</v>
      </c>
      <c r="J430" t="s">
        <v>965</v>
      </c>
      <c r="K430" t="s">
        <v>67</v>
      </c>
      <c r="L430" s="10" t="s">
        <v>966</v>
      </c>
      <c r="M430" t="s">
        <v>9</v>
      </c>
      <c r="N43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30" s="3">
        <v>46300.491249999999</v>
      </c>
      <c r="P430" s="3">
        <v>46300.572789351849</v>
      </c>
      <c r="Q430" s="3">
        <v>46300.713194444441</v>
      </c>
      <c r="R43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430" t="str">
        <f>IF(SCTR_Brokers[[#This Row],[FechaRecepcion]]="","",TEXT(SCTR_Brokers[[#This Row],[FechaRecepcion]],"mmmm")&amp;" "&amp;YEAR(SCTR_Brokers[[#This Row],[FechaRecepcion]]))</f>
        <v>octubre 2026</v>
      </c>
      <c r="U430">
        <f>IF(SCTR_Brokers[[#This Row],[Estado]]="FINALIZADO",1,0)</f>
        <v>1</v>
      </c>
      <c r="V430">
        <f>IF(SCTR_Brokers[[#This Row],[FechaRecepcion]]="","",IF(SCTR_Brokers[[#This Row],[Estado]]="FINALIZADO",0,1))</f>
        <v>0</v>
      </c>
      <c r="W430">
        <f ca="1">IF(AND(SCTR_Brokers[[#This Row],[Estado]]="FINALIZADO",SCTR_Brokers[[#This Row],[Plazo]]=LISTAS!$J$3),1,0)</f>
        <v>0</v>
      </c>
      <c r="X430">
        <f ca="1">IF(AND(SCTR_Brokers[[#This Row],[Estado]]="FINALIZADO",SCTR_Brokers[[#This Row],[Plazo]]=LISTAS!$J$4),1,0)</f>
        <v>1</v>
      </c>
      <c r="Y430">
        <f ca="1">IF(AND(SCTR_Brokers[[#This Row],[Estado]]&lt;&gt;"FINALIZADO",SCTR_Brokers[[#This Row],[Plazo]]=LISTAS!$J$4),1,0)</f>
        <v>0</v>
      </c>
      <c r="Z430">
        <f>IF(SCTR_Brokers[[#This Row],[Fecha_Solic_Informe]]="",0,1)</f>
        <v>1</v>
      </c>
      <c r="AA430">
        <f>IF(SCTR_Brokers[[#This Row],[Fecha_Informe]]="",0,1)</f>
        <v>1</v>
      </c>
      <c r="AB430">
        <f>IF(AND(SCTR_Brokers[[#This Row],[Fecha_Solic_Informe]]&lt;&gt;"",SCTR_Brokers[[#This Row],[Fecha_Informe]]=""),1,0)</f>
        <v>0</v>
      </c>
      <c r="AC430">
        <f>IF(AND(SCTR_Brokers[[#This Row],[Fecha_Solic_Informe]]&lt;&gt;"",SCTR_Brokers[[#This Row],[Fecha_Informe]]&lt;&gt;""),ROUND((SCTR_Brokers[[#This Row],[Fecha_Informe]]-SCTR_Brokers[[#This Row],[Fecha_Solic_Informe]])*24,1),"")</f>
        <v>2</v>
      </c>
    </row>
    <row r="431" spans="1:29" hidden="1">
      <c r="A431" t="s">
        <v>960</v>
      </c>
      <c r="C431" t="str">
        <f>IF(SCTR_Brokers[[#This Row],[FechaRecepcion]]="","",SCTR_Brokers[[#This Row],[ConversationId]]&amp;"-"&amp;TEXT(SCTR_Brokers[[#This Row],[FechaRecepcion]],"aaaammddhhmmss"))</f>
        <v>AAQkADdkNThjNzFkLWM0ZmMtNDJhYS04MDVlLTIwNzE4ZDI1Mzg4YgAQAO9seluGCE_anLpBDtDuk8A=-20261002123509</v>
      </c>
      <c r="D431" s="16" t="s">
        <v>961</v>
      </c>
      <c r="E431" t="s">
        <v>21</v>
      </c>
      <c r="F431" s="3">
        <v>46297.524409722224</v>
      </c>
      <c r="G431" s="3">
        <v>46300.466539351852</v>
      </c>
      <c r="H431" t="s">
        <v>625</v>
      </c>
      <c r="I431" t="s">
        <v>7</v>
      </c>
      <c r="K431" t="s">
        <v>67</v>
      </c>
      <c r="L431" s="10"/>
      <c r="N43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31" s="3"/>
      <c r="P431" s="3"/>
      <c r="Q431" s="3">
        <v>46300.658333333333</v>
      </c>
      <c r="R43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431" t="str">
        <f>IF(SCTR_Brokers[[#This Row],[FechaRecepcion]]="","",TEXT(SCTR_Brokers[[#This Row],[FechaRecepcion]],"mmmm")&amp;" "&amp;YEAR(SCTR_Brokers[[#This Row],[FechaRecepcion]]))</f>
        <v>octubre 2026</v>
      </c>
      <c r="U431">
        <f>IF(SCTR_Brokers[[#This Row],[Estado]]="FINALIZADO",1,0)</f>
        <v>1</v>
      </c>
      <c r="V431">
        <f>IF(SCTR_Brokers[[#This Row],[FechaRecepcion]]="","",IF(SCTR_Brokers[[#This Row],[Estado]]="FINALIZADO",0,1))</f>
        <v>0</v>
      </c>
      <c r="W431">
        <f ca="1">IF(AND(SCTR_Brokers[[#This Row],[Estado]]="FINALIZADO",SCTR_Brokers[[#This Row],[Plazo]]=LISTAS!$J$3),1,0)</f>
        <v>0</v>
      </c>
      <c r="X431">
        <f ca="1">IF(AND(SCTR_Brokers[[#This Row],[Estado]]="FINALIZADO",SCTR_Brokers[[#This Row],[Plazo]]=LISTAS!$J$4),1,0)</f>
        <v>1</v>
      </c>
      <c r="Y431">
        <f ca="1">IF(AND(SCTR_Brokers[[#This Row],[Estado]]&lt;&gt;"FINALIZADO",SCTR_Brokers[[#This Row],[Plazo]]=LISTAS!$J$4),1,0)</f>
        <v>0</v>
      </c>
      <c r="Z431">
        <f>IF(SCTR_Brokers[[#This Row],[Fecha_Solic_Informe]]="",0,1)</f>
        <v>0</v>
      </c>
      <c r="AA431">
        <f>IF(SCTR_Brokers[[#This Row],[Fecha_Informe]]="",0,1)</f>
        <v>0</v>
      </c>
      <c r="AB431">
        <f>IF(AND(SCTR_Brokers[[#This Row],[Fecha_Solic_Informe]]&lt;&gt;"",SCTR_Brokers[[#This Row],[Fecha_Informe]]=""),1,0)</f>
        <v>0</v>
      </c>
      <c r="AC43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32" spans="1:29" hidden="1">
      <c r="A432" t="s">
        <v>967</v>
      </c>
      <c r="C432" t="str">
        <f>IF(SCTR_Brokers[[#This Row],[FechaRecepcion]]="","",SCTR_Brokers[[#This Row],[ConversationId]]&amp;"-"&amp;TEXT(SCTR_Brokers[[#This Row],[FechaRecepcion]],"aaaammddhhmmss"))</f>
        <v>AAQkADdkNThjNzFkLWM0ZmMtNDJhYS04MDVlLTIwNzE4ZDI1Mzg4YgAQAHiJaz3e3kSIq67R1rfco2s=-20261002131054</v>
      </c>
      <c r="D432" s="16" t="s">
        <v>968</v>
      </c>
      <c r="E432" t="s">
        <v>8</v>
      </c>
      <c r="F432" s="3">
        <v>46297.54923611111</v>
      </c>
      <c r="G432" s="3">
        <v>46300.497534722221</v>
      </c>
      <c r="H432" t="s">
        <v>70</v>
      </c>
      <c r="I432" t="s">
        <v>7</v>
      </c>
      <c r="K432" t="s">
        <v>138</v>
      </c>
      <c r="L432" s="10" t="s">
        <v>969</v>
      </c>
      <c r="N43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32" s="3">
        <v>46300.496145833335</v>
      </c>
      <c r="P432" s="3"/>
      <c r="Q432" s="3">
        <v>46300.497534722221</v>
      </c>
      <c r="R43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32" t="str">
        <f>IF(SCTR_Brokers[[#This Row],[FechaRecepcion]]="","",TEXT(SCTR_Brokers[[#This Row],[FechaRecepcion]],"mmmm")&amp;" "&amp;YEAR(SCTR_Brokers[[#This Row],[FechaRecepcion]]))</f>
        <v>octubre 2026</v>
      </c>
      <c r="U432">
        <f>IF(SCTR_Brokers[[#This Row],[Estado]]="FINALIZADO",1,0)</f>
        <v>1</v>
      </c>
      <c r="V432">
        <f>IF(SCTR_Brokers[[#This Row],[FechaRecepcion]]="","",IF(SCTR_Brokers[[#This Row],[Estado]]="FINALIZADO",0,1))</f>
        <v>0</v>
      </c>
      <c r="W432">
        <f ca="1">IF(AND(SCTR_Brokers[[#This Row],[Estado]]="FINALIZADO",SCTR_Brokers[[#This Row],[Plazo]]=LISTAS!$J$3),1,0)</f>
        <v>1</v>
      </c>
      <c r="X432">
        <f ca="1">IF(AND(SCTR_Brokers[[#This Row],[Estado]]="FINALIZADO",SCTR_Brokers[[#This Row],[Plazo]]=LISTAS!$J$4),1,0)</f>
        <v>0</v>
      </c>
      <c r="Y432">
        <f ca="1">IF(AND(SCTR_Brokers[[#This Row],[Estado]]&lt;&gt;"FINALIZADO",SCTR_Brokers[[#This Row],[Plazo]]=LISTAS!$J$4),1,0)</f>
        <v>0</v>
      </c>
      <c r="Z432">
        <f>IF(SCTR_Brokers[[#This Row],[Fecha_Solic_Informe]]="",0,1)</f>
        <v>1</v>
      </c>
      <c r="AA432">
        <f>IF(SCTR_Brokers[[#This Row],[Fecha_Informe]]="",0,1)</f>
        <v>0</v>
      </c>
      <c r="AB432">
        <f>IF(AND(SCTR_Brokers[[#This Row],[Fecha_Solic_Informe]]&lt;&gt;"",SCTR_Brokers[[#This Row],[Fecha_Informe]]=""),1,0)</f>
        <v>1</v>
      </c>
      <c r="AC43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33" spans="1:29" hidden="1">
      <c r="A433" t="s">
        <v>970</v>
      </c>
      <c r="C433" t="str">
        <f>IF(SCTR_Brokers[[#This Row],[FechaRecepcion]]="","",SCTR_Brokers[[#This Row],[ConversationId]]&amp;"-"&amp;TEXT(SCTR_Brokers[[#This Row],[FechaRecepcion]],"aaaammddhhmmss"))</f>
        <v>AAQkADdkNThjNzFkLWM0ZmMtNDJhYS04MDVlLTIwNzE4ZDI1Mzg4YgAQAA1uiQvbjRtEpt_4obvPhxo=-20261002152306</v>
      </c>
      <c r="D433" s="16" t="s">
        <v>971</v>
      </c>
      <c r="E433" t="s">
        <v>8</v>
      </c>
      <c r="F433" s="3">
        <v>46297.641041666669</v>
      </c>
      <c r="G433" s="3">
        <v>46300.60732638889</v>
      </c>
      <c r="H433" t="s">
        <v>70</v>
      </c>
      <c r="I433" t="s">
        <v>7</v>
      </c>
      <c r="K433" t="s">
        <v>67</v>
      </c>
      <c r="L433" s="10"/>
      <c r="N43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33" s="3"/>
      <c r="P433" s="3"/>
      <c r="Q433" s="3">
        <v>46300.606944444444</v>
      </c>
      <c r="R43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433" t="str">
        <f>IF(SCTR_Brokers[[#This Row],[FechaRecepcion]]="","",TEXT(SCTR_Brokers[[#This Row],[FechaRecepcion]],"mmmm")&amp;" "&amp;YEAR(SCTR_Brokers[[#This Row],[FechaRecepcion]]))</f>
        <v>octubre 2026</v>
      </c>
      <c r="U433">
        <f>IF(SCTR_Brokers[[#This Row],[Estado]]="FINALIZADO",1,0)</f>
        <v>1</v>
      </c>
      <c r="V433">
        <f>IF(SCTR_Brokers[[#This Row],[FechaRecepcion]]="","",IF(SCTR_Brokers[[#This Row],[Estado]]="FINALIZADO",0,1))</f>
        <v>0</v>
      </c>
      <c r="W433">
        <f ca="1">IF(AND(SCTR_Brokers[[#This Row],[Estado]]="FINALIZADO",SCTR_Brokers[[#This Row],[Plazo]]=LISTAS!$J$3),1,0)</f>
        <v>0</v>
      </c>
      <c r="X433">
        <f ca="1">IF(AND(SCTR_Brokers[[#This Row],[Estado]]="FINALIZADO",SCTR_Brokers[[#This Row],[Plazo]]=LISTAS!$J$4),1,0)</f>
        <v>1</v>
      </c>
      <c r="Y433">
        <f ca="1">IF(AND(SCTR_Brokers[[#This Row],[Estado]]&lt;&gt;"FINALIZADO",SCTR_Brokers[[#This Row],[Plazo]]=LISTAS!$J$4),1,0)</f>
        <v>0</v>
      </c>
      <c r="Z433">
        <f>IF(SCTR_Brokers[[#This Row],[Fecha_Solic_Informe]]="",0,1)</f>
        <v>0</v>
      </c>
      <c r="AA433">
        <f>IF(SCTR_Brokers[[#This Row],[Fecha_Informe]]="",0,1)</f>
        <v>0</v>
      </c>
      <c r="AB433">
        <f>IF(AND(SCTR_Brokers[[#This Row],[Fecha_Solic_Informe]]&lt;&gt;"",SCTR_Brokers[[#This Row],[Fecha_Informe]]=""),1,0)</f>
        <v>0</v>
      </c>
      <c r="AC43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34" spans="1:29" hidden="1">
      <c r="A434" t="s">
        <v>972</v>
      </c>
      <c r="C434" t="str">
        <f>IF(SCTR_Brokers[[#This Row],[FechaRecepcion]]="","",SCTR_Brokers[[#This Row],[ConversationId]]&amp;"-"&amp;TEXT(SCTR_Brokers[[#This Row],[FechaRecepcion]],"aaaammddhhmmss"))</f>
        <v>AAQkADdkNThjNzFkLWM0ZmMtNDJhYS04MDVlLTIwNzE4ZDI1Mzg4YgAQAHTwrzEY4hlNrpUSIZKF-tk=-20261002165420</v>
      </c>
      <c r="D434" s="16" t="s">
        <v>973</v>
      </c>
      <c r="E434" t="s">
        <v>20</v>
      </c>
      <c r="F434" s="3">
        <v>46297.704398148147</v>
      </c>
      <c r="G434" s="3">
        <v>46300.405474537038</v>
      </c>
      <c r="H434" t="s">
        <v>70</v>
      </c>
      <c r="I434" t="s">
        <v>7</v>
      </c>
      <c r="K434" t="s">
        <v>67</v>
      </c>
      <c r="L434" s="10"/>
      <c r="N43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34" s="3"/>
      <c r="P434" s="3"/>
      <c r="Q434" s="3">
        <v>46300.405474537038</v>
      </c>
      <c r="R43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34" t="str">
        <f>IF(SCTR_Brokers[[#This Row],[FechaRecepcion]]="","",TEXT(SCTR_Brokers[[#This Row],[FechaRecepcion]],"mmmm")&amp;" "&amp;YEAR(SCTR_Brokers[[#This Row],[FechaRecepcion]]))</f>
        <v>octubre 2026</v>
      </c>
      <c r="U434">
        <f>IF(SCTR_Brokers[[#This Row],[Estado]]="FINALIZADO",1,0)</f>
        <v>1</v>
      </c>
      <c r="V434">
        <f>IF(SCTR_Brokers[[#This Row],[FechaRecepcion]]="","",IF(SCTR_Brokers[[#This Row],[Estado]]="FINALIZADO",0,1))</f>
        <v>0</v>
      </c>
      <c r="W434">
        <f ca="1">IF(AND(SCTR_Brokers[[#This Row],[Estado]]="FINALIZADO",SCTR_Brokers[[#This Row],[Plazo]]=LISTAS!$J$3),1,0)</f>
        <v>1</v>
      </c>
      <c r="X434">
        <f ca="1">IF(AND(SCTR_Brokers[[#This Row],[Estado]]="FINALIZADO",SCTR_Brokers[[#This Row],[Plazo]]=LISTAS!$J$4),1,0)</f>
        <v>0</v>
      </c>
      <c r="Y434">
        <f ca="1">IF(AND(SCTR_Brokers[[#This Row],[Estado]]&lt;&gt;"FINALIZADO",SCTR_Brokers[[#This Row],[Plazo]]=LISTAS!$J$4),1,0)</f>
        <v>0</v>
      </c>
      <c r="Z434">
        <f>IF(SCTR_Brokers[[#This Row],[Fecha_Solic_Informe]]="",0,1)</f>
        <v>0</v>
      </c>
      <c r="AA434">
        <f>IF(SCTR_Brokers[[#This Row],[Fecha_Informe]]="",0,1)</f>
        <v>0</v>
      </c>
      <c r="AB434">
        <f>IF(AND(SCTR_Brokers[[#This Row],[Fecha_Solic_Informe]]&lt;&gt;"",SCTR_Brokers[[#This Row],[Fecha_Informe]]=""),1,0)</f>
        <v>0</v>
      </c>
      <c r="AC43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35" spans="1:29" hidden="1">
      <c r="A435" t="s">
        <v>974</v>
      </c>
      <c r="C435" t="str">
        <f>IF(SCTR_Brokers[[#This Row],[FechaRecepcion]]="","",SCTR_Brokers[[#This Row],[ConversationId]]&amp;"-"&amp;TEXT(SCTR_Brokers[[#This Row],[FechaRecepcion]],"aaaammddhhmmss"))</f>
        <v>AAQkADdkNThjNzFkLWM0ZmMtNDJhYS04MDVlLTIwNzE4ZDI1Mzg4YgAQABT_Lrs2q0qPthXm3QGbpcQ=-20261005084206</v>
      </c>
      <c r="D435" s="16" t="s">
        <v>975</v>
      </c>
      <c r="E435" t="s">
        <v>21</v>
      </c>
      <c r="F435" s="3">
        <v>46300.362569444442</v>
      </c>
      <c r="G435" s="3">
        <v>46300.362569444442</v>
      </c>
      <c r="H435" t="s">
        <v>976</v>
      </c>
      <c r="I435" t="s">
        <v>7</v>
      </c>
      <c r="J435" t="s">
        <v>977</v>
      </c>
      <c r="K435" t="s">
        <v>67</v>
      </c>
      <c r="L435" s="10"/>
      <c r="N43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35" s="3"/>
      <c r="P435" s="3"/>
      <c r="Q435" s="3">
        <v>46300.362569444449</v>
      </c>
      <c r="R43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435" t="s">
        <v>164</v>
      </c>
      <c r="T435" t="str">
        <f>IF(SCTR_Brokers[[#This Row],[FechaRecepcion]]="","",TEXT(SCTR_Brokers[[#This Row],[FechaRecepcion]],"mmmm")&amp;" "&amp;YEAR(SCTR_Brokers[[#This Row],[FechaRecepcion]]))</f>
        <v>octubre 2026</v>
      </c>
      <c r="U435">
        <f>IF(SCTR_Brokers[[#This Row],[Estado]]="FINALIZADO",1,0)</f>
        <v>1</v>
      </c>
      <c r="V435">
        <f>IF(SCTR_Brokers[[#This Row],[FechaRecepcion]]="","",IF(SCTR_Brokers[[#This Row],[Estado]]="FINALIZADO",0,1))</f>
        <v>0</v>
      </c>
      <c r="W435">
        <f ca="1">IF(AND(SCTR_Brokers[[#This Row],[Estado]]="FINALIZADO",SCTR_Brokers[[#This Row],[Plazo]]=LISTAS!$J$3),1,0)</f>
        <v>1</v>
      </c>
      <c r="X435">
        <f ca="1">IF(AND(SCTR_Brokers[[#This Row],[Estado]]="FINALIZADO",SCTR_Brokers[[#This Row],[Plazo]]=LISTAS!$J$4),1,0)</f>
        <v>0</v>
      </c>
      <c r="Y435">
        <f ca="1">IF(AND(SCTR_Brokers[[#This Row],[Estado]]&lt;&gt;"FINALIZADO",SCTR_Brokers[[#This Row],[Plazo]]=LISTAS!$J$4),1,0)</f>
        <v>0</v>
      </c>
      <c r="Z435">
        <f>IF(SCTR_Brokers[[#This Row],[Fecha_Solic_Informe]]="",0,1)</f>
        <v>0</v>
      </c>
      <c r="AA435">
        <f>IF(SCTR_Brokers[[#This Row],[Fecha_Informe]]="",0,1)</f>
        <v>0</v>
      </c>
      <c r="AB435">
        <f>IF(AND(SCTR_Brokers[[#This Row],[Fecha_Solic_Informe]]&lt;&gt;"",SCTR_Brokers[[#This Row],[Fecha_Informe]]=""),1,0)</f>
        <v>0</v>
      </c>
      <c r="AC43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36" spans="1:29" hidden="1">
      <c r="A436" t="s">
        <v>978</v>
      </c>
      <c r="C436" t="str">
        <f>IF(SCTR_Brokers[[#This Row],[FechaRecepcion]]="","",SCTR_Brokers[[#This Row],[ConversationId]]&amp;"-"&amp;TEXT(SCTR_Brokers[[#This Row],[FechaRecepcion]],"aaaammddhhmmss"))</f>
        <v>AAQkADdkNThjNzFkLWM0ZmMtNDJhYS04MDVlLTIwNzE4ZDI1Mzg4YgAQAPxltsDlkYRAt_mVps2dvnM=-20261005093258</v>
      </c>
      <c r="D436" s="16" t="s">
        <v>979</v>
      </c>
      <c r="E436" t="s">
        <v>20</v>
      </c>
      <c r="F436" s="3">
        <v>46300.397893518515</v>
      </c>
      <c r="G436" s="3">
        <v>46300.73673611111</v>
      </c>
      <c r="H436" t="s">
        <v>356</v>
      </c>
      <c r="I436" t="s">
        <v>7</v>
      </c>
      <c r="J436" t="s">
        <v>980</v>
      </c>
      <c r="K436" t="s">
        <v>67</v>
      </c>
      <c r="L436" s="10" t="s">
        <v>981</v>
      </c>
      <c r="M436" t="s">
        <v>16</v>
      </c>
      <c r="N43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36" s="3">
        <v>46300.608090277776</v>
      </c>
      <c r="P436" s="3">
        <v>46300.638078703705</v>
      </c>
      <c r="Q436" s="3">
        <v>46300.727777777778</v>
      </c>
      <c r="R43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436" t="str">
        <f>IF(SCTR_Brokers[[#This Row],[FechaRecepcion]]="","",TEXT(SCTR_Brokers[[#This Row],[FechaRecepcion]],"mmmm")&amp;" "&amp;YEAR(SCTR_Brokers[[#This Row],[FechaRecepcion]]))</f>
        <v>octubre 2026</v>
      </c>
      <c r="U436">
        <f>IF(SCTR_Brokers[[#This Row],[Estado]]="FINALIZADO",1,0)</f>
        <v>1</v>
      </c>
      <c r="V436">
        <f>IF(SCTR_Brokers[[#This Row],[FechaRecepcion]]="","",IF(SCTR_Brokers[[#This Row],[Estado]]="FINALIZADO",0,1))</f>
        <v>0</v>
      </c>
      <c r="W436">
        <f ca="1">IF(AND(SCTR_Brokers[[#This Row],[Estado]]="FINALIZADO",SCTR_Brokers[[#This Row],[Plazo]]=LISTAS!$J$3),1,0)</f>
        <v>0</v>
      </c>
      <c r="X436">
        <f ca="1">IF(AND(SCTR_Brokers[[#This Row],[Estado]]="FINALIZADO",SCTR_Brokers[[#This Row],[Plazo]]=LISTAS!$J$4),1,0)</f>
        <v>1</v>
      </c>
      <c r="Y436">
        <f ca="1">IF(AND(SCTR_Brokers[[#This Row],[Estado]]&lt;&gt;"FINALIZADO",SCTR_Brokers[[#This Row],[Plazo]]=LISTAS!$J$4),1,0)</f>
        <v>0</v>
      </c>
      <c r="Z436">
        <f>IF(SCTR_Brokers[[#This Row],[Fecha_Solic_Informe]]="",0,1)</f>
        <v>1</v>
      </c>
      <c r="AA436">
        <f>IF(SCTR_Brokers[[#This Row],[Fecha_Informe]]="",0,1)</f>
        <v>1</v>
      </c>
      <c r="AB436">
        <f>IF(AND(SCTR_Brokers[[#This Row],[Fecha_Solic_Informe]]&lt;&gt;"",SCTR_Brokers[[#This Row],[Fecha_Informe]]=""),1,0)</f>
        <v>0</v>
      </c>
      <c r="AC436">
        <f>IF(AND(SCTR_Brokers[[#This Row],[Fecha_Solic_Informe]]&lt;&gt;"",SCTR_Brokers[[#This Row],[Fecha_Informe]]&lt;&gt;""),ROUND((SCTR_Brokers[[#This Row],[Fecha_Informe]]-SCTR_Brokers[[#This Row],[Fecha_Solic_Informe]])*24,1),"")</f>
        <v>0.7</v>
      </c>
    </row>
    <row r="437" spans="1:29" hidden="1">
      <c r="A437" t="s">
        <v>982</v>
      </c>
      <c r="C437" t="str">
        <f>IF(SCTR_Brokers[[#This Row],[FechaRecepcion]]="","",SCTR_Brokers[[#This Row],[ConversationId]]&amp;"-"&amp;TEXT(SCTR_Brokers[[#This Row],[FechaRecepcion]],"aaaammddhhmmss"))</f>
        <v>AAQkADdkNThjNzFkLWM0ZmMtNDJhYS04MDVlLTIwNzE4ZDI1Mzg4YgAQAFeyDnMFQt1Ps6e57VrTZyw=-20261005100337</v>
      </c>
      <c r="D437" s="16" t="s">
        <v>983</v>
      </c>
      <c r="E437" t="s">
        <v>21</v>
      </c>
      <c r="F437" s="3">
        <v>46300.419178240743</v>
      </c>
      <c r="G437" s="3">
        <v>46300.610081018516</v>
      </c>
      <c r="H437" t="s">
        <v>70</v>
      </c>
      <c r="I437" t="s">
        <v>7</v>
      </c>
      <c r="K437" t="s">
        <v>67</v>
      </c>
      <c r="L437" s="10"/>
      <c r="N43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37" s="3"/>
      <c r="P437" s="3"/>
      <c r="Q437" s="3">
        <v>46300.610081018516</v>
      </c>
      <c r="R43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37" t="str">
        <f>IF(SCTR_Brokers[[#This Row],[FechaRecepcion]]="","",TEXT(SCTR_Brokers[[#This Row],[FechaRecepcion]],"mmmm")&amp;" "&amp;YEAR(SCTR_Brokers[[#This Row],[FechaRecepcion]]))</f>
        <v>octubre 2026</v>
      </c>
      <c r="U437">
        <f>IF(SCTR_Brokers[[#This Row],[Estado]]="FINALIZADO",1,0)</f>
        <v>1</v>
      </c>
      <c r="V437">
        <f>IF(SCTR_Brokers[[#This Row],[FechaRecepcion]]="","",IF(SCTR_Brokers[[#This Row],[Estado]]="FINALIZADO",0,1))</f>
        <v>0</v>
      </c>
      <c r="W437">
        <f ca="1">IF(AND(SCTR_Brokers[[#This Row],[Estado]]="FINALIZADO",SCTR_Brokers[[#This Row],[Plazo]]=LISTAS!$J$3),1,0)</f>
        <v>1</v>
      </c>
      <c r="X437">
        <f ca="1">IF(AND(SCTR_Brokers[[#This Row],[Estado]]="FINALIZADO",SCTR_Brokers[[#This Row],[Plazo]]=LISTAS!$J$4),1,0)</f>
        <v>0</v>
      </c>
      <c r="Y437">
        <f ca="1">IF(AND(SCTR_Brokers[[#This Row],[Estado]]&lt;&gt;"FINALIZADO",SCTR_Brokers[[#This Row],[Plazo]]=LISTAS!$J$4),1,0)</f>
        <v>0</v>
      </c>
      <c r="Z437">
        <f>IF(SCTR_Brokers[[#This Row],[Fecha_Solic_Informe]]="",0,1)</f>
        <v>0</v>
      </c>
      <c r="AA437">
        <f>IF(SCTR_Brokers[[#This Row],[Fecha_Informe]]="",0,1)</f>
        <v>0</v>
      </c>
      <c r="AB437">
        <f>IF(AND(SCTR_Brokers[[#This Row],[Fecha_Solic_Informe]]&lt;&gt;"",SCTR_Brokers[[#This Row],[Fecha_Informe]]=""),1,0)</f>
        <v>0</v>
      </c>
      <c r="AC43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38" spans="1:29" hidden="1">
      <c r="A438" t="s">
        <v>938</v>
      </c>
      <c r="C438" t="str">
        <f>IF(SCTR_Brokers[[#This Row],[FechaRecepcion]]="","",SCTR_Brokers[[#This Row],[ConversationId]]&amp;"-"&amp;TEXT(SCTR_Brokers[[#This Row],[FechaRecepcion]],"aaaammddhhmmss"))</f>
        <v>AAQkADdkNThjNzFkLWM0ZmMtNDJhYS04MDVlLTIwNzE4ZDI1Mzg4YgAQACagVAcmkUOBldTo7OCc_58=-20261005101242</v>
      </c>
      <c r="D438" s="16" t="s">
        <v>984</v>
      </c>
      <c r="E438" t="s">
        <v>8</v>
      </c>
      <c r="F438" s="3">
        <v>46300.425486111111</v>
      </c>
      <c r="G438" s="3">
        <v>46300.428495370368</v>
      </c>
      <c r="H438" t="s">
        <v>176</v>
      </c>
      <c r="I438" t="s">
        <v>7</v>
      </c>
      <c r="J438" t="s">
        <v>177</v>
      </c>
      <c r="K438" t="s">
        <v>67</v>
      </c>
      <c r="L438" s="10"/>
      <c r="N43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38" s="3"/>
      <c r="P438" s="3"/>
      <c r="Q438" s="3">
        <v>46300.428495370368</v>
      </c>
      <c r="R43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38" t="str">
        <f>IF(SCTR_Brokers[[#This Row],[FechaRecepcion]]="","",TEXT(SCTR_Brokers[[#This Row],[FechaRecepcion]],"mmmm")&amp;" "&amp;YEAR(SCTR_Brokers[[#This Row],[FechaRecepcion]]))</f>
        <v>octubre 2026</v>
      </c>
      <c r="U438">
        <f>IF(SCTR_Brokers[[#This Row],[Estado]]="FINALIZADO",1,0)</f>
        <v>1</v>
      </c>
      <c r="V438">
        <f>IF(SCTR_Brokers[[#This Row],[FechaRecepcion]]="","",IF(SCTR_Brokers[[#This Row],[Estado]]="FINALIZADO",0,1))</f>
        <v>0</v>
      </c>
      <c r="W438">
        <f ca="1">IF(AND(SCTR_Brokers[[#This Row],[Estado]]="FINALIZADO",SCTR_Brokers[[#This Row],[Plazo]]=LISTAS!$J$3),1,0)</f>
        <v>1</v>
      </c>
      <c r="X438">
        <f ca="1">IF(AND(SCTR_Brokers[[#This Row],[Estado]]="FINALIZADO",SCTR_Brokers[[#This Row],[Plazo]]=LISTAS!$J$4),1,0)</f>
        <v>0</v>
      </c>
      <c r="Y438">
        <f ca="1">IF(AND(SCTR_Brokers[[#This Row],[Estado]]&lt;&gt;"FINALIZADO",SCTR_Brokers[[#This Row],[Plazo]]=LISTAS!$J$4),1,0)</f>
        <v>0</v>
      </c>
      <c r="Z438">
        <f>IF(SCTR_Brokers[[#This Row],[Fecha_Solic_Informe]]="",0,1)</f>
        <v>0</v>
      </c>
      <c r="AA438">
        <f>IF(SCTR_Brokers[[#This Row],[Fecha_Informe]]="",0,1)</f>
        <v>0</v>
      </c>
      <c r="AB438">
        <f>IF(AND(SCTR_Brokers[[#This Row],[Fecha_Solic_Informe]]&lt;&gt;"",SCTR_Brokers[[#This Row],[Fecha_Informe]]=""),1,0)</f>
        <v>0</v>
      </c>
      <c r="AC43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39" spans="1:29" hidden="1">
      <c r="A439" t="s">
        <v>985</v>
      </c>
      <c r="C439" t="str">
        <f>IF(SCTR_Brokers[[#This Row],[FechaRecepcion]]="","",SCTR_Brokers[[#This Row],[ConversationId]]&amp;"-"&amp;TEXT(SCTR_Brokers[[#This Row],[FechaRecepcion]],"aaaammddhhmmss"))</f>
        <v>AAQkADdkNThjNzFkLWM0ZmMtNDJhYS04MDVlLTIwNzE4ZDI1Mzg4YgAQAHMmHiCW_U4qq3qAuYy7SS0=-20261005101829</v>
      </c>
      <c r="D439" s="16" t="s">
        <v>986</v>
      </c>
      <c r="E439" t="s">
        <v>8</v>
      </c>
      <c r="F439" s="3">
        <v>46300.429502314815</v>
      </c>
      <c r="G439" s="3">
        <v>46300.614629629628</v>
      </c>
      <c r="H439" t="s">
        <v>70</v>
      </c>
      <c r="I439" t="s">
        <v>7</v>
      </c>
      <c r="K439" t="s">
        <v>67</v>
      </c>
      <c r="L439" s="10"/>
      <c r="N43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39" s="3"/>
      <c r="P439" s="3"/>
      <c r="Q439" s="3">
        <v>46300.614629629628</v>
      </c>
      <c r="R43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39" t="str">
        <f>IF(SCTR_Brokers[[#This Row],[FechaRecepcion]]="","",TEXT(SCTR_Brokers[[#This Row],[FechaRecepcion]],"mmmm")&amp;" "&amp;YEAR(SCTR_Brokers[[#This Row],[FechaRecepcion]]))</f>
        <v>octubre 2026</v>
      </c>
      <c r="U439">
        <f>IF(SCTR_Brokers[[#This Row],[Estado]]="FINALIZADO",1,0)</f>
        <v>1</v>
      </c>
      <c r="V439">
        <f>IF(SCTR_Brokers[[#This Row],[FechaRecepcion]]="","",IF(SCTR_Brokers[[#This Row],[Estado]]="FINALIZADO",0,1))</f>
        <v>0</v>
      </c>
      <c r="W439">
        <f ca="1">IF(AND(SCTR_Brokers[[#This Row],[Estado]]="FINALIZADO",SCTR_Brokers[[#This Row],[Plazo]]=LISTAS!$J$3),1,0)</f>
        <v>1</v>
      </c>
      <c r="X439">
        <f ca="1">IF(AND(SCTR_Brokers[[#This Row],[Estado]]="FINALIZADO",SCTR_Brokers[[#This Row],[Plazo]]=LISTAS!$J$4),1,0)</f>
        <v>0</v>
      </c>
      <c r="Y439">
        <f ca="1">IF(AND(SCTR_Brokers[[#This Row],[Estado]]&lt;&gt;"FINALIZADO",SCTR_Brokers[[#This Row],[Plazo]]=LISTAS!$J$4),1,0)</f>
        <v>0</v>
      </c>
      <c r="Z439">
        <f>IF(SCTR_Brokers[[#This Row],[Fecha_Solic_Informe]]="",0,1)</f>
        <v>0</v>
      </c>
      <c r="AA439">
        <f>IF(SCTR_Brokers[[#This Row],[Fecha_Informe]]="",0,1)</f>
        <v>0</v>
      </c>
      <c r="AB439">
        <f>IF(AND(SCTR_Brokers[[#This Row],[Fecha_Solic_Informe]]&lt;&gt;"",SCTR_Brokers[[#This Row],[Fecha_Informe]]=""),1,0)</f>
        <v>0</v>
      </c>
      <c r="AC43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40" spans="1:29" hidden="1">
      <c r="A440" t="s">
        <v>972</v>
      </c>
      <c r="C440" t="str">
        <f>IF(SCTR_Brokers[[#This Row],[FechaRecepcion]]="","",SCTR_Brokers[[#This Row],[ConversationId]]&amp;"-"&amp;TEXT(SCTR_Brokers[[#This Row],[FechaRecepcion]],"aaaammddhhmmss"))</f>
        <v>AAQkADdkNThjNzFkLWM0ZmMtNDJhYS04MDVlLTIwNzE4ZDI1Mzg4YgAQAHTwrzEY4hlNrpUSIZKF-tk=-20261005110752</v>
      </c>
      <c r="D440" s="16" t="s">
        <v>987</v>
      </c>
      <c r="E440" t="s">
        <v>20</v>
      </c>
      <c r="F440" s="3">
        <v>46300.463796296295</v>
      </c>
      <c r="G440" s="3">
        <v>46300.463796296295</v>
      </c>
      <c r="H440" t="s">
        <v>93</v>
      </c>
      <c r="I440" t="s">
        <v>7</v>
      </c>
      <c r="K440" t="s">
        <v>67</v>
      </c>
      <c r="L440" s="10"/>
      <c r="N44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40" s="3"/>
      <c r="P440" s="3"/>
      <c r="Q440" s="3">
        <v>46300.507638888892</v>
      </c>
      <c r="R44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40" t="str">
        <f>IF(SCTR_Brokers[[#This Row],[FechaRecepcion]]="","",TEXT(SCTR_Brokers[[#This Row],[FechaRecepcion]],"mmmm")&amp;" "&amp;YEAR(SCTR_Brokers[[#This Row],[FechaRecepcion]]))</f>
        <v>octubre 2026</v>
      </c>
      <c r="U440">
        <f>IF(SCTR_Brokers[[#This Row],[Estado]]="FINALIZADO",1,0)</f>
        <v>1</v>
      </c>
      <c r="V440">
        <f>IF(SCTR_Brokers[[#This Row],[FechaRecepcion]]="","",IF(SCTR_Brokers[[#This Row],[Estado]]="FINALIZADO",0,1))</f>
        <v>0</v>
      </c>
      <c r="W440">
        <f ca="1">IF(AND(SCTR_Brokers[[#This Row],[Estado]]="FINALIZADO",SCTR_Brokers[[#This Row],[Plazo]]=LISTAS!$J$3),1,0)</f>
        <v>1</v>
      </c>
      <c r="X440">
        <f ca="1">IF(AND(SCTR_Brokers[[#This Row],[Estado]]="FINALIZADO",SCTR_Brokers[[#This Row],[Plazo]]=LISTAS!$J$4),1,0)</f>
        <v>0</v>
      </c>
      <c r="Y440">
        <f ca="1">IF(AND(SCTR_Brokers[[#This Row],[Estado]]&lt;&gt;"FINALIZADO",SCTR_Brokers[[#This Row],[Plazo]]=LISTAS!$J$4),1,0)</f>
        <v>0</v>
      </c>
      <c r="Z440">
        <f>IF(SCTR_Brokers[[#This Row],[Fecha_Solic_Informe]]="",0,1)</f>
        <v>0</v>
      </c>
      <c r="AA440">
        <f>IF(SCTR_Brokers[[#This Row],[Fecha_Informe]]="",0,1)</f>
        <v>0</v>
      </c>
      <c r="AB440">
        <f>IF(AND(SCTR_Brokers[[#This Row],[Fecha_Solic_Informe]]&lt;&gt;"",SCTR_Brokers[[#This Row],[Fecha_Informe]]=""),1,0)</f>
        <v>0</v>
      </c>
      <c r="AC44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41" spans="1:29" hidden="1">
      <c r="A441" t="s">
        <v>988</v>
      </c>
      <c r="C441" t="str">
        <f>IF(SCTR_Brokers[[#This Row],[FechaRecepcion]]="","",SCTR_Brokers[[#This Row],[ConversationId]]&amp;"-"&amp;TEXT(SCTR_Brokers[[#This Row],[FechaRecepcion]],"aaaammddhhmmss"))</f>
        <v>AAQkADdkNThjNzFkLWM0ZmMtNDJhYS04MDVlLTIwNzE4ZDI1Mzg4YgAQADF_jIfLkEN2r_ORGisL3Xw=-20261005113127</v>
      </c>
      <c r="D441" s="16" t="s">
        <v>989</v>
      </c>
      <c r="E441" t="s">
        <v>21</v>
      </c>
      <c r="F441" s="3">
        <v>46300.480173611111</v>
      </c>
      <c r="G441" s="3">
        <v>46300.480173611111</v>
      </c>
      <c r="H441" t="s">
        <v>716</v>
      </c>
      <c r="I441" t="s">
        <v>7</v>
      </c>
      <c r="J441" t="s">
        <v>990</v>
      </c>
      <c r="K441" t="s">
        <v>67</v>
      </c>
      <c r="L441" s="10"/>
      <c r="N44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41" s="3"/>
      <c r="P441" s="3"/>
      <c r="Q441" s="3">
        <v>46300.480173611111</v>
      </c>
      <c r="R44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441" t="s">
        <v>164</v>
      </c>
      <c r="T441" t="str">
        <f>IF(SCTR_Brokers[[#This Row],[FechaRecepcion]]="","",TEXT(SCTR_Brokers[[#This Row],[FechaRecepcion]],"mmmm")&amp;" "&amp;YEAR(SCTR_Brokers[[#This Row],[FechaRecepcion]]))</f>
        <v>octubre 2026</v>
      </c>
      <c r="U441">
        <f>IF(SCTR_Brokers[[#This Row],[Estado]]="FINALIZADO",1,0)</f>
        <v>1</v>
      </c>
      <c r="V441">
        <f>IF(SCTR_Brokers[[#This Row],[FechaRecepcion]]="","",IF(SCTR_Brokers[[#This Row],[Estado]]="FINALIZADO",0,1))</f>
        <v>0</v>
      </c>
      <c r="W441">
        <f ca="1">IF(AND(SCTR_Brokers[[#This Row],[Estado]]="FINALIZADO",SCTR_Brokers[[#This Row],[Plazo]]=LISTAS!$J$3),1,0)</f>
        <v>1</v>
      </c>
      <c r="X441">
        <f ca="1">IF(AND(SCTR_Brokers[[#This Row],[Estado]]="FINALIZADO",SCTR_Brokers[[#This Row],[Plazo]]=LISTAS!$J$4),1,0)</f>
        <v>0</v>
      </c>
      <c r="Y441">
        <f ca="1">IF(AND(SCTR_Brokers[[#This Row],[Estado]]&lt;&gt;"FINALIZADO",SCTR_Brokers[[#This Row],[Plazo]]=LISTAS!$J$4),1,0)</f>
        <v>0</v>
      </c>
      <c r="Z441">
        <f>IF(SCTR_Brokers[[#This Row],[Fecha_Solic_Informe]]="",0,1)</f>
        <v>0</v>
      </c>
      <c r="AA441">
        <f>IF(SCTR_Brokers[[#This Row],[Fecha_Informe]]="",0,1)</f>
        <v>0</v>
      </c>
      <c r="AB441">
        <f>IF(AND(SCTR_Brokers[[#This Row],[Fecha_Solic_Informe]]&lt;&gt;"",SCTR_Brokers[[#This Row],[Fecha_Informe]]=""),1,0)</f>
        <v>0</v>
      </c>
      <c r="AC44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42" spans="1:29" hidden="1">
      <c r="A442" t="s">
        <v>991</v>
      </c>
      <c r="C442" t="str">
        <f>IF(SCTR_Brokers[[#This Row],[FechaRecepcion]]="","",SCTR_Brokers[[#This Row],[ConversationId]]&amp;"-"&amp;TEXT(SCTR_Brokers[[#This Row],[FechaRecepcion]],"aaaammddhhmmss"))</f>
        <v>AAQkADdkNThjNzFkLWM0ZmMtNDJhYS04MDVlLTIwNzE4ZDI1Mzg4YgAQAC0KhmE-YKREnL1YsECVd6I=-20261005122842</v>
      </c>
      <c r="D442" s="16" t="s">
        <v>992</v>
      </c>
      <c r="E442" t="s">
        <v>23</v>
      </c>
      <c r="F442" s="3">
        <v>46300.519930555558</v>
      </c>
      <c r="G442" s="3">
        <v>46300.949016203704</v>
      </c>
      <c r="H442" t="s">
        <v>10</v>
      </c>
      <c r="I442" t="s">
        <v>7</v>
      </c>
      <c r="J442" t="s">
        <v>993</v>
      </c>
      <c r="K442" t="s">
        <v>67</v>
      </c>
      <c r="L442" s="10" t="s">
        <v>994</v>
      </c>
      <c r="M442" t="s">
        <v>9</v>
      </c>
      <c r="N44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42" s="3">
        <v>46300.697280092594</v>
      </c>
      <c r="P442" s="3">
        <v>46300.949016203704</v>
      </c>
      <c r="Q442" s="3">
        <v>46301.370138888888</v>
      </c>
      <c r="R44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42" t="str">
        <f>IF(SCTR_Brokers[[#This Row],[FechaRecepcion]]="","",TEXT(SCTR_Brokers[[#This Row],[FechaRecepcion]],"mmmm")&amp;" "&amp;YEAR(SCTR_Brokers[[#This Row],[FechaRecepcion]]))</f>
        <v>octubre 2026</v>
      </c>
      <c r="U442">
        <f>IF(SCTR_Brokers[[#This Row],[Estado]]="FINALIZADO",1,0)</f>
        <v>1</v>
      </c>
      <c r="V442">
        <f>IF(SCTR_Brokers[[#This Row],[FechaRecepcion]]="","",IF(SCTR_Brokers[[#This Row],[Estado]]="FINALIZADO",0,1))</f>
        <v>0</v>
      </c>
      <c r="W442">
        <f ca="1">IF(AND(SCTR_Brokers[[#This Row],[Estado]]="FINALIZADO",SCTR_Brokers[[#This Row],[Plazo]]=LISTAS!$J$3),1,0)</f>
        <v>1</v>
      </c>
      <c r="X442">
        <f ca="1">IF(AND(SCTR_Brokers[[#This Row],[Estado]]="FINALIZADO",SCTR_Brokers[[#This Row],[Plazo]]=LISTAS!$J$4),1,0)</f>
        <v>0</v>
      </c>
      <c r="Y442">
        <f ca="1">IF(AND(SCTR_Brokers[[#This Row],[Estado]]&lt;&gt;"FINALIZADO",SCTR_Brokers[[#This Row],[Plazo]]=LISTAS!$J$4),1,0)</f>
        <v>0</v>
      </c>
      <c r="Z442">
        <f>IF(SCTR_Brokers[[#This Row],[Fecha_Solic_Informe]]="",0,1)</f>
        <v>1</v>
      </c>
      <c r="AA442">
        <f>IF(SCTR_Brokers[[#This Row],[Fecha_Informe]]="",0,1)</f>
        <v>1</v>
      </c>
      <c r="AB442">
        <f>IF(AND(SCTR_Brokers[[#This Row],[Fecha_Solic_Informe]]&lt;&gt;"",SCTR_Brokers[[#This Row],[Fecha_Informe]]=""),1,0)</f>
        <v>0</v>
      </c>
      <c r="AC442">
        <f>IF(AND(SCTR_Brokers[[#This Row],[Fecha_Solic_Informe]]&lt;&gt;"",SCTR_Brokers[[#This Row],[Fecha_Informe]]&lt;&gt;""),ROUND((SCTR_Brokers[[#This Row],[Fecha_Informe]]-SCTR_Brokers[[#This Row],[Fecha_Solic_Informe]])*24,1),"")</f>
        <v>6</v>
      </c>
    </row>
    <row r="443" spans="1:29" hidden="1">
      <c r="A443" t="s">
        <v>995</v>
      </c>
      <c r="C443" t="str">
        <f>IF(SCTR_Brokers[[#This Row],[FechaRecepcion]]="","",SCTR_Brokers[[#This Row],[ConversationId]]&amp;"-"&amp;TEXT(SCTR_Brokers[[#This Row],[FechaRecepcion]],"aaaammddhhmmss"))</f>
        <v>AAQkADdkNThjNzFkLWM0ZmMtNDJhYS04MDVlLTIwNzE4ZDI1Mzg4YgAQAIHub9p8w0PGq00v9wxFclQ=-20261005125607</v>
      </c>
      <c r="D443" s="16" t="s">
        <v>996</v>
      </c>
      <c r="E443" t="s">
        <v>8</v>
      </c>
      <c r="F443" s="3">
        <v>46300.538969907408</v>
      </c>
      <c r="G443" s="3">
        <v>46300.538969907408</v>
      </c>
      <c r="H443" t="s">
        <v>208</v>
      </c>
      <c r="I443" t="s">
        <v>7</v>
      </c>
      <c r="K443" t="s">
        <v>67</v>
      </c>
      <c r="L443" s="10"/>
      <c r="N44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43" s="3"/>
      <c r="P443" s="3"/>
      <c r="Q443" s="3">
        <v>46300.711111111108</v>
      </c>
      <c r="R44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43" t="str">
        <f>IF(SCTR_Brokers[[#This Row],[FechaRecepcion]]="","",TEXT(SCTR_Brokers[[#This Row],[FechaRecepcion]],"mmmm")&amp;" "&amp;YEAR(SCTR_Brokers[[#This Row],[FechaRecepcion]]))</f>
        <v>octubre 2026</v>
      </c>
      <c r="U443">
        <f>IF(SCTR_Brokers[[#This Row],[Estado]]="FINALIZADO",1,0)</f>
        <v>1</v>
      </c>
      <c r="V443">
        <f>IF(SCTR_Brokers[[#This Row],[FechaRecepcion]]="","",IF(SCTR_Brokers[[#This Row],[Estado]]="FINALIZADO",0,1))</f>
        <v>0</v>
      </c>
      <c r="W443">
        <f ca="1">IF(AND(SCTR_Brokers[[#This Row],[Estado]]="FINALIZADO",SCTR_Brokers[[#This Row],[Plazo]]=LISTAS!$J$3),1,0)</f>
        <v>1</v>
      </c>
      <c r="X443">
        <f ca="1">IF(AND(SCTR_Brokers[[#This Row],[Estado]]="FINALIZADO",SCTR_Brokers[[#This Row],[Plazo]]=LISTAS!$J$4),1,0)</f>
        <v>0</v>
      </c>
      <c r="Y443">
        <f ca="1">IF(AND(SCTR_Brokers[[#This Row],[Estado]]&lt;&gt;"FINALIZADO",SCTR_Brokers[[#This Row],[Plazo]]=LISTAS!$J$4),1,0)</f>
        <v>0</v>
      </c>
      <c r="Z443">
        <f>IF(SCTR_Brokers[[#This Row],[Fecha_Solic_Informe]]="",0,1)</f>
        <v>0</v>
      </c>
      <c r="AA443">
        <f>IF(SCTR_Brokers[[#This Row],[Fecha_Informe]]="",0,1)</f>
        <v>0</v>
      </c>
      <c r="AB443">
        <f>IF(AND(SCTR_Brokers[[#This Row],[Fecha_Solic_Informe]]&lt;&gt;"",SCTR_Brokers[[#This Row],[Fecha_Informe]]=""),1,0)</f>
        <v>0</v>
      </c>
      <c r="AC44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44" spans="1:29" hidden="1">
      <c r="A444" t="s">
        <v>950</v>
      </c>
      <c r="C444" t="str">
        <f>IF(SCTR_Brokers[[#This Row],[FechaRecepcion]]="","",SCTR_Brokers[[#This Row],[ConversationId]]&amp;"-"&amp;TEXT(SCTR_Brokers[[#This Row],[FechaRecepcion]],"aaaammddhhmmss"))</f>
        <v>AAQkADdkNThjNzFkLWM0ZmMtNDJhYS04MDVlLTIwNzE4ZDI1Mzg4YgAQANmQbggK5NtGv1mIo0DDKek=-20261005130415</v>
      </c>
      <c r="D444" s="16" t="s">
        <v>951</v>
      </c>
      <c r="E444" t="s">
        <v>21</v>
      </c>
      <c r="F444" s="3">
        <v>46300.544618055559</v>
      </c>
      <c r="G444" s="3">
        <v>46300.60696759259</v>
      </c>
      <c r="H444" t="s">
        <v>217</v>
      </c>
      <c r="I444" t="s">
        <v>7</v>
      </c>
      <c r="J444" t="s">
        <v>218</v>
      </c>
      <c r="K444" t="s">
        <v>67</v>
      </c>
      <c r="L444" s="10"/>
      <c r="N44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44" s="3"/>
      <c r="P444" s="3"/>
      <c r="Q444" s="3">
        <v>46300.60696759259</v>
      </c>
      <c r="R44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44" t="str">
        <f>IF(SCTR_Brokers[[#This Row],[FechaRecepcion]]="","",TEXT(SCTR_Brokers[[#This Row],[FechaRecepcion]],"mmmm")&amp;" "&amp;YEAR(SCTR_Brokers[[#This Row],[FechaRecepcion]]))</f>
        <v>octubre 2026</v>
      </c>
      <c r="U444">
        <f>IF(SCTR_Brokers[[#This Row],[Estado]]="FINALIZADO",1,0)</f>
        <v>1</v>
      </c>
      <c r="V444">
        <f>IF(SCTR_Brokers[[#This Row],[FechaRecepcion]]="","",IF(SCTR_Brokers[[#This Row],[Estado]]="FINALIZADO",0,1))</f>
        <v>0</v>
      </c>
      <c r="W444">
        <f ca="1">IF(AND(SCTR_Brokers[[#This Row],[Estado]]="FINALIZADO",SCTR_Brokers[[#This Row],[Plazo]]=LISTAS!$J$3),1,0)</f>
        <v>1</v>
      </c>
      <c r="X444">
        <f ca="1">IF(AND(SCTR_Brokers[[#This Row],[Estado]]="FINALIZADO",SCTR_Brokers[[#This Row],[Plazo]]=LISTAS!$J$4),1,0)</f>
        <v>0</v>
      </c>
      <c r="Y444">
        <f ca="1">IF(AND(SCTR_Brokers[[#This Row],[Estado]]&lt;&gt;"FINALIZADO",SCTR_Brokers[[#This Row],[Plazo]]=LISTAS!$J$4),1,0)</f>
        <v>0</v>
      </c>
      <c r="Z444">
        <f>IF(SCTR_Brokers[[#This Row],[Fecha_Solic_Informe]]="",0,1)</f>
        <v>0</v>
      </c>
      <c r="AA444">
        <f>IF(SCTR_Brokers[[#This Row],[Fecha_Informe]]="",0,1)</f>
        <v>0</v>
      </c>
      <c r="AB444">
        <f>IF(AND(SCTR_Brokers[[#This Row],[Fecha_Solic_Informe]]&lt;&gt;"",SCTR_Brokers[[#This Row],[Fecha_Informe]]=""),1,0)</f>
        <v>0</v>
      </c>
      <c r="AC44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45" spans="1:29" hidden="1">
      <c r="A445" t="s">
        <v>950</v>
      </c>
      <c r="C445" t="str">
        <f>IF(SCTR_Brokers[[#This Row],[FechaRecepcion]]="","",SCTR_Brokers[[#This Row],[ConversationId]]&amp;"-"&amp;TEXT(SCTR_Brokers[[#This Row],[FechaRecepcion]],"aaaammddhhmmss"))</f>
        <v>AAQkADdkNThjNzFkLWM0ZmMtNDJhYS04MDVlLTIwNzE4ZDI1Mzg4YgAQANmQbggK5NtGv1mIo0DDKek=-20261005143807</v>
      </c>
      <c r="D445" s="16" t="s">
        <v>962</v>
      </c>
      <c r="E445" t="s">
        <v>21</v>
      </c>
      <c r="F445" s="3">
        <v>46300.609803240739</v>
      </c>
      <c r="G445" s="3">
        <v>46300.614594907405</v>
      </c>
      <c r="H445" t="s">
        <v>217</v>
      </c>
      <c r="I445" t="s">
        <v>7</v>
      </c>
      <c r="J445" t="s">
        <v>218</v>
      </c>
      <c r="K445" t="s">
        <v>67</v>
      </c>
      <c r="L445" s="10"/>
      <c r="N44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45" s="3"/>
      <c r="P445" s="3"/>
      <c r="Q445" s="3">
        <v>46300.614594907405</v>
      </c>
      <c r="R44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45" t="str">
        <f>IF(SCTR_Brokers[[#This Row],[FechaRecepcion]]="","",TEXT(SCTR_Brokers[[#This Row],[FechaRecepcion]],"mmmm")&amp;" "&amp;YEAR(SCTR_Brokers[[#This Row],[FechaRecepcion]]))</f>
        <v>octubre 2026</v>
      </c>
      <c r="U445">
        <f>IF(SCTR_Brokers[[#This Row],[Estado]]="FINALIZADO",1,0)</f>
        <v>1</v>
      </c>
      <c r="V445">
        <f>IF(SCTR_Brokers[[#This Row],[FechaRecepcion]]="","",IF(SCTR_Brokers[[#This Row],[Estado]]="FINALIZADO",0,1))</f>
        <v>0</v>
      </c>
      <c r="W445">
        <f ca="1">IF(AND(SCTR_Brokers[[#This Row],[Estado]]="FINALIZADO",SCTR_Brokers[[#This Row],[Plazo]]=LISTAS!$J$3),1,0)</f>
        <v>1</v>
      </c>
      <c r="X445">
        <f ca="1">IF(AND(SCTR_Brokers[[#This Row],[Estado]]="FINALIZADO",SCTR_Brokers[[#This Row],[Plazo]]=LISTAS!$J$4),1,0)</f>
        <v>0</v>
      </c>
      <c r="Y445">
        <f ca="1">IF(AND(SCTR_Brokers[[#This Row],[Estado]]&lt;&gt;"FINALIZADO",SCTR_Brokers[[#This Row],[Plazo]]=LISTAS!$J$4),1,0)</f>
        <v>0</v>
      </c>
      <c r="Z445">
        <f>IF(SCTR_Brokers[[#This Row],[Fecha_Solic_Informe]]="",0,1)</f>
        <v>0</v>
      </c>
      <c r="AA445">
        <f>IF(SCTR_Brokers[[#This Row],[Fecha_Informe]]="",0,1)</f>
        <v>0</v>
      </c>
      <c r="AB445">
        <f>IF(AND(SCTR_Brokers[[#This Row],[Fecha_Solic_Informe]]&lt;&gt;"",SCTR_Brokers[[#This Row],[Fecha_Informe]]=""),1,0)</f>
        <v>0</v>
      </c>
      <c r="AC44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46" spans="1:29" hidden="1">
      <c r="A446" t="s">
        <v>967</v>
      </c>
      <c r="C446" t="str">
        <f>IF(SCTR_Brokers[[#This Row],[FechaRecepcion]]="","",SCTR_Brokers[[#This Row],[ConversationId]]&amp;"-"&amp;TEXT(SCTR_Brokers[[#This Row],[FechaRecepcion]],"aaaammddhhmmss"))</f>
        <v>AAQkADdkNThjNzFkLWM0ZmMtNDJhYS04MDVlLTIwNzE4ZDI1Mzg4YgAQAHiJaz3e3kSIq67R1rfco2s=-20261005151755</v>
      </c>
      <c r="D446" s="16" t="s">
        <v>997</v>
      </c>
      <c r="E446" t="s">
        <v>8</v>
      </c>
      <c r="F446" s="3">
        <v>46300.637442129628</v>
      </c>
      <c r="G446" s="3">
        <v>46300.637442129628</v>
      </c>
      <c r="H446" t="s">
        <v>721</v>
      </c>
      <c r="I446" t="s">
        <v>7</v>
      </c>
      <c r="J446" t="s">
        <v>990</v>
      </c>
      <c r="K446" t="s">
        <v>67</v>
      </c>
      <c r="L446" s="10"/>
      <c r="N44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46" s="3"/>
      <c r="P446" s="3"/>
      <c r="Q446" s="3">
        <v>46300.637442129635</v>
      </c>
      <c r="R44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446" t="s">
        <v>164</v>
      </c>
      <c r="T446" t="str">
        <f>IF(SCTR_Brokers[[#This Row],[FechaRecepcion]]="","",TEXT(SCTR_Brokers[[#This Row],[FechaRecepcion]],"mmmm")&amp;" "&amp;YEAR(SCTR_Brokers[[#This Row],[FechaRecepcion]]))</f>
        <v>octubre 2026</v>
      </c>
      <c r="U446">
        <f>IF(SCTR_Brokers[[#This Row],[Estado]]="FINALIZADO",1,0)</f>
        <v>1</v>
      </c>
      <c r="V446">
        <f>IF(SCTR_Brokers[[#This Row],[FechaRecepcion]]="","",IF(SCTR_Brokers[[#This Row],[Estado]]="FINALIZADO",0,1))</f>
        <v>0</v>
      </c>
      <c r="W446">
        <f ca="1">IF(AND(SCTR_Brokers[[#This Row],[Estado]]="FINALIZADO",SCTR_Brokers[[#This Row],[Plazo]]=LISTAS!$J$3),1,0)</f>
        <v>1</v>
      </c>
      <c r="X446">
        <f ca="1">IF(AND(SCTR_Brokers[[#This Row],[Estado]]="FINALIZADO",SCTR_Brokers[[#This Row],[Plazo]]=LISTAS!$J$4),1,0)</f>
        <v>0</v>
      </c>
      <c r="Y446">
        <f ca="1">IF(AND(SCTR_Brokers[[#This Row],[Estado]]&lt;&gt;"FINALIZADO",SCTR_Brokers[[#This Row],[Plazo]]=LISTAS!$J$4),1,0)</f>
        <v>0</v>
      </c>
      <c r="Z446">
        <f>IF(SCTR_Brokers[[#This Row],[Fecha_Solic_Informe]]="",0,1)</f>
        <v>0</v>
      </c>
      <c r="AA446">
        <f>IF(SCTR_Brokers[[#This Row],[Fecha_Informe]]="",0,1)</f>
        <v>0</v>
      </c>
      <c r="AB446">
        <f>IF(AND(SCTR_Brokers[[#This Row],[Fecha_Solic_Informe]]&lt;&gt;"",SCTR_Brokers[[#This Row],[Fecha_Informe]]=""),1,0)</f>
        <v>0</v>
      </c>
      <c r="AC44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47" spans="1:29" hidden="1">
      <c r="A447" t="s">
        <v>998</v>
      </c>
      <c r="C447" t="str">
        <f>IF(SCTR_Brokers[[#This Row],[FechaRecepcion]]="","",SCTR_Brokers[[#This Row],[ConversationId]]&amp;"-"&amp;TEXT(SCTR_Brokers[[#This Row],[FechaRecepcion]],"aaaammddhhmmss"))</f>
        <v>AAQkADdkNThjNzFkLWM0ZmMtNDJhYS04MDVlLTIwNzE4ZDI1Mzg4YgAQAI3u413PGk1Hs92w6XEYIaQ=-20261005160813</v>
      </c>
      <c r="D447" s="16" t="s">
        <v>999</v>
      </c>
      <c r="E447" t="s">
        <v>21</v>
      </c>
      <c r="F447" s="3">
        <v>46300.672372685185</v>
      </c>
      <c r="G447" s="3">
        <v>46300.735023148147</v>
      </c>
      <c r="H447" t="s">
        <v>70</v>
      </c>
      <c r="I447" t="s">
        <v>7</v>
      </c>
      <c r="K447" t="s">
        <v>67</v>
      </c>
      <c r="L447" s="10"/>
      <c r="N44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47" s="3"/>
      <c r="P447" s="3"/>
      <c r="Q447" s="3">
        <v>46300.735023148147</v>
      </c>
      <c r="R44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47" t="str">
        <f>IF(SCTR_Brokers[[#This Row],[FechaRecepcion]]="","",TEXT(SCTR_Brokers[[#This Row],[FechaRecepcion]],"mmmm")&amp;" "&amp;YEAR(SCTR_Brokers[[#This Row],[FechaRecepcion]]))</f>
        <v>octubre 2026</v>
      </c>
      <c r="U447">
        <f>IF(SCTR_Brokers[[#This Row],[Estado]]="FINALIZADO",1,0)</f>
        <v>1</v>
      </c>
      <c r="V447">
        <f>IF(SCTR_Brokers[[#This Row],[FechaRecepcion]]="","",IF(SCTR_Brokers[[#This Row],[Estado]]="FINALIZADO",0,1))</f>
        <v>0</v>
      </c>
      <c r="W447">
        <f ca="1">IF(AND(SCTR_Brokers[[#This Row],[Estado]]="FINALIZADO",SCTR_Brokers[[#This Row],[Plazo]]=LISTAS!$J$3),1,0)</f>
        <v>1</v>
      </c>
      <c r="X447">
        <f ca="1">IF(AND(SCTR_Brokers[[#This Row],[Estado]]="FINALIZADO",SCTR_Brokers[[#This Row],[Plazo]]=LISTAS!$J$4),1,0)</f>
        <v>0</v>
      </c>
      <c r="Y447">
        <f ca="1">IF(AND(SCTR_Brokers[[#This Row],[Estado]]&lt;&gt;"FINALIZADO",SCTR_Brokers[[#This Row],[Plazo]]=LISTAS!$J$4),1,0)</f>
        <v>0</v>
      </c>
      <c r="Z447">
        <f>IF(SCTR_Brokers[[#This Row],[Fecha_Solic_Informe]]="",0,1)</f>
        <v>0</v>
      </c>
      <c r="AA447">
        <f>IF(SCTR_Brokers[[#This Row],[Fecha_Informe]]="",0,1)</f>
        <v>0</v>
      </c>
      <c r="AB447">
        <f>IF(AND(SCTR_Brokers[[#This Row],[Fecha_Solic_Informe]]&lt;&gt;"",SCTR_Brokers[[#This Row],[Fecha_Informe]]=""),1,0)</f>
        <v>0</v>
      </c>
      <c r="AC44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48" spans="1:29" hidden="1">
      <c r="A448" t="s">
        <v>950</v>
      </c>
      <c r="C448" t="str">
        <f>IF(SCTR_Brokers[[#This Row],[FechaRecepcion]]="","",SCTR_Brokers[[#This Row],[ConversationId]]&amp;"-"&amp;TEXT(SCTR_Brokers[[#This Row],[FechaRecepcion]],"aaaammddhhmmss"))</f>
        <v>AAQkADdkNThjNzFkLWM0ZmMtNDJhYS04MDVlLTIwNzE4ZDI1Mzg4YgAQANmQbggK5NtGv1mIo0DDKek=-20261005162947</v>
      </c>
      <c r="D448" s="16" t="s">
        <v>962</v>
      </c>
      <c r="E448" t="s">
        <v>21</v>
      </c>
      <c r="F448" s="3">
        <v>46300.687349537038</v>
      </c>
      <c r="G448" s="3">
        <v>46300.708773148152</v>
      </c>
      <c r="H448" t="s">
        <v>217</v>
      </c>
      <c r="I448" t="s">
        <v>7</v>
      </c>
      <c r="J448" t="s">
        <v>218</v>
      </c>
      <c r="K448" t="s">
        <v>67</v>
      </c>
      <c r="L448" s="10"/>
      <c r="N44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48" s="3"/>
      <c r="P448" s="3"/>
      <c r="Q448" s="3">
        <v>46300.708773148152</v>
      </c>
      <c r="R44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48" t="str">
        <f>IF(SCTR_Brokers[[#This Row],[FechaRecepcion]]="","",TEXT(SCTR_Brokers[[#This Row],[FechaRecepcion]],"mmmm")&amp;" "&amp;YEAR(SCTR_Brokers[[#This Row],[FechaRecepcion]]))</f>
        <v>octubre 2026</v>
      </c>
      <c r="U448">
        <f>IF(SCTR_Brokers[[#This Row],[Estado]]="FINALIZADO",1,0)</f>
        <v>1</v>
      </c>
      <c r="V448">
        <f>IF(SCTR_Brokers[[#This Row],[FechaRecepcion]]="","",IF(SCTR_Brokers[[#This Row],[Estado]]="FINALIZADO",0,1))</f>
        <v>0</v>
      </c>
      <c r="W448">
        <f ca="1">IF(AND(SCTR_Brokers[[#This Row],[Estado]]="FINALIZADO",SCTR_Brokers[[#This Row],[Plazo]]=LISTAS!$J$3),1,0)</f>
        <v>1</v>
      </c>
      <c r="X448">
        <f ca="1">IF(AND(SCTR_Brokers[[#This Row],[Estado]]="FINALIZADO",SCTR_Brokers[[#This Row],[Plazo]]=LISTAS!$J$4),1,0)</f>
        <v>0</v>
      </c>
      <c r="Y448">
        <f ca="1">IF(AND(SCTR_Brokers[[#This Row],[Estado]]&lt;&gt;"FINALIZADO",SCTR_Brokers[[#This Row],[Plazo]]=LISTAS!$J$4),1,0)</f>
        <v>0</v>
      </c>
      <c r="Z448">
        <f>IF(SCTR_Brokers[[#This Row],[Fecha_Solic_Informe]]="",0,1)</f>
        <v>0</v>
      </c>
      <c r="AA448">
        <f>IF(SCTR_Brokers[[#This Row],[Fecha_Informe]]="",0,1)</f>
        <v>0</v>
      </c>
      <c r="AB448">
        <f>IF(AND(SCTR_Brokers[[#This Row],[Fecha_Solic_Informe]]&lt;&gt;"",SCTR_Brokers[[#This Row],[Fecha_Informe]]=""),1,0)</f>
        <v>0</v>
      </c>
      <c r="AC44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49" spans="1:29" hidden="1">
      <c r="A449" t="s">
        <v>1000</v>
      </c>
      <c r="C449" t="str">
        <f>IF(SCTR_Brokers[[#This Row],[FechaRecepcion]]="","",SCTR_Brokers[[#This Row],[ConversationId]]&amp;"-"&amp;TEXT(SCTR_Brokers[[#This Row],[FechaRecepcion]],"aaaammddhhmmss"))</f>
        <v>AAQkADdkNThjNzFkLWM0ZmMtNDJhYS04MDVlLTIwNzE4ZDI1Mzg4YgAQAI9J_udwUOxAmW8FPQuP2nE=-20261005163056</v>
      </c>
      <c r="D449" s="16" t="s">
        <v>1001</v>
      </c>
      <c r="E449" t="s">
        <v>20</v>
      </c>
      <c r="F449" s="3">
        <v>46300.688148148147</v>
      </c>
      <c r="G449" s="3">
        <v>46300.700925925928</v>
      </c>
      <c r="H449" t="s">
        <v>279</v>
      </c>
      <c r="I449" t="s">
        <v>7</v>
      </c>
      <c r="K449" t="s">
        <v>67</v>
      </c>
      <c r="L449" s="10"/>
      <c r="N44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49" s="3"/>
      <c r="P449" s="3"/>
      <c r="Q449" s="3">
        <v>46300.700925925928</v>
      </c>
      <c r="R44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49" t="str">
        <f>IF(SCTR_Brokers[[#This Row],[FechaRecepcion]]="","",TEXT(SCTR_Brokers[[#This Row],[FechaRecepcion]],"mmmm")&amp;" "&amp;YEAR(SCTR_Brokers[[#This Row],[FechaRecepcion]]))</f>
        <v>octubre 2026</v>
      </c>
      <c r="U449">
        <f>IF(SCTR_Brokers[[#This Row],[Estado]]="FINALIZADO",1,0)</f>
        <v>1</v>
      </c>
      <c r="V449">
        <f>IF(SCTR_Brokers[[#This Row],[FechaRecepcion]]="","",IF(SCTR_Brokers[[#This Row],[Estado]]="FINALIZADO",0,1))</f>
        <v>0</v>
      </c>
      <c r="W449">
        <f ca="1">IF(AND(SCTR_Brokers[[#This Row],[Estado]]="FINALIZADO",SCTR_Brokers[[#This Row],[Plazo]]=LISTAS!$J$3),1,0)</f>
        <v>1</v>
      </c>
      <c r="X449">
        <f ca="1">IF(AND(SCTR_Brokers[[#This Row],[Estado]]="FINALIZADO",SCTR_Brokers[[#This Row],[Plazo]]=LISTAS!$J$4),1,0)</f>
        <v>0</v>
      </c>
      <c r="Y449">
        <f ca="1">IF(AND(SCTR_Brokers[[#This Row],[Estado]]&lt;&gt;"FINALIZADO",SCTR_Brokers[[#This Row],[Plazo]]=LISTAS!$J$4),1,0)</f>
        <v>0</v>
      </c>
      <c r="Z449">
        <f>IF(SCTR_Brokers[[#This Row],[Fecha_Solic_Informe]]="",0,1)</f>
        <v>0</v>
      </c>
      <c r="AA449">
        <f>IF(SCTR_Brokers[[#This Row],[Fecha_Informe]]="",0,1)</f>
        <v>0</v>
      </c>
      <c r="AB449">
        <f>IF(AND(SCTR_Brokers[[#This Row],[Fecha_Solic_Informe]]&lt;&gt;"",SCTR_Brokers[[#This Row],[Fecha_Informe]]=""),1,0)</f>
        <v>0</v>
      </c>
      <c r="AC44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50" spans="1:29" hidden="1">
      <c r="A450" t="s">
        <v>1002</v>
      </c>
      <c r="C450" t="str">
        <f>IF(SCTR_Brokers[[#This Row],[FechaRecepcion]]="","",SCTR_Brokers[[#This Row],[ConversationId]]&amp;"-"&amp;TEXT(SCTR_Brokers[[#This Row],[FechaRecepcion]],"aaaammddhhmmss"))</f>
        <v>AAQkADdkNThjNzFkLWM0ZmMtNDJhYS04MDVlLTIwNzE4ZDI1Mzg4YgAQAHXmVaCFOkMrsiJd5rnyMxE=-20261005164203</v>
      </c>
      <c r="D450" s="16" t="s">
        <v>1003</v>
      </c>
      <c r="E450" t="s">
        <v>21</v>
      </c>
      <c r="F450" s="3">
        <v>46300.695868055554</v>
      </c>
      <c r="G450" s="3">
        <v>46300.741493055553</v>
      </c>
      <c r="H450" t="s">
        <v>70</v>
      </c>
      <c r="I450" t="s">
        <v>7</v>
      </c>
      <c r="K450" t="s">
        <v>67</v>
      </c>
      <c r="L450" s="10"/>
      <c r="N45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50" s="3"/>
      <c r="P450" s="3"/>
      <c r="Q450" s="3">
        <v>46300.741493055553</v>
      </c>
      <c r="R45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50" t="str">
        <f>IF(SCTR_Brokers[[#This Row],[FechaRecepcion]]="","",TEXT(SCTR_Brokers[[#This Row],[FechaRecepcion]],"mmmm")&amp;" "&amp;YEAR(SCTR_Brokers[[#This Row],[FechaRecepcion]]))</f>
        <v>octubre 2026</v>
      </c>
      <c r="U450">
        <f>IF(SCTR_Brokers[[#This Row],[Estado]]="FINALIZADO",1,0)</f>
        <v>1</v>
      </c>
      <c r="V450">
        <f>IF(SCTR_Brokers[[#This Row],[FechaRecepcion]]="","",IF(SCTR_Brokers[[#This Row],[Estado]]="FINALIZADO",0,1))</f>
        <v>0</v>
      </c>
      <c r="W450">
        <f ca="1">IF(AND(SCTR_Brokers[[#This Row],[Estado]]="FINALIZADO",SCTR_Brokers[[#This Row],[Plazo]]=LISTAS!$J$3),1,0)</f>
        <v>1</v>
      </c>
      <c r="X450">
        <f ca="1">IF(AND(SCTR_Brokers[[#This Row],[Estado]]="FINALIZADO",SCTR_Brokers[[#This Row],[Plazo]]=LISTAS!$J$4),1,0)</f>
        <v>0</v>
      </c>
      <c r="Y450">
        <f ca="1">IF(AND(SCTR_Brokers[[#This Row],[Estado]]&lt;&gt;"FINALIZADO",SCTR_Brokers[[#This Row],[Plazo]]=LISTAS!$J$4),1,0)</f>
        <v>0</v>
      </c>
      <c r="Z450">
        <f>IF(SCTR_Brokers[[#This Row],[Fecha_Solic_Informe]]="",0,1)</f>
        <v>0</v>
      </c>
      <c r="AA450">
        <f>IF(SCTR_Brokers[[#This Row],[Fecha_Informe]]="",0,1)</f>
        <v>0</v>
      </c>
      <c r="AB450">
        <f>IF(AND(SCTR_Brokers[[#This Row],[Fecha_Solic_Informe]]&lt;&gt;"",SCTR_Brokers[[#This Row],[Fecha_Informe]]=""),1,0)</f>
        <v>0</v>
      </c>
      <c r="AC45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51" spans="1:29" hidden="1">
      <c r="A451" t="s">
        <v>998</v>
      </c>
      <c r="C451" t="str">
        <f>IF(SCTR_Brokers[[#This Row],[FechaRecepcion]]="","",SCTR_Brokers[[#This Row],[ConversationId]]&amp;"-"&amp;TEXT(SCTR_Brokers[[#This Row],[FechaRecepcion]],"aaaammddhhmmss"))</f>
        <v>AAQkADdkNThjNzFkLWM0ZmMtNDJhYS04MDVlLTIwNzE4ZDI1Mzg4YgAQAI3u413PGk1Hs92w6XEYIaQ=-20261005173946</v>
      </c>
      <c r="D451" s="16" t="s">
        <v>1004</v>
      </c>
      <c r="E451" t="s">
        <v>21</v>
      </c>
      <c r="F451" s="3">
        <v>46300.735949074071</v>
      </c>
      <c r="G451" s="3">
        <v>46300.765740740739</v>
      </c>
      <c r="H451" t="s">
        <v>269</v>
      </c>
      <c r="I451" t="s">
        <v>7</v>
      </c>
      <c r="J451" t="s">
        <v>270</v>
      </c>
      <c r="K451" t="s">
        <v>67</v>
      </c>
      <c r="L451" s="10"/>
      <c r="N45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51" s="3"/>
      <c r="P451" s="3"/>
      <c r="Q451" s="3">
        <v>46300.765740740739</v>
      </c>
      <c r="R45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51" t="str">
        <f>IF(SCTR_Brokers[[#This Row],[FechaRecepcion]]="","",TEXT(SCTR_Brokers[[#This Row],[FechaRecepcion]],"mmmm")&amp;" "&amp;YEAR(SCTR_Brokers[[#This Row],[FechaRecepcion]]))</f>
        <v>octubre 2026</v>
      </c>
      <c r="U451">
        <f>IF(SCTR_Brokers[[#This Row],[Estado]]="FINALIZADO",1,0)</f>
        <v>1</v>
      </c>
      <c r="V451">
        <f>IF(SCTR_Brokers[[#This Row],[FechaRecepcion]]="","",IF(SCTR_Brokers[[#This Row],[Estado]]="FINALIZADO",0,1))</f>
        <v>0</v>
      </c>
      <c r="W451">
        <f ca="1">IF(AND(SCTR_Brokers[[#This Row],[Estado]]="FINALIZADO",SCTR_Brokers[[#This Row],[Plazo]]=LISTAS!$J$3),1,0)</f>
        <v>1</v>
      </c>
      <c r="X451">
        <f ca="1">IF(AND(SCTR_Brokers[[#This Row],[Estado]]="FINALIZADO",SCTR_Brokers[[#This Row],[Plazo]]=LISTAS!$J$4),1,0)</f>
        <v>0</v>
      </c>
      <c r="Y451">
        <f ca="1">IF(AND(SCTR_Brokers[[#This Row],[Estado]]&lt;&gt;"FINALIZADO",SCTR_Brokers[[#This Row],[Plazo]]=LISTAS!$J$4),1,0)</f>
        <v>0</v>
      </c>
      <c r="Z451">
        <f>IF(SCTR_Brokers[[#This Row],[Fecha_Solic_Informe]]="",0,1)</f>
        <v>0</v>
      </c>
      <c r="AA451">
        <f>IF(SCTR_Brokers[[#This Row],[Fecha_Informe]]="",0,1)</f>
        <v>0</v>
      </c>
      <c r="AB451">
        <f>IF(AND(SCTR_Brokers[[#This Row],[Fecha_Solic_Informe]]&lt;&gt;"",SCTR_Brokers[[#This Row],[Fecha_Informe]]=""),1,0)</f>
        <v>0</v>
      </c>
      <c r="AC45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52" spans="1:29" hidden="1">
      <c r="A452" t="s">
        <v>1005</v>
      </c>
      <c r="C452" t="str">
        <f>IF(SCTR_Brokers[[#This Row],[FechaRecepcion]]="","",SCTR_Brokers[[#This Row],[ConversationId]]&amp;"-"&amp;TEXT(SCTR_Brokers[[#This Row],[FechaRecepcion]],"aaaammddhhmmss"))</f>
        <v>AAQkADdkNThjNzFkLWM0ZmMtNDJhYS04MDVlLTIwNzE4ZDI1Mzg4YgAQAAJleXJySRtOhsU-J88cDmg=-20261005182633</v>
      </c>
      <c r="D452" s="16" t="s">
        <v>1006</v>
      </c>
      <c r="E452" t="s">
        <v>21</v>
      </c>
      <c r="F452" s="3">
        <v>46300.768437500003</v>
      </c>
      <c r="G452" s="3">
        <v>46301.351817129631</v>
      </c>
      <c r="H452" t="s">
        <v>70</v>
      </c>
      <c r="I452" t="s">
        <v>7</v>
      </c>
      <c r="J452" t="s">
        <v>1007</v>
      </c>
      <c r="K452" t="s">
        <v>67</v>
      </c>
      <c r="L452" s="10" t="s">
        <v>1008</v>
      </c>
      <c r="M452" t="s">
        <v>9</v>
      </c>
      <c r="N45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52" s="3">
        <v>46300.773831018516</v>
      </c>
      <c r="P452" s="3">
        <v>46300.943611111114</v>
      </c>
      <c r="Q452" s="3">
        <v>46301.351817129631</v>
      </c>
      <c r="R45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52" t="str">
        <f>IF(SCTR_Brokers[[#This Row],[FechaRecepcion]]="","",TEXT(SCTR_Brokers[[#This Row],[FechaRecepcion]],"mmmm")&amp;" "&amp;YEAR(SCTR_Brokers[[#This Row],[FechaRecepcion]]))</f>
        <v>octubre 2026</v>
      </c>
      <c r="U452">
        <f>IF(SCTR_Brokers[[#This Row],[Estado]]="FINALIZADO",1,0)</f>
        <v>1</v>
      </c>
      <c r="V452">
        <f>IF(SCTR_Brokers[[#This Row],[FechaRecepcion]]="","",IF(SCTR_Brokers[[#This Row],[Estado]]="FINALIZADO",0,1))</f>
        <v>0</v>
      </c>
      <c r="W452">
        <f ca="1">IF(AND(SCTR_Brokers[[#This Row],[Estado]]="FINALIZADO",SCTR_Brokers[[#This Row],[Plazo]]=LISTAS!$J$3),1,0)</f>
        <v>1</v>
      </c>
      <c r="X452">
        <f ca="1">IF(AND(SCTR_Brokers[[#This Row],[Estado]]="FINALIZADO",SCTR_Brokers[[#This Row],[Plazo]]=LISTAS!$J$4),1,0)</f>
        <v>0</v>
      </c>
      <c r="Y452">
        <f ca="1">IF(AND(SCTR_Brokers[[#This Row],[Estado]]&lt;&gt;"FINALIZADO",SCTR_Brokers[[#This Row],[Plazo]]=LISTAS!$J$4),1,0)</f>
        <v>0</v>
      </c>
      <c r="Z452">
        <f>IF(SCTR_Brokers[[#This Row],[Fecha_Solic_Informe]]="",0,1)</f>
        <v>1</v>
      </c>
      <c r="AA452">
        <f>IF(SCTR_Brokers[[#This Row],[Fecha_Informe]]="",0,1)</f>
        <v>1</v>
      </c>
      <c r="AB452">
        <f>IF(AND(SCTR_Brokers[[#This Row],[Fecha_Solic_Informe]]&lt;&gt;"",SCTR_Brokers[[#This Row],[Fecha_Informe]]=""),1,0)</f>
        <v>0</v>
      </c>
      <c r="AC452">
        <f>IF(AND(SCTR_Brokers[[#This Row],[Fecha_Solic_Informe]]&lt;&gt;"",SCTR_Brokers[[#This Row],[Fecha_Informe]]&lt;&gt;""),ROUND((SCTR_Brokers[[#This Row],[Fecha_Informe]]-SCTR_Brokers[[#This Row],[Fecha_Solic_Informe]])*24,1),"")</f>
        <v>4.0999999999999996</v>
      </c>
    </row>
    <row r="453" spans="1:29" hidden="1">
      <c r="A453" t="s">
        <v>900</v>
      </c>
      <c r="C453" t="str">
        <f>IF(SCTR_Brokers[[#This Row],[FechaRecepcion]]="","",SCTR_Brokers[[#This Row],[ConversationId]]&amp;"-"&amp;TEXT(SCTR_Brokers[[#This Row],[FechaRecepcion]],"aaaammddhhmmss"))</f>
        <v>AAQkADdkNThjNzFkLWM0ZmMtNDJhYS04MDVlLTIwNzE4ZDI1Mzg4YgAQANuFodI5RQFJlQJ38scF61Q=-20261005183435</v>
      </c>
      <c r="D453" s="16" t="s">
        <v>1009</v>
      </c>
      <c r="E453" t="s">
        <v>20</v>
      </c>
      <c r="F453" s="3">
        <v>46300.774016203701</v>
      </c>
      <c r="G453" s="3">
        <v>46301.86996527778</v>
      </c>
      <c r="H453" t="s">
        <v>10</v>
      </c>
      <c r="I453" t="s">
        <v>7</v>
      </c>
      <c r="J453" t="s">
        <v>1010</v>
      </c>
      <c r="K453" t="s">
        <v>67</v>
      </c>
      <c r="L453" s="10" t="s">
        <v>1011</v>
      </c>
      <c r="M453" t="s">
        <v>9</v>
      </c>
      <c r="N45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53" s="3">
        <v>46301.682812500003</v>
      </c>
      <c r="P453" s="3">
        <v>46301.86996527778</v>
      </c>
      <c r="Q453" s="3">
        <v>46302.704861111109</v>
      </c>
      <c r="R45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453" t="str">
        <f>IF(SCTR_Brokers[[#This Row],[FechaRecepcion]]="","",TEXT(SCTR_Brokers[[#This Row],[FechaRecepcion]],"mmmm")&amp;" "&amp;YEAR(SCTR_Brokers[[#This Row],[FechaRecepcion]]))</f>
        <v>octubre 2026</v>
      </c>
      <c r="U453">
        <f>IF(SCTR_Brokers[[#This Row],[Estado]]="FINALIZADO",1,0)</f>
        <v>1</v>
      </c>
      <c r="V453">
        <f>IF(SCTR_Brokers[[#This Row],[FechaRecepcion]]="","",IF(SCTR_Brokers[[#This Row],[Estado]]="FINALIZADO",0,1))</f>
        <v>0</v>
      </c>
      <c r="W453">
        <f ca="1">IF(AND(SCTR_Brokers[[#This Row],[Estado]]="FINALIZADO",SCTR_Brokers[[#This Row],[Plazo]]=LISTAS!$J$3),1,0)</f>
        <v>0</v>
      </c>
      <c r="X453">
        <f ca="1">IF(AND(SCTR_Brokers[[#This Row],[Estado]]="FINALIZADO",SCTR_Brokers[[#This Row],[Plazo]]=LISTAS!$J$4),1,0)</f>
        <v>1</v>
      </c>
      <c r="Y453">
        <f ca="1">IF(AND(SCTR_Brokers[[#This Row],[Estado]]&lt;&gt;"FINALIZADO",SCTR_Brokers[[#This Row],[Plazo]]=LISTAS!$J$4),1,0)</f>
        <v>0</v>
      </c>
      <c r="Z453">
        <f>IF(SCTR_Brokers[[#This Row],[Fecha_Solic_Informe]]="",0,1)</f>
        <v>1</v>
      </c>
      <c r="AA453">
        <f>IF(SCTR_Brokers[[#This Row],[Fecha_Informe]]="",0,1)</f>
        <v>1</v>
      </c>
      <c r="AB453">
        <f>IF(AND(SCTR_Brokers[[#This Row],[Fecha_Solic_Informe]]&lt;&gt;"",SCTR_Brokers[[#This Row],[Fecha_Informe]]=""),1,0)</f>
        <v>0</v>
      </c>
      <c r="AC453">
        <f>IF(AND(SCTR_Brokers[[#This Row],[Fecha_Solic_Informe]]&lt;&gt;"",SCTR_Brokers[[#This Row],[Fecha_Informe]]&lt;&gt;""),ROUND((SCTR_Brokers[[#This Row],[Fecha_Informe]]-SCTR_Brokers[[#This Row],[Fecha_Solic_Informe]])*24,1),"")</f>
        <v>4.5</v>
      </c>
    </row>
    <row r="454" spans="1:29" hidden="1">
      <c r="A454" t="s">
        <v>938</v>
      </c>
      <c r="C454" t="str">
        <f>IF(SCTR_Brokers[[#This Row],[FechaRecepcion]]="","",SCTR_Brokers[[#This Row],[ConversationId]]&amp;"-"&amp;TEXT(SCTR_Brokers[[#This Row],[FechaRecepcion]],"aaaammddhhmmss"))</f>
        <v>AAQkADdkNThjNzFkLWM0ZmMtNDJhYS04MDVlLTIwNzE4ZDI1Mzg4YgAQACagVAcmkUOBldTo7OCc_58=-20261005191206</v>
      </c>
      <c r="D454" s="16" t="s">
        <v>984</v>
      </c>
      <c r="E454" t="s">
        <v>8</v>
      </c>
      <c r="F454" s="3">
        <v>46300.800069444442</v>
      </c>
      <c r="G454" s="3">
        <v>46300.804363425923</v>
      </c>
      <c r="H454" t="s">
        <v>176</v>
      </c>
      <c r="I454" t="s">
        <v>7</v>
      </c>
      <c r="J454" t="s">
        <v>177</v>
      </c>
      <c r="K454" t="s">
        <v>67</v>
      </c>
      <c r="L454" s="10"/>
      <c r="N45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54" s="3"/>
      <c r="P454" s="3"/>
      <c r="Q454" s="3">
        <v>46300.804363425923</v>
      </c>
      <c r="R45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54" t="str">
        <f>IF(SCTR_Brokers[[#This Row],[FechaRecepcion]]="","",TEXT(SCTR_Brokers[[#This Row],[FechaRecepcion]],"mmmm")&amp;" "&amp;YEAR(SCTR_Brokers[[#This Row],[FechaRecepcion]]))</f>
        <v>octubre 2026</v>
      </c>
      <c r="U454">
        <f>IF(SCTR_Brokers[[#This Row],[Estado]]="FINALIZADO",1,0)</f>
        <v>1</v>
      </c>
      <c r="V454">
        <f>IF(SCTR_Brokers[[#This Row],[FechaRecepcion]]="","",IF(SCTR_Brokers[[#This Row],[Estado]]="FINALIZADO",0,1))</f>
        <v>0</v>
      </c>
      <c r="W454">
        <f ca="1">IF(AND(SCTR_Brokers[[#This Row],[Estado]]="FINALIZADO",SCTR_Brokers[[#This Row],[Plazo]]=LISTAS!$J$3),1,0)</f>
        <v>1</v>
      </c>
      <c r="X454">
        <f ca="1">IF(AND(SCTR_Brokers[[#This Row],[Estado]]="FINALIZADO",SCTR_Brokers[[#This Row],[Plazo]]=LISTAS!$J$4),1,0)</f>
        <v>0</v>
      </c>
      <c r="Y454">
        <f ca="1">IF(AND(SCTR_Brokers[[#This Row],[Estado]]&lt;&gt;"FINALIZADO",SCTR_Brokers[[#This Row],[Plazo]]=LISTAS!$J$4),1,0)</f>
        <v>0</v>
      </c>
      <c r="Z454">
        <f>IF(SCTR_Brokers[[#This Row],[Fecha_Solic_Informe]]="",0,1)</f>
        <v>0</v>
      </c>
      <c r="AA454">
        <f>IF(SCTR_Brokers[[#This Row],[Fecha_Informe]]="",0,1)</f>
        <v>0</v>
      </c>
      <c r="AB454">
        <f>IF(AND(SCTR_Brokers[[#This Row],[Fecha_Solic_Informe]]&lt;&gt;"",SCTR_Brokers[[#This Row],[Fecha_Informe]]=""),1,0)</f>
        <v>0</v>
      </c>
      <c r="AC45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55" spans="1:29" hidden="1">
      <c r="A455" t="s">
        <v>1012</v>
      </c>
      <c r="C455" t="str">
        <f>IF(SCTR_Brokers[[#This Row],[FechaRecepcion]]="","",SCTR_Brokers[[#This Row],[ConversationId]]&amp;"-"&amp;TEXT(SCTR_Brokers[[#This Row],[FechaRecepcion]],"aaaammddhhmmss"))</f>
        <v>AAQkADdkNThjNzFkLWM0ZmMtNDJhYS04MDVlLTIwNzE4ZDI1Mzg4YgAQAGSMVY53ME06rhHDi3hwNMk=-20261006082512</v>
      </c>
      <c r="D455" s="16" t="s">
        <v>1013</v>
      </c>
      <c r="E455" t="s">
        <v>14</v>
      </c>
      <c r="F455" s="3">
        <v>46301.35083333333</v>
      </c>
      <c r="G455" s="3">
        <v>46301.371238425927</v>
      </c>
      <c r="H455" t="s">
        <v>70</v>
      </c>
      <c r="I455" t="s">
        <v>7</v>
      </c>
      <c r="K455" t="s">
        <v>67</v>
      </c>
      <c r="L455" s="10"/>
      <c r="N45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55" s="3"/>
      <c r="P455" s="3"/>
      <c r="Q455" s="3">
        <v>46301.371238425927</v>
      </c>
      <c r="R45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55" t="str">
        <f>IF(SCTR_Brokers[[#This Row],[FechaRecepcion]]="","",TEXT(SCTR_Brokers[[#This Row],[FechaRecepcion]],"mmmm")&amp;" "&amp;YEAR(SCTR_Brokers[[#This Row],[FechaRecepcion]]))</f>
        <v>octubre 2026</v>
      </c>
      <c r="U455">
        <f>IF(SCTR_Brokers[[#This Row],[Estado]]="FINALIZADO",1,0)</f>
        <v>1</v>
      </c>
      <c r="V455">
        <f>IF(SCTR_Brokers[[#This Row],[FechaRecepcion]]="","",IF(SCTR_Brokers[[#This Row],[Estado]]="FINALIZADO",0,1))</f>
        <v>0</v>
      </c>
      <c r="W455">
        <f ca="1">IF(AND(SCTR_Brokers[[#This Row],[Estado]]="FINALIZADO",SCTR_Brokers[[#This Row],[Plazo]]=LISTAS!$J$3),1,0)</f>
        <v>1</v>
      </c>
      <c r="X455">
        <f ca="1">IF(AND(SCTR_Brokers[[#This Row],[Estado]]="FINALIZADO",SCTR_Brokers[[#This Row],[Plazo]]=LISTAS!$J$4),1,0)</f>
        <v>0</v>
      </c>
      <c r="Y455">
        <f ca="1">IF(AND(SCTR_Brokers[[#This Row],[Estado]]&lt;&gt;"FINALIZADO",SCTR_Brokers[[#This Row],[Plazo]]=LISTAS!$J$4),1,0)</f>
        <v>0</v>
      </c>
      <c r="Z455">
        <f>IF(SCTR_Brokers[[#This Row],[Fecha_Solic_Informe]]="",0,1)</f>
        <v>0</v>
      </c>
      <c r="AA455">
        <f>IF(SCTR_Brokers[[#This Row],[Fecha_Informe]]="",0,1)</f>
        <v>0</v>
      </c>
      <c r="AB455">
        <f>IF(AND(SCTR_Brokers[[#This Row],[Fecha_Solic_Informe]]&lt;&gt;"",SCTR_Brokers[[#This Row],[Fecha_Informe]]=""),1,0)</f>
        <v>0</v>
      </c>
      <c r="AC45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56" spans="1:29" hidden="1">
      <c r="A456" t="s">
        <v>604</v>
      </c>
      <c r="C456" t="str">
        <f>IF(SCTR_Brokers[[#This Row],[FechaRecepcion]]="","",SCTR_Brokers[[#This Row],[ConversationId]]&amp;"-"&amp;TEXT(SCTR_Brokers[[#This Row],[FechaRecepcion]],"aaaammddhhmmss"))</f>
        <v>AAQkADdkNThjNzFkLWM0ZmMtNDJhYS04MDVlLTIwNzE4ZDI1Mzg4YgAQAB7oTg8w20jwqsfc3SHPoP0=-20261006090931</v>
      </c>
      <c r="D456" s="16" t="s">
        <v>605</v>
      </c>
      <c r="E456" t="s">
        <v>8</v>
      </c>
      <c r="F456" s="3">
        <v>46301.381608796299</v>
      </c>
      <c r="G456" s="3">
        <v>46301.457233796296</v>
      </c>
      <c r="H456" t="s">
        <v>279</v>
      </c>
      <c r="I456" t="s">
        <v>7</v>
      </c>
      <c r="J456" t="s">
        <v>280</v>
      </c>
      <c r="K456" t="s">
        <v>67</v>
      </c>
      <c r="L456" s="10"/>
      <c r="N45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56" s="3"/>
      <c r="P456" s="3"/>
      <c r="Q456" s="3">
        <v>46301.457233796296</v>
      </c>
      <c r="R45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56" t="str">
        <f>IF(SCTR_Brokers[[#This Row],[FechaRecepcion]]="","",TEXT(SCTR_Brokers[[#This Row],[FechaRecepcion]],"mmmm")&amp;" "&amp;YEAR(SCTR_Brokers[[#This Row],[FechaRecepcion]]))</f>
        <v>octubre 2026</v>
      </c>
      <c r="U456">
        <f>IF(SCTR_Brokers[[#This Row],[Estado]]="FINALIZADO",1,0)</f>
        <v>1</v>
      </c>
      <c r="V456">
        <f>IF(SCTR_Brokers[[#This Row],[FechaRecepcion]]="","",IF(SCTR_Brokers[[#This Row],[Estado]]="FINALIZADO",0,1))</f>
        <v>0</v>
      </c>
      <c r="W456">
        <f ca="1">IF(AND(SCTR_Brokers[[#This Row],[Estado]]="FINALIZADO",SCTR_Brokers[[#This Row],[Plazo]]=LISTAS!$J$3),1,0)</f>
        <v>1</v>
      </c>
      <c r="X456">
        <f ca="1">IF(AND(SCTR_Brokers[[#This Row],[Estado]]="FINALIZADO",SCTR_Brokers[[#This Row],[Plazo]]=LISTAS!$J$4),1,0)</f>
        <v>0</v>
      </c>
      <c r="Y456">
        <f ca="1">IF(AND(SCTR_Brokers[[#This Row],[Estado]]&lt;&gt;"FINALIZADO",SCTR_Brokers[[#This Row],[Plazo]]=LISTAS!$J$4),1,0)</f>
        <v>0</v>
      </c>
      <c r="Z456">
        <f>IF(SCTR_Brokers[[#This Row],[Fecha_Solic_Informe]]="",0,1)</f>
        <v>0</v>
      </c>
      <c r="AA456">
        <f>IF(SCTR_Brokers[[#This Row],[Fecha_Informe]]="",0,1)</f>
        <v>0</v>
      </c>
      <c r="AB456">
        <f>IF(AND(SCTR_Brokers[[#This Row],[Fecha_Solic_Informe]]&lt;&gt;"",SCTR_Brokers[[#This Row],[Fecha_Informe]]=""),1,0)</f>
        <v>0</v>
      </c>
      <c r="AC45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57" spans="1:29" hidden="1">
      <c r="A457" t="s">
        <v>444</v>
      </c>
      <c r="C457" t="str">
        <f>IF(SCTR_Brokers[[#This Row],[FechaRecepcion]]="","",SCTR_Brokers[[#This Row],[ConversationId]]&amp;"-"&amp;TEXT(SCTR_Brokers[[#This Row],[FechaRecepcion]],"aaaammddhhmmss"))</f>
        <v>AAQkADdkNThjNzFkLWM0ZmMtNDJhYS04MDVlLTIwNzE4ZDI1Mzg4YgAQAG6w3D2gNbNPnZTazA6X2lM=-20261006094255</v>
      </c>
      <c r="D457" s="16" t="s">
        <v>477</v>
      </c>
      <c r="E457" t="s">
        <v>8</v>
      </c>
      <c r="F457" s="3">
        <v>46301.404803240737</v>
      </c>
      <c r="G457" s="3">
        <v>46301.588518518518</v>
      </c>
      <c r="H457" t="s">
        <v>217</v>
      </c>
      <c r="I457" t="s">
        <v>7</v>
      </c>
      <c r="J457" t="s">
        <v>218</v>
      </c>
      <c r="K457" t="s">
        <v>67</v>
      </c>
      <c r="L457" s="10"/>
      <c r="N45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57" s="3"/>
      <c r="P457" s="3"/>
      <c r="Q457" s="3">
        <v>46301.588518518518</v>
      </c>
      <c r="R45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57" t="str">
        <f>IF(SCTR_Brokers[[#This Row],[FechaRecepcion]]="","",TEXT(SCTR_Brokers[[#This Row],[FechaRecepcion]],"mmmm")&amp;" "&amp;YEAR(SCTR_Brokers[[#This Row],[FechaRecepcion]]))</f>
        <v>octubre 2026</v>
      </c>
      <c r="U457">
        <f>IF(SCTR_Brokers[[#This Row],[Estado]]="FINALIZADO",1,0)</f>
        <v>1</v>
      </c>
      <c r="V457">
        <f>IF(SCTR_Brokers[[#This Row],[FechaRecepcion]]="","",IF(SCTR_Brokers[[#This Row],[Estado]]="FINALIZADO",0,1))</f>
        <v>0</v>
      </c>
      <c r="W457">
        <f ca="1">IF(AND(SCTR_Brokers[[#This Row],[Estado]]="FINALIZADO",SCTR_Brokers[[#This Row],[Plazo]]=LISTAS!$J$3),1,0)</f>
        <v>1</v>
      </c>
      <c r="X457">
        <f ca="1">IF(AND(SCTR_Brokers[[#This Row],[Estado]]="FINALIZADO",SCTR_Brokers[[#This Row],[Plazo]]=LISTAS!$J$4),1,0)</f>
        <v>0</v>
      </c>
      <c r="Y457">
        <f ca="1">IF(AND(SCTR_Brokers[[#This Row],[Estado]]&lt;&gt;"FINALIZADO",SCTR_Brokers[[#This Row],[Plazo]]=LISTAS!$J$4),1,0)</f>
        <v>0</v>
      </c>
      <c r="Z457">
        <f>IF(SCTR_Brokers[[#This Row],[Fecha_Solic_Informe]]="",0,1)</f>
        <v>0</v>
      </c>
      <c r="AA457">
        <f>IF(SCTR_Brokers[[#This Row],[Fecha_Informe]]="",0,1)</f>
        <v>0</v>
      </c>
      <c r="AB457">
        <f>IF(AND(SCTR_Brokers[[#This Row],[Fecha_Solic_Informe]]&lt;&gt;"",SCTR_Brokers[[#This Row],[Fecha_Informe]]=""),1,0)</f>
        <v>0</v>
      </c>
      <c r="AC45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58" spans="1:29" hidden="1">
      <c r="A458" t="s">
        <v>991</v>
      </c>
      <c r="C458" t="str">
        <f>IF(SCTR_Brokers[[#This Row],[FechaRecepcion]]="","",SCTR_Brokers[[#This Row],[ConversationId]]&amp;"-"&amp;TEXT(SCTR_Brokers[[#This Row],[FechaRecepcion]],"aaaammddhhmmss"))</f>
        <v>AAQkADdkNThjNzFkLWM0ZmMtNDJhYS04MDVlLTIwNzE4ZDI1Mzg4YgAQAC0KhmE-YKREnL1YsECVd6I=-20261006095219</v>
      </c>
      <c r="D458" s="16" t="s">
        <v>1014</v>
      </c>
      <c r="E458" t="s">
        <v>23</v>
      </c>
      <c r="F458" s="3">
        <v>46301.41133101852</v>
      </c>
      <c r="G458" s="3">
        <v>46301.628067129626</v>
      </c>
      <c r="H458" t="s">
        <v>70</v>
      </c>
      <c r="I458" t="s">
        <v>7</v>
      </c>
      <c r="J458" t="s">
        <v>1015</v>
      </c>
      <c r="K458" t="s">
        <v>67</v>
      </c>
      <c r="L458" s="10" t="s">
        <v>1016</v>
      </c>
      <c r="M458" t="s">
        <v>16</v>
      </c>
      <c r="N45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58" s="3">
        <v>46301.4371875</v>
      </c>
      <c r="P458" s="3">
        <v>46301.478414351855</v>
      </c>
      <c r="Q458" s="3">
        <v>46301.628067129626</v>
      </c>
      <c r="R45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58" t="str">
        <f>IF(SCTR_Brokers[[#This Row],[FechaRecepcion]]="","",TEXT(SCTR_Brokers[[#This Row],[FechaRecepcion]],"mmmm")&amp;" "&amp;YEAR(SCTR_Brokers[[#This Row],[FechaRecepcion]]))</f>
        <v>octubre 2026</v>
      </c>
      <c r="U458">
        <f>IF(SCTR_Brokers[[#This Row],[Estado]]="FINALIZADO",1,0)</f>
        <v>1</v>
      </c>
      <c r="V458">
        <f>IF(SCTR_Brokers[[#This Row],[FechaRecepcion]]="","",IF(SCTR_Brokers[[#This Row],[Estado]]="FINALIZADO",0,1))</f>
        <v>0</v>
      </c>
      <c r="W458">
        <f ca="1">IF(AND(SCTR_Brokers[[#This Row],[Estado]]="FINALIZADO",SCTR_Brokers[[#This Row],[Plazo]]=LISTAS!$J$3),1,0)</f>
        <v>1</v>
      </c>
      <c r="X458">
        <f ca="1">IF(AND(SCTR_Brokers[[#This Row],[Estado]]="FINALIZADO",SCTR_Brokers[[#This Row],[Plazo]]=LISTAS!$J$4),1,0)</f>
        <v>0</v>
      </c>
      <c r="Y458">
        <f ca="1">IF(AND(SCTR_Brokers[[#This Row],[Estado]]&lt;&gt;"FINALIZADO",SCTR_Brokers[[#This Row],[Plazo]]=LISTAS!$J$4),1,0)</f>
        <v>0</v>
      </c>
      <c r="Z458">
        <f>IF(SCTR_Brokers[[#This Row],[Fecha_Solic_Informe]]="",0,1)</f>
        <v>1</v>
      </c>
      <c r="AA458">
        <f>IF(SCTR_Brokers[[#This Row],[Fecha_Informe]]="",0,1)</f>
        <v>1</v>
      </c>
      <c r="AB458">
        <f>IF(AND(SCTR_Brokers[[#This Row],[Fecha_Solic_Informe]]&lt;&gt;"",SCTR_Brokers[[#This Row],[Fecha_Informe]]=""),1,0)</f>
        <v>0</v>
      </c>
      <c r="AC458">
        <f>IF(AND(SCTR_Brokers[[#This Row],[Fecha_Solic_Informe]]&lt;&gt;"",SCTR_Brokers[[#This Row],[Fecha_Informe]]&lt;&gt;""),ROUND((SCTR_Brokers[[#This Row],[Fecha_Informe]]-SCTR_Brokers[[#This Row],[Fecha_Solic_Informe]])*24,1),"")</f>
        <v>1</v>
      </c>
    </row>
    <row r="459" spans="1:29" hidden="1">
      <c r="A459" t="s">
        <v>738</v>
      </c>
      <c r="C459" t="str">
        <f>IF(SCTR_Brokers[[#This Row],[FechaRecepcion]]="","",SCTR_Brokers[[#This Row],[ConversationId]]&amp;"-"&amp;TEXT(SCTR_Brokers[[#This Row],[FechaRecepcion]],"aaaammddhhmmss"))</f>
        <v>AAQkADdkNThjNzFkLWM0ZmMtNDJhYS04MDVlLTIwNzE4ZDI1Mzg4YgAQADm0Z3ucLR1PimehMMHDQvQ=-20261006095642</v>
      </c>
      <c r="D459" s="16" t="s">
        <v>1017</v>
      </c>
      <c r="E459" t="s">
        <v>23</v>
      </c>
      <c r="F459" s="3">
        <v>46301.414375</v>
      </c>
      <c r="G459" s="3">
        <v>46302.419085648151</v>
      </c>
      <c r="H459" t="s">
        <v>144</v>
      </c>
      <c r="I459" t="s">
        <v>7</v>
      </c>
      <c r="K459" t="s">
        <v>67</v>
      </c>
      <c r="L459" s="10"/>
      <c r="N45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59" s="3"/>
      <c r="P459" s="3"/>
      <c r="Q459" s="3">
        <v>46304.365972222222</v>
      </c>
      <c r="R45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459" t="str">
        <f>IF(SCTR_Brokers[[#This Row],[FechaRecepcion]]="","",TEXT(SCTR_Brokers[[#This Row],[FechaRecepcion]],"mmmm")&amp;" "&amp;YEAR(SCTR_Brokers[[#This Row],[FechaRecepcion]]))</f>
        <v>octubre 2026</v>
      </c>
      <c r="U459">
        <f>IF(SCTR_Brokers[[#This Row],[Estado]]="FINALIZADO",1,0)</f>
        <v>1</v>
      </c>
      <c r="V459">
        <f>IF(SCTR_Brokers[[#This Row],[FechaRecepcion]]="","",IF(SCTR_Brokers[[#This Row],[Estado]]="FINALIZADO",0,1))</f>
        <v>0</v>
      </c>
      <c r="W459">
        <f ca="1">IF(AND(SCTR_Brokers[[#This Row],[Estado]]="FINALIZADO",SCTR_Brokers[[#This Row],[Plazo]]=LISTAS!$J$3),1,0)</f>
        <v>0</v>
      </c>
      <c r="X459">
        <f ca="1">IF(AND(SCTR_Brokers[[#This Row],[Estado]]="FINALIZADO",SCTR_Brokers[[#This Row],[Plazo]]=LISTAS!$J$4),1,0)</f>
        <v>1</v>
      </c>
      <c r="Y459">
        <f ca="1">IF(AND(SCTR_Brokers[[#This Row],[Estado]]&lt;&gt;"FINALIZADO",SCTR_Brokers[[#This Row],[Plazo]]=LISTAS!$J$4),1,0)</f>
        <v>0</v>
      </c>
      <c r="Z459">
        <f>IF(SCTR_Brokers[[#This Row],[Fecha_Solic_Informe]]="",0,1)</f>
        <v>0</v>
      </c>
      <c r="AA459">
        <f>IF(SCTR_Brokers[[#This Row],[Fecha_Informe]]="",0,1)</f>
        <v>0</v>
      </c>
      <c r="AB459">
        <f>IF(AND(SCTR_Brokers[[#This Row],[Fecha_Solic_Informe]]&lt;&gt;"",SCTR_Brokers[[#This Row],[Fecha_Informe]]=""),1,0)</f>
        <v>0</v>
      </c>
      <c r="AC45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60" spans="1:29" hidden="1">
      <c r="A460" t="s">
        <v>1018</v>
      </c>
      <c r="C460" t="str">
        <f>IF(SCTR_Brokers[[#This Row],[FechaRecepcion]]="","",SCTR_Brokers[[#This Row],[ConversationId]]&amp;"-"&amp;TEXT(SCTR_Brokers[[#This Row],[FechaRecepcion]],"aaaammddhhmmss"))</f>
        <v>AAQkADdkNThjNzFkLWM0ZmMtNDJhYS04MDVlLTIwNzE4ZDI1Mzg4YgAQAC2BhaNoL5xEnH04069Ay5o=-20261006113642</v>
      </c>
      <c r="D460" s="16" t="s">
        <v>1019</v>
      </c>
      <c r="E460" t="s">
        <v>21</v>
      </c>
      <c r="F460" s="3">
        <v>46301.483819444446</v>
      </c>
      <c r="G460" s="3">
        <v>46301.634293981479</v>
      </c>
      <c r="H460" t="s">
        <v>70</v>
      </c>
      <c r="I460" t="s">
        <v>7</v>
      </c>
      <c r="K460" t="s">
        <v>67</v>
      </c>
      <c r="L460" s="10"/>
      <c r="N46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60" s="3"/>
      <c r="P460" s="3"/>
      <c r="Q460" s="3">
        <v>46301.634293981479</v>
      </c>
      <c r="R46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60" t="str">
        <f>IF(SCTR_Brokers[[#This Row],[FechaRecepcion]]="","",TEXT(SCTR_Brokers[[#This Row],[FechaRecepcion]],"mmmm")&amp;" "&amp;YEAR(SCTR_Brokers[[#This Row],[FechaRecepcion]]))</f>
        <v>octubre 2026</v>
      </c>
      <c r="U460">
        <f>IF(SCTR_Brokers[[#This Row],[Estado]]="FINALIZADO",1,0)</f>
        <v>1</v>
      </c>
      <c r="V460">
        <f>IF(SCTR_Brokers[[#This Row],[FechaRecepcion]]="","",IF(SCTR_Brokers[[#This Row],[Estado]]="FINALIZADO",0,1))</f>
        <v>0</v>
      </c>
      <c r="W460">
        <f ca="1">IF(AND(SCTR_Brokers[[#This Row],[Estado]]="FINALIZADO",SCTR_Brokers[[#This Row],[Plazo]]=LISTAS!$J$3),1,0)</f>
        <v>1</v>
      </c>
      <c r="X460">
        <f ca="1">IF(AND(SCTR_Brokers[[#This Row],[Estado]]="FINALIZADO",SCTR_Brokers[[#This Row],[Plazo]]=LISTAS!$J$4),1,0)</f>
        <v>0</v>
      </c>
      <c r="Y460">
        <f ca="1">IF(AND(SCTR_Brokers[[#This Row],[Estado]]&lt;&gt;"FINALIZADO",SCTR_Brokers[[#This Row],[Plazo]]=LISTAS!$J$4),1,0)</f>
        <v>0</v>
      </c>
      <c r="Z460">
        <f>IF(SCTR_Brokers[[#This Row],[Fecha_Solic_Informe]]="",0,1)</f>
        <v>0</v>
      </c>
      <c r="AA460">
        <f>IF(SCTR_Brokers[[#This Row],[Fecha_Informe]]="",0,1)</f>
        <v>0</v>
      </c>
      <c r="AB460">
        <f>IF(AND(SCTR_Brokers[[#This Row],[Fecha_Solic_Informe]]&lt;&gt;"",SCTR_Brokers[[#This Row],[Fecha_Informe]]=""),1,0)</f>
        <v>0</v>
      </c>
      <c r="AC46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61" spans="1:29" hidden="1">
      <c r="A461" t="s">
        <v>1020</v>
      </c>
      <c r="C461" t="str">
        <f>IF(SCTR_Brokers[[#This Row],[FechaRecepcion]]="","",SCTR_Brokers[[#This Row],[ConversationId]]&amp;"-"&amp;TEXT(SCTR_Brokers[[#This Row],[FechaRecepcion]],"aaaammddhhmmss"))</f>
        <v>AAQkADdkNThjNzFkLWM0ZmMtNDJhYS04MDVlLTIwNzE4ZDI1Mzg4YgAQADjm9XG4ohhKglKIJ8Ta5Oo=-20261006114021</v>
      </c>
      <c r="D461" s="16" t="s">
        <v>1021</v>
      </c>
      <c r="E461" t="s">
        <v>20</v>
      </c>
      <c r="F461" s="3">
        <v>46301.486354166664</v>
      </c>
      <c r="G461" s="3">
        <v>46301.588136574072</v>
      </c>
      <c r="H461" t="s">
        <v>269</v>
      </c>
      <c r="I461" t="s">
        <v>7</v>
      </c>
      <c r="J461" t="s">
        <v>270</v>
      </c>
      <c r="K461" t="s">
        <v>67</v>
      </c>
      <c r="L461" s="10"/>
      <c r="N46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61" s="3"/>
      <c r="P461" s="3"/>
      <c r="Q461" s="3">
        <v>46301.588136574072</v>
      </c>
      <c r="R46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61" t="str">
        <f>IF(SCTR_Brokers[[#This Row],[FechaRecepcion]]="","",TEXT(SCTR_Brokers[[#This Row],[FechaRecepcion]],"mmmm")&amp;" "&amp;YEAR(SCTR_Brokers[[#This Row],[FechaRecepcion]]))</f>
        <v>octubre 2026</v>
      </c>
      <c r="U461">
        <f>IF(SCTR_Brokers[[#This Row],[Estado]]="FINALIZADO",1,0)</f>
        <v>1</v>
      </c>
      <c r="V461">
        <f>IF(SCTR_Brokers[[#This Row],[FechaRecepcion]]="","",IF(SCTR_Brokers[[#This Row],[Estado]]="FINALIZADO",0,1))</f>
        <v>0</v>
      </c>
      <c r="W461">
        <f ca="1">IF(AND(SCTR_Brokers[[#This Row],[Estado]]="FINALIZADO",SCTR_Brokers[[#This Row],[Plazo]]=LISTAS!$J$3),1,0)</f>
        <v>1</v>
      </c>
      <c r="X461">
        <f ca="1">IF(AND(SCTR_Brokers[[#This Row],[Estado]]="FINALIZADO",SCTR_Brokers[[#This Row],[Plazo]]=LISTAS!$J$4),1,0)</f>
        <v>0</v>
      </c>
      <c r="Y461">
        <f ca="1">IF(AND(SCTR_Brokers[[#This Row],[Estado]]&lt;&gt;"FINALIZADO",SCTR_Brokers[[#This Row],[Plazo]]=LISTAS!$J$4),1,0)</f>
        <v>0</v>
      </c>
      <c r="Z461">
        <f>IF(SCTR_Brokers[[#This Row],[Fecha_Solic_Informe]]="",0,1)</f>
        <v>0</v>
      </c>
      <c r="AA461">
        <f>IF(SCTR_Brokers[[#This Row],[Fecha_Informe]]="",0,1)</f>
        <v>0</v>
      </c>
      <c r="AB461">
        <f>IF(AND(SCTR_Brokers[[#This Row],[Fecha_Solic_Informe]]&lt;&gt;"",SCTR_Brokers[[#This Row],[Fecha_Informe]]=""),1,0)</f>
        <v>0</v>
      </c>
      <c r="AC46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62" spans="1:29" hidden="1">
      <c r="A462" t="s">
        <v>1012</v>
      </c>
      <c r="C462" t="str">
        <f>IF(SCTR_Brokers[[#This Row],[FechaRecepcion]]="","",SCTR_Brokers[[#This Row],[ConversationId]]&amp;"-"&amp;TEXT(SCTR_Brokers[[#This Row],[FechaRecepcion]],"aaaammddhhmmss"))</f>
        <v>AAQkADdkNThjNzFkLWM0ZmMtNDJhYS04MDVlLTIwNzE4ZDI1Mzg4YgAQAGSMVY53ME06rhHDi3hwNMk=-20261006121001</v>
      </c>
      <c r="D462" s="16" t="s">
        <v>1022</v>
      </c>
      <c r="E462" t="s">
        <v>14</v>
      </c>
      <c r="F462" s="3">
        <v>46301.506956018522</v>
      </c>
      <c r="G462" s="3">
        <v>46301.636122685188</v>
      </c>
      <c r="H462" t="s">
        <v>885</v>
      </c>
      <c r="I462" t="s">
        <v>7</v>
      </c>
      <c r="K462" t="s">
        <v>67</v>
      </c>
      <c r="L462" s="10"/>
      <c r="N46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62" s="3"/>
      <c r="P462" s="3"/>
      <c r="Q462" s="3">
        <v>46301.635416666664</v>
      </c>
      <c r="R46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62" t="str">
        <f>IF(SCTR_Brokers[[#This Row],[FechaRecepcion]]="","",TEXT(SCTR_Brokers[[#This Row],[FechaRecepcion]],"mmmm")&amp;" "&amp;YEAR(SCTR_Brokers[[#This Row],[FechaRecepcion]]))</f>
        <v>octubre 2026</v>
      </c>
      <c r="U462">
        <f>IF(SCTR_Brokers[[#This Row],[Estado]]="FINALIZADO",1,0)</f>
        <v>1</v>
      </c>
      <c r="V462">
        <f>IF(SCTR_Brokers[[#This Row],[FechaRecepcion]]="","",IF(SCTR_Brokers[[#This Row],[Estado]]="FINALIZADO",0,1))</f>
        <v>0</v>
      </c>
      <c r="W462">
        <f ca="1">IF(AND(SCTR_Brokers[[#This Row],[Estado]]="FINALIZADO",SCTR_Brokers[[#This Row],[Plazo]]=LISTAS!$J$3),1,0)</f>
        <v>1</v>
      </c>
      <c r="X462">
        <f ca="1">IF(AND(SCTR_Brokers[[#This Row],[Estado]]="FINALIZADO",SCTR_Brokers[[#This Row],[Plazo]]=LISTAS!$J$4),1,0)</f>
        <v>0</v>
      </c>
      <c r="Y462">
        <f ca="1">IF(AND(SCTR_Brokers[[#This Row],[Estado]]&lt;&gt;"FINALIZADO",SCTR_Brokers[[#This Row],[Plazo]]=LISTAS!$J$4),1,0)</f>
        <v>0</v>
      </c>
      <c r="Z462">
        <f>IF(SCTR_Brokers[[#This Row],[Fecha_Solic_Informe]]="",0,1)</f>
        <v>0</v>
      </c>
      <c r="AA462">
        <f>IF(SCTR_Brokers[[#This Row],[Fecha_Informe]]="",0,1)</f>
        <v>0</v>
      </c>
      <c r="AB462">
        <f>IF(AND(SCTR_Brokers[[#This Row],[Fecha_Solic_Informe]]&lt;&gt;"",SCTR_Brokers[[#This Row],[Fecha_Informe]]=""),1,0)</f>
        <v>0</v>
      </c>
      <c r="AC46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63" spans="1:29" hidden="1">
      <c r="A463" t="s">
        <v>913</v>
      </c>
      <c r="C463" t="str">
        <f>IF(SCTR_Brokers[[#This Row],[FechaRecepcion]]="","",SCTR_Brokers[[#This Row],[ConversationId]]&amp;"-"&amp;TEXT(SCTR_Brokers[[#This Row],[FechaRecepcion]],"aaaammddhhmmss"))</f>
        <v>AAQkADdkNThjNzFkLWM0ZmMtNDJhYS04MDVlLTIwNzE4ZDI1Mzg4YgAQAAfdmsuoEyFHt0t9wIIimAE=-20261006124336</v>
      </c>
      <c r="D463" s="16" t="s">
        <v>1023</v>
      </c>
      <c r="E463" t="s">
        <v>21</v>
      </c>
      <c r="F463" s="3">
        <v>46301.530277777776</v>
      </c>
      <c r="G463" s="3">
        <v>46301.638414351852</v>
      </c>
      <c r="H463" t="s">
        <v>70</v>
      </c>
      <c r="I463" t="s">
        <v>7</v>
      </c>
      <c r="K463" t="s">
        <v>67</v>
      </c>
      <c r="L463" s="10"/>
      <c r="N46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63" s="3"/>
      <c r="P463" s="3"/>
      <c r="Q463" s="3">
        <v>46301.638414351852</v>
      </c>
      <c r="R46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63" t="str">
        <f>IF(SCTR_Brokers[[#This Row],[FechaRecepcion]]="","",TEXT(SCTR_Brokers[[#This Row],[FechaRecepcion]],"mmmm")&amp;" "&amp;YEAR(SCTR_Brokers[[#This Row],[FechaRecepcion]]))</f>
        <v>octubre 2026</v>
      </c>
      <c r="U463">
        <f>IF(SCTR_Brokers[[#This Row],[Estado]]="FINALIZADO",1,0)</f>
        <v>1</v>
      </c>
      <c r="V463">
        <f>IF(SCTR_Brokers[[#This Row],[FechaRecepcion]]="","",IF(SCTR_Brokers[[#This Row],[Estado]]="FINALIZADO",0,1))</f>
        <v>0</v>
      </c>
      <c r="W463">
        <f ca="1">IF(AND(SCTR_Brokers[[#This Row],[Estado]]="FINALIZADO",SCTR_Brokers[[#This Row],[Plazo]]=LISTAS!$J$3),1,0)</f>
        <v>1</v>
      </c>
      <c r="X463">
        <f ca="1">IF(AND(SCTR_Brokers[[#This Row],[Estado]]="FINALIZADO",SCTR_Brokers[[#This Row],[Plazo]]=LISTAS!$J$4),1,0)</f>
        <v>0</v>
      </c>
      <c r="Y463">
        <f ca="1">IF(AND(SCTR_Brokers[[#This Row],[Estado]]&lt;&gt;"FINALIZADO",SCTR_Brokers[[#This Row],[Plazo]]=LISTAS!$J$4),1,0)</f>
        <v>0</v>
      </c>
      <c r="Z463">
        <f>IF(SCTR_Brokers[[#This Row],[Fecha_Solic_Informe]]="",0,1)</f>
        <v>0</v>
      </c>
      <c r="AA463">
        <f>IF(SCTR_Brokers[[#This Row],[Fecha_Informe]]="",0,1)</f>
        <v>0</v>
      </c>
      <c r="AB463">
        <f>IF(AND(SCTR_Brokers[[#This Row],[Fecha_Solic_Informe]]&lt;&gt;"",SCTR_Brokers[[#This Row],[Fecha_Informe]]=""),1,0)</f>
        <v>0</v>
      </c>
      <c r="AC46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64" spans="1:29" hidden="1">
      <c r="A464" t="s">
        <v>1024</v>
      </c>
      <c r="C464" t="str">
        <f>IF(SCTR_Brokers[[#This Row],[FechaRecepcion]]="","",SCTR_Brokers[[#This Row],[ConversationId]]&amp;"-"&amp;TEXT(SCTR_Brokers[[#This Row],[FechaRecepcion]],"aaaammddhhmmss"))</f>
        <v>AAQkADdkNThjNzFkLWM0ZmMtNDJhYS04MDVlLTIwNzE4ZDI1Mzg4YgAQAPo4LoKbtMVPiRwyqIhuzhw=-20261006130039</v>
      </c>
      <c r="D464" s="16" t="s">
        <v>1025</v>
      </c>
      <c r="E464" t="s">
        <v>20</v>
      </c>
      <c r="F464" s="3">
        <v>46301.542118055557</v>
      </c>
      <c r="G464" s="3">
        <v>46301.624050925922</v>
      </c>
      <c r="H464" t="s">
        <v>434</v>
      </c>
      <c r="I464" t="s">
        <v>7</v>
      </c>
      <c r="J464" t="s">
        <v>435</v>
      </c>
      <c r="K464" t="s">
        <v>67</v>
      </c>
      <c r="L464" s="10"/>
      <c r="N46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64" s="3"/>
      <c r="P464" s="3"/>
      <c r="Q464" s="3">
        <v>46301.624050925922</v>
      </c>
      <c r="R46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64" t="str">
        <f>IF(SCTR_Brokers[[#This Row],[FechaRecepcion]]="","",TEXT(SCTR_Brokers[[#This Row],[FechaRecepcion]],"mmmm")&amp;" "&amp;YEAR(SCTR_Brokers[[#This Row],[FechaRecepcion]]))</f>
        <v>octubre 2026</v>
      </c>
      <c r="U464">
        <f>IF(SCTR_Brokers[[#This Row],[Estado]]="FINALIZADO",1,0)</f>
        <v>1</v>
      </c>
      <c r="V464">
        <f>IF(SCTR_Brokers[[#This Row],[FechaRecepcion]]="","",IF(SCTR_Brokers[[#This Row],[Estado]]="FINALIZADO",0,1))</f>
        <v>0</v>
      </c>
      <c r="W464">
        <f ca="1">IF(AND(SCTR_Brokers[[#This Row],[Estado]]="FINALIZADO",SCTR_Brokers[[#This Row],[Plazo]]=LISTAS!$J$3),1,0)</f>
        <v>1</v>
      </c>
      <c r="X464">
        <f ca="1">IF(AND(SCTR_Brokers[[#This Row],[Estado]]="FINALIZADO",SCTR_Brokers[[#This Row],[Plazo]]=LISTAS!$J$4),1,0)</f>
        <v>0</v>
      </c>
      <c r="Y464">
        <f ca="1">IF(AND(SCTR_Brokers[[#This Row],[Estado]]&lt;&gt;"FINALIZADO",SCTR_Brokers[[#This Row],[Plazo]]=LISTAS!$J$4),1,0)</f>
        <v>0</v>
      </c>
      <c r="Z464">
        <f>IF(SCTR_Brokers[[#This Row],[Fecha_Solic_Informe]]="",0,1)</f>
        <v>0</v>
      </c>
      <c r="AA464">
        <f>IF(SCTR_Brokers[[#This Row],[Fecha_Informe]]="",0,1)</f>
        <v>0</v>
      </c>
      <c r="AB464">
        <f>IF(AND(SCTR_Brokers[[#This Row],[Fecha_Solic_Informe]]&lt;&gt;"",SCTR_Brokers[[#This Row],[Fecha_Informe]]=""),1,0)</f>
        <v>0</v>
      </c>
      <c r="AC46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65" spans="1:29" hidden="1">
      <c r="A465" t="s">
        <v>1026</v>
      </c>
      <c r="C465" t="str">
        <f>IF(SCTR_Brokers[[#This Row],[FechaRecepcion]]="","",SCTR_Brokers[[#This Row],[ConversationId]]&amp;"-"&amp;TEXT(SCTR_Brokers[[#This Row],[FechaRecepcion]],"aaaammddhhmmss"))</f>
        <v>AAQkADdkNThjNzFkLWM0ZmMtNDJhYS04MDVlLTIwNzE4ZDI1Mzg4YgAQACBIUKMBk3tEuw6Nv5_qRaw=-20261006144335</v>
      </c>
      <c r="D465" s="16" t="s">
        <v>1027</v>
      </c>
      <c r="E465" t="s">
        <v>21</v>
      </c>
      <c r="F465" s="3">
        <v>46301.613599537035</v>
      </c>
      <c r="G465" s="3">
        <v>46301.652141203704</v>
      </c>
      <c r="H465" t="s">
        <v>217</v>
      </c>
      <c r="I465" t="s">
        <v>7</v>
      </c>
      <c r="J465" t="s">
        <v>218</v>
      </c>
      <c r="K465" t="s">
        <v>67</v>
      </c>
      <c r="L465" s="10"/>
      <c r="N46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65" s="3"/>
      <c r="P465" s="3"/>
      <c r="Q465" s="3">
        <v>46301.652141203704</v>
      </c>
      <c r="R46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65" t="str">
        <f>IF(SCTR_Brokers[[#This Row],[FechaRecepcion]]="","",TEXT(SCTR_Brokers[[#This Row],[FechaRecepcion]],"mmmm")&amp;" "&amp;YEAR(SCTR_Brokers[[#This Row],[FechaRecepcion]]))</f>
        <v>octubre 2026</v>
      </c>
      <c r="U465">
        <f>IF(SCTR_Brokers[[#This Row],[Estado]]="FINALIZADO",1,0)</f>
        <v>1</v>
      </c>
      <c r="V465">
        <f>IF(SCTR_Brokers[[#This Row],[FechaRecepcion]]="","",IF(SCTR_Brokers[[#This Row],[Estado]]="FINALIZADO",0,1))</f>
        <v>0</v>
      </c>
      <c r="W465">
        <f ca="1">IF(AND(SCTR_Brokers[[#This Row],[Estado]]="FINALIZADO",SCTR_Brokers[[#This Row],[Plazo]]=LISTAS!$J$3),1,0)</f>
        <v>1</v>
      </c>
      <c r="X465">
        <f ca="1">IF(AND(SCTR_Brokers[[#This Row],[Estado]]="FINALIZADO",SCTR_Brokers[[#This Row],[Plazo]]=LISTAS!$J$4),1,0)</f>
        <v>0</v>
      </c>
      <c r="Y465">
        <f ca="1">IF(AND(SCTR_Brokers[[#This Row],[Estado]]&lt;&gt;"FINALIZADO",SCTR_Brokers[[#This Row],[Plazo]]=LISTAS!$J$4),1,0)</f>
        <v>0</v>
      </c>
      <c r="Z465">
        <f>IF(SCTR_Brokers[[#This Row],[Fecha_Solic_Informe]]="",0,1)</f>
        <v>0</v>
      </c>
      <c r="AA465">
        <f>IF(SCTR_Brokers[[#This Row],[Fecha_Informe]]="",0,1)</f>
        <v>0</v>
      </c>
      <c r="AB465">
        <f>IF(AND(SCTR_Brokers[[#This Row],[Fecha_Solic_Informe]]&lt;&gt;"",SCTR_Brokers[[#This Row],[Fecha_Informe]]=""),1,0)</f>
        <v>0</v>
      </c>
      <c r="AC46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66" spans="1:29" hidden="1">
      <c r="A466" t="s">
        <v>1028</v>
      </c>
      <c r="C466" t="str">
        <f>IF(SCTR_Brokers[[#This Row],[FechaRecepcion]]="","",SCTR_Brokers[[#This Row],[ConversationId]]&amp;"-"&amp;TEXT(SCTR_Brokers[[#This Row],[FechaRecepcion]],"aaaammddhhmmss"))</f>
        <v>AAQkADdkNThjNzFkLWM0ZmMtNDJhYS04MDVlLTIwNzE4ZDI1Mzg4YgAQAAk9S04QbchGjXiJ4VceNNw=-20261006150639</v>
      </c>
      <c r="D466" s="16" t="s">
        <v>1029</v>
      </c>
      <c r="E466" t="s">
        <v>8</v>
      </c>
      <c r="F466" s="3">
        <v>46301.629618055558</v>
      </c>
      <c r="G466" s="3">
        <v>46301.652997685182</v>
      </c>
      <c r="H466" t="s">
        <v>70</v>
      </c>
      <c r="I466" t="s">
        <v>7</v>
      </c>
      <c r="K466" t="s">
        <v>67</v>
      </c>
      <c r="L466" s="10"/>
      <c r="N46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66" s="3"/>
      <c r="P466" s="3"/>
      <c r="Q466" s="3">
        <v>46301.652997685182</v>
      </c>
      <c r="R46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66" t="str">
        <f>IF(SCTR_Brokers[[#This Row],[FechaRecepcion]]="","",TEXT(SCTR_Brokers[[#This Row],[FechaRecepcion]],"mmmm")&amp;" "&amp;YEAR(SCTR_Brokers[[#This Row],[FechaRecepcion]]))</f>
        <v>octubre 2026</v>
      </c>
      <c r="U466">
        <f>IF(SCTR_Brokers[[#This Row],[Estado]]="FINALIZADO",1,0)</f>
        <v>1</v>
      </c>
      <c r="V466">
        <f>IF(SCTR_Brokers[[#This Row],[FechaRecepcion]]="","",IF(SCTR_Brokers[[#This Row],[Estado]]="FINALIZADO",0,1))</f>
        <v>0</v>
      </c>
      <c r="W466">
        <f ca="1">IF(AND(SCTR_Brokers[[#This Row],[Estado]]="FINALIZADO",SCTR_Brokers[[#This Row],[Plazo]]=LISTAS!$J$3),1,0)</f>
        <v>1</v>
      </c>
      <c r="X466">
        <f ca="1">IF(AND(SCTR_Brokers[[#This Row],[Estado]]="FINALIZADO",SCTR_Brokers[[#This Row],[Plazo]]=LISTAS!$J$4),1,0)</f>
        <v>0</v>
      </c>
      <c r="Y466">
        <f ca="1">IF(AND(SCTR_Brokers[[#This Row],[Estado]]&lt;&gt;"FINALIZADO",SCTR_Brokers[[#This Row],[Plazo]]=LISTAS!$J$4),1,0)</f>
        <v>0</v>
      </c>
      <c r="Z466">
        <f>IF(SCTR_Brokers[[#This Row],[Fecha_Solic_Informe]]="",0,1)</f>
        <v>0</v>
      </c>
      <c r="AA466">
        <f>IF(SCTR_Brokers[[#This Row],[Fecha_Informe]]="",0,1)</f>
        <v>0</v>
      </c>
      <c r="AB466">
        <f>IF(AND(SCTR_Brokers[[#This Row],[Fecha_Solic_Informe]]&lt;&gt;"",SCTR_Brokers[[#This Row],[Fecha_Informe]]=""),1,0)</f>
        <v>0</v>
      </c>
      <c r="AC46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67" spans="1:29" hidden="1">
      <c r="A467" t="s">
        <v>604</v>
      </c>
      <c r="C467" t="str">
        <f>IF(SCTR_Brokers[[#This Row],[FechaRecepcion]]="","",SCTR_Brokers[[#This Row],[ConversationId]]&amp;"-"&amp;TEXT(SCTR_Brokers[[#This Row],[FechaRecepcion]],"aaaammddhhmmss"))</f>
        <v>AAQkADdkNThjNzFkLWM0ZmMtNDJhYS04MDVlLTIwNzE4ZDI1Mzg4YgAQAB7oTg8w20jwqsfc3SHPoP0=-20261006150708</v>
      </c>
      <c r="D467" s="16" t="s">
        <v>605</v>
      </c>
      <c r="E467" t="s">
        <v>8</v>
      </c>
      <c r="F467" s="3">
        <v>46301.629953703705</v>
      </c>
      <c r="G467" s="3">
        <v>46302.494432870371</v>
      </c>
      <c r="H467" t="s">
        <v>70</v>
      </c>
      <c r="I467" t="s">
        <v>7</v>
      </c>
      <c r="K467" t="s">
        <v>67</v>
      </c>
      <c r="L467" s="10"/>
      <c r="N46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67" s="3"/>
      <c r="P467" s="3"/>
      <c r="Q467" s="3">
        <v>46302.494432870371</v>
      </c>
      <c r="R46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467" t="str">
        <f>IF(SCTR_Brokers[[#This Row],[FechaRecepcion]]="","",TEXT(SCTR_Brokers[[#This Row],[FechaRecepcion]],"mmmm")&amp;" "&amp;YEAR(SCTR_Brokers[[#This Row],[FechaRecepcion]]))</f>
        <v>octubre 2026</v>
      </c>
      <c r="U467">
        <f>IF(SCTR_Brokers[[#This Row],[Estado]]="FINALIZADO",1,0)</f>
        <v>1</v>
      </c>
      <c r="V467">
        <f>IF(SCTR_Brokers[[#This Row],[FechaRecepcion]]="","",IF(SCTR_Brokers[[#This Row],[Estado]]="FINALIZADO",0,1))</f>
        <v>0</v>
      </c>
      <c r="W467">
        <f ca="1">IF(AND(SCTR_Brokers[[#This Row],[Estado]]="FINALIZADO",SCTR_Brokers[[#This Row],[Plazo]]=LISTAS!$J$3),1,0)</f>
        <v>0</v>
      </c>
      <c r="X467">
        <f ca="1">IF(AND(SCTR_Brokers[[#This Row],[Estado]]="FINALIZADO",SCTR_Brokers[[#This Row],[Plazo]]=LISTAS!$J$4),1,0)</f>
        <v>1</v>
      </c>
      <c r="Y467">
        <f ca="1">IF(AND(SCTR_Brokers[[#This Row],[Estado]]&lt;&gt;"FINALIZADO",SCTR_Brokers[[#This Row],[Plazo]]=LISTAS!$J$4),1,0)</f>
        <v>0</v>
      </c>
      <c r="Z467">
        <f>IF(SCTR_Brokers[[#This Row],[Fecha_Solic_Informe]]="",0,1)</f>
        <v>0</v>
      </c>
      <c r="AA467">
        <f>IF(SCTR_Brokers[[#This Row],[Fecha_Informe]]="",0,1)</f>
        <v>0</v>
      </c>
      <c r="AB467">
        <f>IF(AND(SCTR_Brokers[[#This Row],[Fecha_Solic_Informe]]&lt;&gt;"",SCTR_Brokers[[#This Row],[Fecha_Informe]]=""),1,0)</f>
        <v>0</v>
      </c>
      <c r="AC46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68" spans="1:29" hidden="1">
      <c r="A468" t="s">
        <v>1030</v>
      </c>
      <c r="C468" t="str">
        <f>IF(SCTR_Brokers[[#This Row],[FechaRecepcion]]="","",SCTR_Brokers[[#This Row],[ConversationId]]&amp;"-"&amp;TEXT(SCTR_Brokers[[#This Row],[FechaRecepcion]],"aaaammddhhmmss"))</f>
        <v>AAQkADdkNThjNzFkLWM0ZmMtNDJhYS04MDVlLTIwNzE4ZDI1Mzg4YgAQAAaZIIkYYVlOoF6SHs3tVrs=-20261006160752</v>
      </c>
      <c r="D468" s="16" t="s">
        <v>1031</v>
      </c>
      <c r="E468" t="s">
        <v>20</v>
      </c>
      <c r="F468" s="3">
        <v>46301.672129629631</v>
      </c>
      <c r="G468" s="3">
        <v>46301.672129629631</v>
      </c>
      <c r="H468" t="s">
        <v>356</v>
      </c>
      <c r="I468" t="s">
        <v>7</v>
      </c>
      <c r="K468" t="s">
        <v>67</v>
      </c>
      <c r="L468" s="10"/>
      <c r="N46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68" s="3"/>
      <c r="P468" s="3"/>
      <c r="Q468" s="3">
        <v>46301.677083333336</v>
      </c>
      <c r="R46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68" t="str">
        <f>IF(SCTR_Brokers[[#This Row],[FechaRecepcion]]="","",TEXT(SCTR_Brokers[[#This Row],[FechaRecepcion]],"mmmm")&amp;" "&amp;YEAR(SCTR_Brokers[[#This Row],[FechaRecepcion]]))</f>
        <v>octubre 2026</v>
      </c>
      <c r="U468">
        <f>IF(SCTR_Brokers[[#This Row],[Estado]]="FINALIZADO",1,0)</f>
        <v>1</v>
      </c>
      <c r="V468">
        <f>IF(SCTR_Brokers[[#This Row],[FechaRecepcion]]="","",IF(SCTR_Brokers[[#This Row],[Estado]]="FINALIZADO",0,1))</f>
        <v>0</v>
      </c>
      <c r="W468">
        <f ca="1">IF(AND(SCTR_Brokers[[#This Row],[Estado]]="FINALIZADO",SCTR_Brokers[[#This Row],[Plazo]]=LISTAS!$J$3),1,0)</f>
        <v>1</v>
      </c>
      <c r="X468">
        <f ca="1">IF(AND(SCTR_Brokers[[#This Row],[Estado]]="FINALIZADO",SCTR_Brokers[[#This Row],[Plazo]]=LISTAS!$J$4),1,0)</f>
        <v>0</v>
      </c>
      <c r="Y468">
        <f ca="1">IF(AND(SCTR_Brokers[[#This Row],[Estado]]&lt;&gt;"FINALIZADO",SCTR_Brokers[[#This Row],[Plazo]]=LISTAS!$J$4),1,0)</f>
        <v>0</v>
      </c>
      <c r="Z468">
        <f>IF(SCTR_Brokers[[#This Row],[Fecha_Solic_Informe]]="",0,1)</f>
        <v>0</v>
      </c>
      <c r="AA468">
        <f>IF(SCTR_Brokers[[#This Row],[Fecha_Informe]]="",0,1)</f>
        <v>0</v>
      </c>
      <c r="AB468">
        <f>IF(AND(SCTR_Brokers[[#This Row],[Fecha_Solic_Informe]]&lt;&gt;"",SCTR_Brokers[[#This Row],[Fecha_Informe]]=""),1,0)</f>
        <v>0</v>
      </c>
      <c r="AC46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69" spans="1:29" hidden="1">
      <c r="A469" t="s">
        <v>444</v>
      </c>
      <c r="C469" t="str">
        <f>IF(SCTR_Brokers[[#This Row],[FechaRecepcion]]="","",SCTR_Brokers[[#This Row],[ConversationId]]&amp;"-"&amp;TEXT(SCTR_Brokers[[#This Row],[FechaRecepcion]],"aaaammddhhmmss"))</f>
        <v>AAQkADdkNThjNzFkLWM0ZmMtNDJhYS04MDVlLTIwNzE4ZDI1Mzg4YgAQAG6w3D2gNbNPnZTazA6X2lM=-20261006163606</v>
      </c>
      <c r="D469" s="16" t="s">
        <v>477</v>
      </c>
      <c r="E469" t="s">
        <v>8</v>
      </c>
      <c r="F469" s="3">
        <v>46301.691736111112</v>
      </c>
      <c r="G469" s="3">
        <v>46302.358865740738</v>
      </c>
      <c r="H469" t="s">
        <v>217</v>
      </c>
      <c r="I469" t="s">
        <v>7</v>
      </c>
      <c r="J469" t="s">
        <v>218</v>
      </c>
      <c r="K469" t="s">
        <v>67</v>
      </c>
      <c r="L469" s="10"/>
      <c r="N46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69" s="3"/>
      <c r="P469" s="3"/>
      <c r="Q469" s="3">
        <v>46302.358865740738</v>
      </c>
      <c r="R46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69" t="str">
        <f>IF(SCTR_Brokers[[#This Row],[FechaRecepcion]]="","",TEXT(SCTR_Brokers[[#This Row],[FechaRecepcion]],"mmmm")&amp;" "&amp;YEAR(SCTR_Brokers[[#This Row],[FechaRecepcion]]))</f>
        <v>octubre 2026</v>
      </c>
      <c r="U469">
        <f>IF(SCTR_Brokers[[#This Row],[Estado]]="FINALIZADO",1,0)</f>
        <v>1</v>
      </c>
      <c r="V469">
        <f>IF(SCTR_Brokers[[#This Row],[FechaRecepcion]]="","",IF(SCTR_Brokers[[#This Row],[Estado]]="FINALIZADO",0,1))</f>
        <v>0</v>
      </c>
      <c r="W469">
        <f ca="1">IF(AND(SCTR_Brokers[[#This Row],[Estado]]="FINALIZADO",SCTR_Brokers[[#This Row],[Plazo]]=LISTAS!$J$3),1,0)</f>
        <v>1</v>
      </c>
      <c r="X469">
        <f ca="1">IF(AND(SCTR_Brokers[[#This Row],[Estado]]="FINALIZADO",SCTR_Brokers[[#This Row],[Plazo]]=LISTAS!$J$4),1,0)</f>
        <v>0</v>
      </c>
      <c r="Y469">
        <f ca="1">IF(AND(SCTR_Brokers[[#This Row],[Estado]]&lt;&gt;"FINALIZADO",SCTR_Brokers[[#This Row],[Plazo]]=LISTAS!$J$4),1,0)</f>
        <v>0</v>
      </c>
      <c r="Z469">
        <f>IF(SCTR_Brokers[[#This Row],[Fecha_Solic_Informe]]="",0,1)</f>
        <v>0</v>
      </c>
      <c r="AA469">
        <f>IF(SCTR_Brokers[[#This Row],[Fecha_Informe]]="",0,1)</f>
        <v>0</v>
      </c>
      <c r="AB469">
        <f>IF(AND(SCTR_Brokers[[#This Row],[Fecha_Solic_Informe]]&lt;&gt;"",SCTR_Brokers[[#This Row],[Fecha_Informe]]=""),1,0)</f>
        <v>0</v>
      </c>
      <c r="AC46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70" spans="1:29" hidden="1">
      <c r="A470" t="s">
        <v>1032</v>
      </c>
      <c r="C470" t="str">
        <f>IF(SCTR_Brokers[[#This Row],[FechaRecepcion]]="","",SCTR_Brokers[[#This Row],[ConversationId]]&amp;"-"&amp;TEXT(SCTR_Brokers[[#This Row],[FechaRecepcion]],"aaaammddhhmmss"))</f>
        <v>AAQkADdkNThjNzFkLWM0ZmMtNDJhYS04MDVlLTIwNzE4ZDI1Mzg4YgAQAKXmS3Rli0OZuklOREma3uw=-20261006164633</v>
      </c>
      <c r="D470" s="16" t="s">
        <v>1033</v>
      </c>
      <c r="E470" t="s">
        <v>8</v>
      </c>
      <c r="F470" s="3">
        <v>46301.698993055557</v>
      </c>
      <c r="G470" s="3">
        <v>46301.698993055557</v>
      </c>
      <c r="H470" t="s">
        <v>478</v>
      </c>
      <c r="I470" t="s">
        <v>7</v>
      </c>
      <c r="J470" t="s">
        <v>1034</v>
      </c>
      <c r="K470" t="s">
        <v>67</v>
      </c>
      <c r="L470" s="10"/>
      <c r="N47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70" s="3"/>
      <c r="P470" s="3"/>
      <c r="Q470" s="3">
        <v>46301.698993055557</v>
      </c>
      <c r="R47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470" t="s">
        <v>164</v>
      </c>
      <c r="T470" t="str">
        <f>IF(SCTR_Brokers[[#This Row],[FechaRecepcion]]="","",TEXT(SCTR_Brokers[[#This Row],[FechaRecepcion]],"mmmm")&amp;" "&amp;YEAR(SCTR_Brokers[[#This Row],[FechaRecepcion]]))</f>
        <v>octubre 2026</v>
      </c>
      <c r="U470">
        <f>IF(SCTR_Brokers[[#This Row],[Estado]]="FINALIZADO",1,0)</f>
        <v>1</v>
      </c>
      <c r="V470">
        <f>IF(SCTR_Brokers[[#This Row],[FechaRecepcion]]="","",IF(SCTR_Brokers[[#This Row],[Estado]]="FINALIZADO",0,1))</f>
        <v>0</v>
      </c>
      <c r="W470">
        <f ca="1">IF(AND(SCTR_Brokers[[#This Row],[Estado]]="FINALIZADO",SCTR_Brokers[[#This Row],[Plazo]]=LISTAS!$J$3),1,0)</f>
        <v>1</v>
      </c>
      <c r="X470">
        <f ca="1">IF(AND(SCTR_Brokers[[#This Row],[Estado]]="FINALIZADO",SCTR_Brokers[[#This Row],[Plazo]]=LISTAS!$J$4),1,0)</f>
        <v>0</v>
      </c>
      <c r="Y470">
        <f ca="1">IF(AND(SCTR_Brokers[[#This Row],[Estado]]&lt;&gt;"FINALIZADO",SCTR_Brokers[[#This Row],[Plazo]]=LISTAS!$J$4),1,0)</f>
        <v>0</v>
      </c>
      <c r="Z470">
        <f>IF(SCTR_Brokers[[#This Row],[Fecha_Solic_Informe]]="",0,1)</f>
        <v>0</v>
      </c>
      <c r="AA470">
        <f>IF(SCTR_Brokers[[#This Row],[Fecha_Informe]]="",0,1)</f>
        <v>0</v>
      </c>
      <c r="AB470">
        <f>IF(AND(SCTR_Brokers[[#This Row],[Fecha_Solic_Informe]]&lt;&gt;"",SCTR_Brokers[[#This Row],[Fecha_Informe]]=""),1,0)</f>
        <v>0</v>
      </c>
      <c r="AC47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71" spans="1:29" hidden="1">
      <c r="A471" t="s">
        <v>1012</v>
      </c>
      <c r="C471" t="str">
        <f>IF(SCTR_Brokers[[#This Row],[FechaRecepcion]]="","",SCTR_Brokers[[#This Row],[ConversationId]]&amp;"-"&amp;TEXT(SCTR_Brokers[[#This Row],[FechaRecepcion]],"aaaammddhhmmss"))</f>
        <v>AAQkADdkNThjNzFkLWM0ZmMtNDJhYS04MDVlLTIwNzE4ZDI1Mzg4YgAQAGSMVY53ME06rhHDi3hwNMk=-20261006172848</v>
      </c>
      <c r="D471" s="16" t="s">
        <v>1022</v>
      </c>
      <c r="E471" t="s">
        <v>14</v>
      </c>
      <c r="F471" s="3">
        <v>46301.728333333333</v>
      </c>
      <c r="G471" s="3">
        <v>46301.733067129629</v>
      </c>
      <c r="H471" t="s">
        <v>176</v>
      </c>
      <c r="I471" t="s">
        <v>7</v>
      </c>
      <c r="J471" t="s">
        <v>177</v>
      </c>
      <c r="K471" t="s">
        <v>67</v>
      </c>
      <c r="L471" s="10"/>
      <c r="N47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71" s="3"/>
      <c r="P471" s="3"/>
      <c r="Q471" s="3">
        <v>46301.733067129629</v>
      </c>
      <c r="R47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71" t="str">
        <f>IF(SCTR_Brokers[[#This Row],[FechaRecepcion]]="","",TEXT(SCTR_Brokers[[#This Row],[FechaRecepcion]],"mmmm")&amp;" "&amp;YEAR(SCTR_Brokers[[#This Row],[FechaRecepcion]]))</f>
        <v>octubre 2026</v>
      </c>
      <c r="U471">
        <f>IF(SCTR_Brokers[[#This Row],[Estado]]="FINALIZADO",1,0)</f>
        <v>1</v>
      </c>
      <c r="V471">
        <f>IF(SCTR_Brokers[[#This Row],[FechaRecepcion]]="","",IF(SCTR_Brokers[[#This Row],[Estado]]="FINALIZADO",0,1))</f>
        <v>0</v>
      </c>
      <c r="W471">
        <f ca="1">IF(AND(SCTR_Brokers[[#This Row],[Estado]]="FINALIZADO",SCTR_Brokers[[#This Row],[Plazo]]=LISTAS!$J$3),1,0)</f>
        <v>1</v>
      </c>
      <c r="X471">
        <f ca="1">IF(AND(SCTR_Brokers[[#This Row],[Estado]]="FINALIZADO",SCTR_Brokers[[#This Row],[Plazo]]=LISTAS!$J$4),1,0)</f>
        <v>0</v>
      </c>
      <c r="Y471">
        <f ca="1">IF(AND(SCTR_Brokers[[#This Row],[Estado]]&lt;&gt;"FINALIZADO",SCTR_Brokers[[#This Row],[Plazo]]=LISTAS!$J$4),1,0)</f>
        <v>0</v>
      </c>
      <c r="Z471">
        <f>IF(SCTR_Brokers[[#This Row],[Fecha_Solic_Informe]]="",0,1)</f>
        <v>0</v>
      </c>
      <c r="AA471">
        <f>IF(SCTR_Brokers[[#This Row],[Fecha_Informe]]="",0,1)</f>
        <v>0</v>
      </c>
      <c r="AB471">
        <f>IF(AND(SCTR_Brokers[[#This Row],[Fecha_Solic_Informe]]&lt;&gt;"",SCTR_Brokers[[#This Row],[Fecha_Informe]]=""),1,0)</f>
        <v>0</v>
      </c>
      <c r="AC47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72" spans="1:29" hidden="1">
      <c r="A472" t="s">
        <v>950</v>
      </c>
      <c r="C472" t="str">
        <f>IF(SCTR_Brokers[[#This Row],[FechaRecepcion]]="","",SCTR_Brokers[[#This Row],[ConversationId]]&amp;"-"&amp;TEXT(SCTR_Brokers[[#This Row],[FechaRecepcion]],"aaaammddhhmmss"))</f>
        <v>AAQkADdkNThjNzFkLWM0ZmMtNDJhYS04MDVlLTIwNzE4ZDI1Mzg4YgAQANmQbggK5NtGv1mIo0DDKek=-20261006203020</v>
      </c>
      <c r="D472" s="16" t="s">
        <v>951</v>
      </c>
      <c r="E472" t="s">
        <v>21</v>
      </c>
      <c r="F472" s="3">
        <v>46301.854398148149</v>
      </c>
      <c r="G472" s="3">
        <v>46302.399722222224</v>
      </c>
      <c r="H472" t="s">
        <v>217</v>
      </c>
      <c r="I472" t="s">
        <v>7</v>
      </c>
      <c r="J472" t="s">
        <v>1035</v>
      </c>
      <c r="K472" t="s">
        <v>67</v>
      </c>
      <c r="L472" s="10" t="s">
        <v>1036</v>
      </c>
      <c r="M472" t="s">
        <v>9</v>
      </c>
      <c r="N47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72" s="3">
        <v>46302.367280092592</v>
      </c>
      <c r="P472" s="3">
        <v>46302.387962962966</v>
      </c>
      <c r="Q472" s="3">
        <v>46302.399722222224</v>
      </c>
      <c r="R47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72" t="str">
        <f>IF(SCTR_Brokers[[#This Row],[FechaRecepcion]]="","",TEXT(SCTR_Brokers[[#This Row],[FechaRecepcion]],"mmmm")&amp;" "&amp;YEAR(SCTR_Brokers[[#This Row],[FechaRecepcion]]))</f>
        <v>octubre 2026</v>
      </c>
      <c r="U472">
        <f>IF(SCTR_Brokers[[#This Row],[Estado]]="FINALIZADO",1,0)</f>
        <v>1</v>
      </c>
      <c r="V472">
        <f>IF(SCTR_Brokers[[#This Row],[FechaRecepcion]]="","",IF(SCTR_Brokers[[#This Row],[Estado]]="FINALIZADO",0,1))</f>
        <v>0</v>
      </c>
      <c r="W472">
        <f ca="1">IF(AND(SCTR_Brokers[[#This Row],[Estado]]="FINALIZADO",SCTR_Brokers[[#This Row],[Plazo]]=LISTAS!$J$3),1,0)</f>
        <v>1</v>
      </c>
      <c r="X472">
        <f ca="1">IF(AND(SCTR_Brokers[[#This Row],[Estado]]="FINALIZADO",SCTR_Brokers[[#This Row],[Plazo]]=LISTAS!$J$4),1,0)</f>
        <v>0</v>
      </c>
      <c r="Y472">
        <f ca="1">IF(AND(SCTR_Brokers[[#This Row],[Estado]]&lt;&gt;"FINALIZADO",SCTR_Brokers[[#This Row],[Plazo]]=LISTAS!$J$4),1,0)</f>
        <v>0</v>
      </c>
      <c r="Z472">
        <f>IF(SCTR_Brokers[[#This Row],[Fecha_Solic_Informe]]="",0,1)</f>
        <v>1</v>
      </c>
      <c r="AA472">
        <f>IF(SCTR_Brokers[[#This Row],[Fecha_Informe]]="",0,1)</f>
        <v>1</v>
      </c>
      <c r="AB472">
        <f>IF(AND(SCTR_Brokers[[#This Row],[Fecha_Solic_Informe]]&lt;&gt;"",SCTR_Brokers[[#This Row],[Fecha_Informe]]=""),1,0)</f>
        <v>0</v>
      </c>
      <c r="AC472">
        <f>IF(AND(SCTR_Brokers[[#This Row],[Fecha_Solic_Informe]]&lt;&gt;"",SCTR_Brokers[[#This Row],[Fecha_Informe]]&lt;&gt;""),ROUND((SCTR_Brokers[[#This Row],[Fecha_Informe]]-SCTR_Brokers[[#This Row],[Fecha_Solic_Informe]])*24,1),"")</f>
        <v>0.5</v>
      </c>
    </row>
    <row r="473" spans="1:29" hidden="1">
      <c r="A473" t="s">
        <v>1037</v>
      </c>
      <c r="C473" t="str">
        <f>IF(SCTR_Brokers[[#This Row],[FechaRecepcion]]="","",SCTR_Brokers[[#This Row],[ConversationId]]&amp;"-"&amp;TEXT(SCTR_Brokers[[#This Row],[FechaRecepcion]],"aaaammddhhmmss"))</f>
        <v>AAQkADdkNThjNzFkLWM0ZmMtNDJhYS04MDVlLTIwNzE4ZDI1Mzg4YgAQAKH122_ffbBHpsqgv1S748M=-20261006203715</v>
      </c>
      <c r="D473" s="16" t="s">
        <v>1038</v>
      </c>
      <c r="E473" t="s">
        <v>21</v>
      </c>
      <c r="F473" s="3">
        <v>46301.859201388892</v>
      </c>
      <c r="G473" s="3">
        <v>46302.403865740744</v>
      </c>
      <c r="H473" t="s">
        <v>217</v>
      </c>
      <c r="I473" t="s">
        <v>7</v>
      </c>
      <c r="J473" t="s">
        <v>1039</v>
      </c>
      <c r="K473" t="s">
        <v>67</v>
      </c>
      <c r="L473" s="10"/>
      <c r="M473" t="s">
        <v>16</v>
      </c>
      <c r="N47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73" s="3"/>
      <c r="P473" s="3">
        <v>46302.377118055556</v>
      </c>
      <c r="Q473" s="3">
        <v>46302.377118055556</v>
      </c>
      <c r="R47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73" t="str">
        <f>IF(SCTR_Brokers[[#This Row],[FechaRecepcion]]="","",TEXT(SCTR_Brokers[[#This Row],[FechaRecepcion]],"mmmm")&amp;" "&amp;YEAR(SCTR_Brokers[[#This Row],[FechaRecepcion]]))</f>
        <v>octubre 2026</v>
      </c>
      <c r="U473">
        <f>IF(SCTR_Brokers[[#This Row],[Estado]]="FINALIZADO",1,0)</f>
        <v>1</v>
      </c>
      <c r="V473">
        <f>IF(SCTR_Brokers[[#This Row],[FechaRecepcion]]="","",IF(SCTR_Brokers[[#This Row],[Estado]]="FINALIZADO",0,1))</f>
        <v>0</v>
      </c>
      <c r="W473">
        <f ca="1">IF(AND(SCTR_Brokers[[#This Row],[Estado]]="FINALIZADO",SCTR_Brokers[[#This Row],[Plazo]]=LISTAS!$J$3),1,0)</f>
        <v>1</v>
      </c>
      <c r="X473">
        <f ca="1">IF(AND(SCTR_Brokers[[#This Row],[Estado]]="FINALIZADO",SCTR_Brokers[[#This Row],[Plazo]]=LISTAS!$J$4),1,0)</f>
        <v>0</v>
      </c>
      <c r="Y473">
        <f ca="1">IF(AND(SCTR_Brokers[[#This Row],[Estado]]&lt;&gt;"FINALIZADO",SCTR_Brokers[[#This Row],[Plazo]]=LISTAS!$J$4),1,0)</f>
        <v>0</v>
      </c>
      <c r="Z473">
        <f>IF(SCTR_Brokers[[#This Row],[Fecha_Solic_Informe]]="",0,1)</f>
        <v>0</v>
      </c>
      <c r="AA473">
        <f>IF(SCTR_Brokers[[#This Row],[Fecha_Informe]]="",0,1)</f>
        <v>1</v>
      </c>
      <c r="AB473">
        <f>IF(AND(SCTR_Brokers[[#This Row],[Fecha_Solic_Informe]]&lt;&gt;"",SCTR_Brokers[[#This Row],[Fecha_Informe]]=""),1,0)</f>
        <v>0</v>
      </c>
      <c r="AC47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74" spans="1:29" hidden="1">
      <c r="A474" t="s">
        <v>1040</v>
      </c>
      <c r="C474" t="str">
        <f>IF(SCTR_Brokers[[#This Row],[FechaRecepcion]]="","",SCTR_Brokers[[#This Row],[ConversationId]]&amp;"-"&amp;TEXT(SCTR_Brokers[[#This Row],[FechaRecepcion]],"aaaammddhhmmss"))</f>
        <v>AAQkADdkNThjNzFkLWM0ZmMtNDJhYS04MDVlLTIwNzE4ZDI1Mzg4YgAQAEGXB6sKVF1Bk8TfFfZQrtw=-20261007071025</v>
      </c>
      <c r="D474" s="16" t="s">
        <v>1041</v>
      </c>
      <c r="E474" t="s">
        <v>21</v>
      </c>
      <c r="F474" s="3">
        <v>46302.298900462964</v>
      </c>
      <c r="G474" s="3">
        <v>46302.667615740742</v>
      </c>
      <c r="H474" t="s">
        <v>70</v>
      </c>
      <c r="I474" t="s">
        <v>7</v>
      </c>
      <c r="K474" t="s">
        <v>67</v>
      </c>
      <c r="L474" s="10"/>
      <c r="N47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74" s="3"/>
      <c r="P474" s="3"/>
      <c r="Q474" s="3">
        <v>46302.667615740742</v>
      </c>
      <c r="R47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474" t="str">
        <f>IF(SCTR_Brokers[[#This Row],[FechaRecepcion]]="","",TEXT(SCTR_Brokers[[#This Row],[FechaRecepcion]],"mmmm")&amp;" "&amp;YEAR(SCTR_Brokers[[#This Row],[FechaRecepcion]]))</f>
        <v>octubre 2026</v>
      </c>
      <c r="U474">
        <f>IF(SCTR_Brokers[[#This Row],[Estado]]="FINALIZADO",1,0)</f>
        <v>1</v>
      </c>
      <c r="V474">
        <f>IF(SCTR_Brokers[[#This Row],[FechaRecepcion]]="","",IF(SCTR_Brokers[[#This Row],[Estado]]="FINALIZADO",0,1))</f>
        <v>0</v>
      </c>
      <c r="W474">
        <f ca="1">IF(AND(SCTR_Brokers[[#This Row],[Estado]]="FINALIZADO",SCTR_Brokers[[#This Row],[Plazo]]=LISTAS!$J$3),1,0)</f>
        <v>0</v>
      </c>
      <c r="X474">
        <f ca="1">IF(AND(SCTR_Brokers[[#This Row],[Estado]]="FINALIZADO",SCTR_Brokers[[#This Row],[Plazo]]=LISTAS!$J$4),1,0)</f>
        <v>1</v>
      </c>
      <c r="Y474">
        <f ca="1">IF(AND(SCTR_Brokers[[#This Row],[Estado]]&lt;&gt;"FINALIZADO",SCTR_Brokers[[#This Row],[Plazo]]=LISTAS!$J$4),1,0)</f>
        <v>0</v>
      </c>
      <c r="Z474">
        <f>IF(SCTR_Brokers[[#This Row],[Fecha_Solic_Informe]]="",0,1)</f>
        <v>0</v>
      </c>
      <c r="AA474">
        <f>IF(SCTR_Brokers[[#This Row],[Fecha_Informe]]="",0,1)</f>
        <v>0</v>
      </c>
      <c r="AB474">
        <f>IF(AND(SCTR_Brokers[[#This Row],[Fecha_Solic_Informe]]&lt;&gt;"",SCTR_Brokers[[#This Row],[Fecha_Informe]]=""),1,0)</f>
        <v>0</v>
      </c>
      <c r="AC47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75" spans="1:29" hidden="1">
      <c r="A475" t="s">
        <v>1042</v>
      </c>
      <c r="C475" t="str">
        <f>IF(SCTR_Brokers[[#This Row],[FechaRecepcion]]="","",SCTR_Brokers[[#This Row],[ConversationId]]&amp;"-"&amp;TEXT(SCTR_Brokers[[#This Row],[FechaRecepcion]],"aaaammddhhmmss"))</f>
        <v>AAQkADdkNThjNzFkLWM0ZmMtNDJhYS04MDVlLTIwNzE4ZDI1Mzg4YgAQAAN7Z7f_SL5PqUH_zdcoMew=-20261007100154</v>
      </c>
      <c r="D475" s="16" t="s">
        <v>1043</v>
      </c>
      <c r="E475" t="s">
        <v>23</v>
      </c>
      <c r="F475" s="3">
        <v>46302.417986111112</v>
      </c>
      <c r="G475" s="3">
        <v>46302.488206018519</v>
      </c>
      <c r="H475" t="s">
        <v>70</v>
      </c>
      <c r="I475" t="s">
        <v>7</v>
      </c>
      <c r="K475" t="s">
        <v>67</v>
      </c>
      <c r="L475" s="10"/>
      <c r="N47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75" s="3"/>
      <c r="P475" s="3"/>
      <c r="Q475" s="3">
        <v>46302.488206018519</v>
      </c>
      <c r="R47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75" t="str">
        <f>IF(SCTR_Brokers[[#This Row],[FechaRecepcion]]="","",TEXT(SCTR_Brokers[[#This Row],[FechaRecepcion]],"mmmm")&amp;" "&amp;YEAR(SCTR_Brokers[[#This Row],[FechaRecepcion]]))</f>
        <v>octubre 2026</v>
      </c>
      <c r="U475">
        <f>IF(SCTR_Brokers[[#This Row],[Estado]]="FINALIZADO",1,0)</f>
        <v>1</v>
      </c>
      <c r="V475">
        <f>IF(SCTR_Brokers[[#This Row],[FechaRecepcion]]="","",IF(SCTR_Brokers[[#This Row],[Estado]]="FINALIZADO",0,1))</f>
        <v>0</v>
      </c>
      <c r="W475">
        <f ca="1">IF(AND(SCTR_Brokers[[#This Row],[Estado]]="FINALIZADO",SCTR_Brokers[[#This Row],[Plazo]]=LISTAS!$J$3),1,0)</f>
        <v>1</v>
      </c>
      <c r="X475">
        <f ca="1">IF(AND(SCTR_Brokers[[#This Row],[Estado]]="FINALIZADO",SCTR_Brokers[[#This Row],[Plazo]]=LISTAS!$J$4),1,0)</f>
        <v>0</v>
      </c>
      <c r="Y475">
        <f ca="1">IF(AND(SCTR_Brokers[[#This Row],[Estado]]&lt;&gt;"FINALIZADO",SCTR_Brokers[[#This Row],[Plazo]]=LISTAS!$J$4),1,0)</f>
        <v>0</v>
      </c>
      <c r="Z475">
        <f>IF(SCTR_Brokers[[#This Row],[Fecha_Solic_Informe]]="",0,1)</f>
        <v>0</v>
      </c>
      <c r="AA475">
        <f>IF(SCTR_Brokers[[#This Row],[Fecha_Informe]]="",0,1)</f>
        <v>0</v>
      </c>
      <c r="AB475">
        <f>IF(AND(SCTR_Brokers[[#This Row],[Fecha_Solic_Informe]]&lt;&gt;"",SCTR_Brokers[[#This Row],[Fecha_Informe]]=""),1,0)</f>
        <v>0</v>
      </c>
      <c r="AC47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76" spans="1:29" hidden="1">
      <c r="A476" t="s">
        <v>1044</v>
      </c>
      <c r="C476" t="str">
        <f>IF(SCTR_Brokers[[#This Row],[FechaRecepcion]]="","",SCTR_Brokers[[#This Row],[ConversationId]]&amp;"-"&amp;TEXT(SCTR_Brokers[[#This Row],[FechaRecepcion]],"aaaammddhhmmss"))</f>
        <v>AAQkADdkNThjNzFkLWM0ZmMtNDJhYS04MDVlLTIwNzE4ZDI1Mzg4YgAQANv-StynO7lIj13Og5P3Tjw=-20261007101347</v>
      </c>
      <c r="D476" s="16" t="s">
        <v>1045</v>
      </c>
      <c r="E476" t="s">
        <v>8</v>
      </c>
      <c r="F476" s="3">
        <v>46302.426238425927</v>
      </c>
      <c r="G476" s="3">
        <v>46302.490694444445</v>
      </c>
      <c r="H476" t="s">
        <v>70</v>
      </c>
      <c r="I476" t="s">
        <v>7</v>
      </c>
      <c r="K476" t="s">
        <v>67</v>
      </c>
      <c r="L476" s="10"/>
      <c r="N47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76" s="3"/>
      <c r="P476" s="3"/>
      <c r="Q476" s="3">
        <v>46302.490694444445</v>
      </c>
      <c r="R47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76" t="str">
        <f>IF(SCTR_Brokers[[#This Row],[FechaRecepcion]]="","",TEXT(SCTR_Brokers[[#This Row],[FechaRecepcion]],"mmmm")&amp;" "&amp;YEAR(SCTR_Brokers[[#This Row],[FechaRecepcion]]))</f>
        <v>octubre 2026</v>
      </c>
      <c r="U476">
        <f>IF(SCTR_Brokers[[#This Row],[Estado]]="FINALIZADO",1,0)</f>
        <v>1</v>
      </c>
      <c r="V476">
        <f>IF(SCTR_Brokers[[#This Row],[FechaRecepcion]]="","",IF(SCTR_Brokers[[#This Row],[Estado]]="FINALIZADO",0,1))</f>
        <v>0</v>
      </c>
      <c r="W476">
        <f ca="1">IF(AND(SCTR_Brokers[[#This Row],[Estado]]="FINALIZADO",SCTR_Brokers[[#This Row],[Plazo]]=LISTAS!$J$3),1,0)</f>
        <v>1</v>
      </c>
      <c r="X476">
        <f ca="1">IF(AND(SCTR_Brokers[[#This Row],[Estado]]="FINALIZADO",SCTR_Brokers[[#This Row],[Plazo]]=LISTAS!$J$4),1,0)</f>
        <v>0</v>
      </c>
      <c r="Y476">
        <f ca="1">IF(AND(SCTR_Brokers[[#This Row],[Estado]]&lt;&gt;"FINALIZADO",SCTR_Brokers[[#This Row],[Plazo]]=LISTAS!$J$4),1,0)</f>
        <v>0</v>
      </c>
      <c r="Z476">
        <f>IF(SCTR_Brokers[[#This Row],[Fecha_Solic_Informe]]="",0,1)</f>
        <v>0</v>
      </c>
      <c r="AA476">
        <f>IF(SCTR_Brokers[[#This Row],[Fecha_Informe]]="",0,1)</f>
        <v>0</v>
      </c>
      <c r="AB476">
        <f>IF(AND(SCTR_Brokers[[#This Row],[Fecha_Solic_Informe]]&lt;&gt;"",SCTR_Brokers[[#This Row],[Fecha_Informe]]=""),1,0)</f>
        <v>0</v>
      </c>
      <c r="AC47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77" spans="1:29" hidden="1">
      <c r="A477" t="s">
        <v>1046</v>
      </c>
      <c r="C477" t="str">
        <f>IF(SCTR_Brokers[[#This Row],[FechaRecepcion]]="","",SCTR_Brokers[[#This Row],[ConversationId]]&amp;"-"&amp;TEXT(SCTR_Brokers[[#This Row],[FechaRecepcion]],"aaaammddhhmmss"))</f>
        <v>AAQkADdkNThjNzFkLWM0ZmMtNDJhYS04MDVlLTIwNzE4ZDI1Mzg4YgAQAPfbzS4oO0hJjyBaayt23rA=-20261007102518</v>
      </c>
      <c r="D477" s="16" t="s">
        <v>1047</v>
      </c>
      <c r="E477" t="s">
        <v>8</v>
      </c>
      <c r="F477" s="3">
        <v>46302.434236111112</v>
      </c>
      <c r="G477" s="3">
        <v>46302.434236111112</v>
      </c>
      <c r="H477" t="s">
        <v>1048</v>
      </c>
      <c r="I477" t="s">
        <v>7</v>
      </c>
      <c r="K477" t="s">
        <v>67</v>
      </c>
      <c r="L477" s="10"/>
      <c r="N47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77" s="3"/>
      <c r="P477" s="3"/>
      <c r="Q477" s="3">
        <v>46302.386365740742</v>
      </c>
      <c r="R47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77" t="str">
        <f>IF(SCTR_Brokers[[#This Row],[FechaRecepcion]]="","",TEXT(SCTR_Brokers[[#This Row],[FechaRecepcion]],"mmmm")&amp;" "&amp;YEAR(SCTR_Brokers[[#This Row],[FechaRecepcion]]))</f>
        <v>octubre 2026</v>
      </c>
      <c r="U477">
        <f>IF(SCTR_Brokers[[#This Row],[Estado]]="FINALIZADO",1,0)</f>
        <v>1</v>
      </c>
      <c r="V477">
        <f>IF(SCTR_Brokers[[#This Row],[FechaRecepcion]]="","",IF(SCTR_Brokers[[#This Row],[Estado]]="FINALIZADO",0,1))</f>
        <v>0</v>
      </c>
      <c r="W477">
        <f ca="1">IF(AND(SCTR_Brokers[[#This Row],[Estado]]="FINALIZADO",SCTR_Brokers[[#This Row],[Plazo]]=LISTAS!$J$3),1,0)</f>
        <v>1</v>
      </c>
      <c r="X477">
        <f ca="1">IF(AND(SCTR_Brokers[[#This Row],[Estado]]="FINALIZADO",SCTR_Brokers[[#This Row],[Plazo]]=LISTAS!$J$4),1,0)</f>
        <v>0</v>
      </c>
      <c r="Y477">
        <f ca="1">IF(AND(SCTR_Brokers[[#This Row],[Estado]]&lt;&gt;"FINALIZADO",SCTR_Brokers[[#This Row],[Plazo]]=LISTAS!$J$4),1,0)</f>
        <v>0</v>
      </c>
      <c r="Z477">
        <f>IF(SCTR_Brokers[[#This Row],[Fecha_Solic_Informe]]="",0,1)</f>
        <v>0</v>
      </c>
      <c r="AA477">
        <f>IF(SCTR_Brokers[[#This Row],[Fecha_Informe]]="",0,1)</f>
        <v>0</v>
      </c>
      <c r="AB477">
        <f>IF(AND(SCTR_Brokers[[#This Row],[Fecha_Solic_Informe]]&lt;&gt;"",SCTR_Brokers[[#This Row],[Fecha_Informe]]=""),1,0)</f>
        <v>0</v>
      </c>
      <c r="AC47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78" spans="1:29" hidden="1">
      <c r="A478" t="s">
        <v>1026</v>
      </c>
      <c r="C478" t="str">
        <f>IF(SCTR_Brokers[[#This Row],[FechaRecepcion]]="","",SCTR_Brokers[[#This Row],[ConversationId]]&amp;"-"&amp;TEXT(SCTR_Brokers[[#This Row],[FechaRecepcion]],"aaaammddhhmmss"))</f>
        <v>AAQkADdkNThjNzFkLWM0ZmMtNDJhYS04MDVlLTIwNzE4ZDI1Mzg4YgAQACBIUKMBk3tEuw6Nv5_qRaw=-20261007104019</v>
      </c>
      <c r="D478" s="16" t="s">
        <v>1049</v>
      </c>
      <c r="E478" t="s">
        <v>21</v>
      </c>
      <c r="F478" s="3">
        <v>46302.444664351853</v>
      </c>
      <c r="G478" s="3">
        <v>46302.491759259261</v>
      </c>
      <c r="H478" t="s">
        <v>70</v>
      </c>
      <c r="I478" t="s">
        <v>7</v>
      </c>
      <c r="K478" t="s">
        <v>67</v>
      </c>
      <c r="L478" s="10"/>
      <c r="N47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78" s="3"/>
      <c r="P478" s="3"/>
      <c r="Q478" s="3">
        <v>46302.491759259261</v>
      </c>
      <c r="R47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78" t="str">
        <f>IF(SCTR_Brokers[[#This Row],[FechaRecepcion]]="","",TEXT(SCTR_Brokers[[#This Row],[FechaRecepcion]],"mmmm")&amp;" "&amp;YEAR(SCTR_Brokers[[#This Row],[FechaRecepcion]]))</f>
        <v>octubre 2026</v>
      </c>
      <c r="U478">
        <f>IF(SCTR_Brokers[[#This Row],[Estado]]="FINALIZADO",1,0)</f>
        <v>1</v>
      </c>
      <c r="V478">
        <f>IF(SCTR_Brokers[[#This Row],[FechaRecepcion]]="","",IF(SCTR_Brokers[[#This Row],[Estado]]="FINALIZADO",0,1))</f>
        <v>0</v>
      </c>
      <c r="W478">
        <f ca="1">IF(AND(SCTR_Brokers[[#This Row],[Estado]]="FINALIZADO",SCTR_Brokers[[#This Row],[Plazo]]=LISTAS!$J$3),1,0)</f>
        <v>1</v>
      </c>
      <c r="X478">
        <f ca="1">IF(AND(SCTR_Brokers[[#This Row],[Estado]]="FINALIZADO",SCTR_Brokers[[#This Row],[Plazo]]=LISTAS!$J$4),1,0)</f>
        <v>0</v>
      </c>
      <c r="Y478">
        <f ca="1">IF(AND(SCTR_Brokers[[#This Row],[Estado]]&lt;&gt;"FINALIZADO",SCTR_Brokers[[#This Row],[Plazo]]=LISTAS!$J$4),1,0)</f>
        <v>0</v>
      </c>
      <c r="Z478">
        <f>IF(SCTR_Brokers[[#This Row],[Fecha_Solic_Informe]]="",0,1)</f>
        <v>0</v>
      </c>
      <c r="AA478">
        <f>IF(SCTR_Brokers[[#This Row],[Fecha_Informe]]="",0,1)</f>
        <v>0</v>
      </c>
      <c r="AB478">
        <f>IF(AND(SCTR_Brokers[[#This Row],[Fecha_Solic_Informe]]&lt;&gt;"",SCTR_Brokers[[#This Row],[Fecha_Informe]]=""),1,0)</f>
        <v>0</v>
      </c>
      <c r="AC47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79" spans="1:29" hidden="1">
      <c r="A479" t="s">
        <v>1002</v>
      </c>
      <c r="C479" t="str">
        <f>IF(SCTR_Brokers[[#This Row],[FechaRecepcion]]="","",SCTR_Brokers[[#This Row],[ConversationId]]&amp;"-"&amp;TEXT(SCTR_Brokers[[#This Row],[FechaRecepcion]],"aaaammddhhmmss"))</f>
        <v>AAQkADdkNThjNzFkLWM0ZmMtNDJhYS04MDVlLTIwNzE4ZDI1Mzg4YgAQAHXmVaCFOkMrsiJd5rnyMxE=-20261007112442</v>
      </c>
      <c r="D479" s="16" t="s">
        <v>1003</v>
      </c>
      <c r="E479" t="s">
        <v>21</v>
      </c>
      <c r="F479" s="3">
        <v>46302.475486111114</v>
      </c>
      <c r="G479" s="3">
        <v>46302.643425925926</v>
      </c>
      <c r="H479" t="s">
        <v>1050</v>
      </c>
      <c r="I479" t="s">
        <v>7</v>
      </c>
      <c r="K479" t="s">
        <v>67</v>
      </c>
      <c r="L479" s="10"/>
      <c r="N47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79" s="3"/>
      <c r="P479" s="3"/>
      <c r="Q479" s="3">
        <v>46302.643425925926</v>
      </c>
      <c r="R47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79" t="str">
        <f>IF(SCTR_Brokers[[#This Row],[FechaRecepcion]]="","",TEXT(SCTR_Brokers[[#This Row],[FechaRecepcion]],"mmmm")&amp;" "&amp;YEAR(SCTR_Brokers[[#This Row],[FechaRecepcion]]))</f>
        <v>octubre 2026</v>
      </c>
      <c r="U479">
        <f>IF(SCTR_Brokers[[#This Row],[Estado]]="FINALIZADO",1,0)</f>
        <v>1</v>
      </c>
      <c r="V479">
        <f>IF(SCTR_Brokers[[#This Row],[FechaRecepcion]]="","",IF(SCTR_Brokers[[#This Row],[Estado]]="FINALIZADO",0,1))</f>
        <v>0</v>
      </c>
      <c r="W479">
        <f ca="1">IF(AND(SCTR_Brokers[[#This Row],[Estado]]="FINALIZADO",SCTR_Brokers[[#This Row],[Plazo]]=LISTAS!$J$3),1,0)</f>
        <v>1</v>
      </c>
      <c r="X479">
        <f ca="1">IF(AND(SCTR_Brokers[[#This Row],[Estado]]="FINALIZADO",SCTR_Brokers[[#This Row],[Plazo]]=LISTAS!$J$4),1,0)</f>
        <v>0</v>
      </c>
      <c r="Y479">
        <f ca="1">IF(AND(SCTR_Brokers[[#This Row],[Estado]]&lt;&gt;"FINALIZADO",SCTR_Brokers[[#This Row],[Plazo]]=LISTAS!$J$4),1,0)</f>
        <v>0</v>
      </c>
      <c r="Z479">
        <f>IF(SCTR_Brokers[[#This Row],[Fecha_Solic_Informe]]="",0,1)</f>
        <v>0</v>
      </c>
      <c r="AA479">
        <f>IF(SCTR_Brokers[[#This Row],[Fecha_Informe]]="",0,1)</f>
        <v>0</v>
      </c>
      <c r="AB479">
        <f>IF(AND(SCTR_Brokers[[#This Row],[Fecha_Solic_Informe]]&lt;&gt;"",SCTR_Brokers[[#This Row],[Fecha_Informe]]=""),1,0)</f>
        <v>0</v>
      </c>
      <c r="AC47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80" spans="1:29">
      <c r="A480" t="s">
        <v>82</v>
      </c>
      <c r="C480" t="str">
        <f>IF(SCTR_Brokers[[#This Row],[FechaRecepcion]]="","",SCTR_Brokers[[#This Row],[ConversationId]]&amp;"-"&amp;TEXT(SCTR_Brokers[[#This Row],[FechaRecepcion]],"aaaammddhhmmss"))</f>
        <v>AAQkADdkNThjNzFkLWM0ZmMtNDJhYS04MDVlLTIwNzE4ZDI1Mzg4YgAQAEvkGJ0JTE4hpm6yW1eczK8=-20261007112932</v>
      </c>
      <c r="D480" s="16" t="s">
        <v>419</v>
      </c>
      <c r="E480" t="s">
        <v>20</v>
      </c>
      <c r="F480" s="3">
        <v>46302.478842592594</v>
      </c>
      <c r="G480" s="3">
        <v>46302.510787037034</v>
      </c>
      <c r="H480" t="s">
        <v>546</v>
      </c>
      <c r="K480" t="s">
        <v>67</v>
      </c>
      <c r="L480" s="10"/>
      <c r="N480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>23.2</v>
      </c>
      <c r="O480" s="3"/>
      <c r="P480" s="3"/>
      <c r="Q480" s="3"/>
      <c r="R48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480" t="str">
        <f>IF(SCTR_Brokers[[#This Row],[FechaRecepcion]]="","",TEXT(SCTR_Brokers[[#This Row],[FechaRecepcion]],"mmmm")&amp;" "&amp;YEAR(SCTR_Brokers[[#This Row],[FechaRecepcion]]))</f>
        <v>octubre 2026</v>
      </c>
      <c r="U480">
        <f>IF(SCTR_Brokers[[#This Row],[Estado]]="FINALIZADO",1,0)</f>
        <v>0</v>
      </c>
      <c r="V480">
        <f>IF(SCTR_Brokers[[#This Row],[FechaRecepcion]]="","",IF(SCTR_Brokers[[#This Row],[Estado]]="FINALIZADO",0,1))</f>
        <v>1</v>
      </c>
      <c r="W480">
        <f ca="1">IF(AND(SCTR_Brokers[[#This Row],[Estado]]="FINALIZADO",SCTR_Brokers[[#This Row],[Plazo]]=LISTAS!$J$3),1,0)</f>
        <v>0</v>
      </c>
      <c r="X480">
        <f ca="1">IF(AND(SCTR_Brokers[[#This Row],[Estado]]="FINALIZADO",SCTR_Brokers[[#This Row],[Plazo]]=LISTAS!$J$4),1,0)</f>
        <v>0</v>
      </c>
      <c r="Y480">
        <f ca="1">IF(AND(SCTR_Brokers[[#This Row],[Estado]]&lt;&gt;"FINALIZADO",SCTR_Brokers[[#This Row],[Plazo]]=LISTAS!$J$4),1,0)</f>
        <v>1</v>
      </c>
      <c r="Z480">
        <f>IF(SCTR_Brokers[[#This Row],[Fecha_Solic_Informe]]="",0,1)</f>
        <v>0</v>
      </c>
      <c r="AA480">
        <f>IF(SCTR_Brokers[[#This Row],[Fecha_Informe]]="",0,1)</f>
        <v>0</v>
      </c>
      <c r="AB480">
        <f>IF(AND(SCTR_Brokers[[#This Row],[Fecha_Solic_Informe]]&lt;&gt;"",SCTR_Brokers[[#This Row],[Fecha_Informe]]=""),1,0)</f>
        <v>0</v>
      </c>
      <c r="AC48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81" spans="1:29" hidden="1">
      <c r="A481" t="s">
        <v>902</v>
      </c>
      <c r="C481" t="str">
        <f>IF(SCTR_Brokers[[#This Row],[FechaRecepcion]]="","",SCTR_Brokers[[#This Row],[ConversationId]]&amp;"-"&amp;TEXT(SCTR_Brokers[[#This Row],[FechaRecepcion]],"aaaammddhhmmss"))</f>
        <v>AAQkADdkNThjNzFkLWM0ZmMtNDJhYS04MDVlLTIwNzE4ZDI1Mzg4YgAQADKRzaproHlBv2rJXDHWTnQ=-20261007120227</v>
      </c>
      <c r="D481" s="16" t="s">
        <v>946</v>
      </c>
      <c r="E481" t="s">
        <v>21</v>
      </c>
      <c r="F481" s="3">
        <v>46302.501701388886</v>
      </c>
      <c r="G481" s="3">
        <v>46302.697893518518</v>
      </c>
      <c r="H481" t="s">
        <v>70</v>
      </c>
      <c r="I481" t="s">
        <v>7</v>
      </c>
      <c r="K481" t="s">
        <v>67</v>
      </c>
      <c r="L481" s="10"/>
      <c r="N48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81" s="3"/>
      <c r="P481" s="3"/>
      <c r="Q481" s="3">
        <v>46302.697893518518</v>
      </c>
      <c r="R48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81" t="str">
        <f>IF(SCTR_Brokers[[#This Row],[FechaRecepcion]]="","",TEXT(SCTR_Brokers[[#This Row],[FechaRecepcion]],"mmmm")&amp;" "&amp;YEAR(SCTR_Brokers[[#This Row],[FechaRecepcion]]))</f>
        <v>octubre 2026</v>
      </c>
      <c r="U481">
        <f>IF(SCTR_Brokers[[#This Row],[Estado]]="FINALIZADO",1,0)</f>
        <v>1</v>
      </c>
      <c r="V481">
        <f>IF(SCTR_Brokers[[#This Row],[FechaRecepcion]]="","",IF(SCTR_Brokers[[#This Row],[Estado]]="FINALIZADO",0,1))</f>
        <v>0</v>
      </c>
      <c r="W481">
        <f ca="1">IF(AND(SCTR_Brokers[[#This Row],[Estado]]="FINALIZADO",SCTR_Brokers[[#This Row],[Plazo]]=LISTAS!$J$3),1,0)</f>
        <v>1</v>
      </c>
      <c r="X481">
        <f ca="1">IF(AND(SCTR_Brokers[[#This Row],[Estado]]="FINALIZADO",SCTR_Brokers[[#This Row],[Plazo]]=LISTAS!$J$4),1,0)</f>
        <v>0</v>
      </c>
      <c r="Y481">
        <f ca="1">IF(AND(SCTR_Brokers[[#This Row],[Estado]]&lt;&gt;"FINALIZADO",SCTR_Brokers[[#This Row],[Plazo]]=LISTAS!$J$4),1,0)</f>
        <v>0</v>
      </c>
      <c r="Z481">
        <f>IF(SCTR_Brokers[[#This Row],[Fecha_Solic_Informe]]="",0,1)</f>
        <v>0</v>
      </c>
      <c r="AA481">
        <f>IF(SCTR_Brokers[[#This Row],[Fecha_Informe]]="",0,1)</f>
        <v>0</v>
      </c>
      <c r="AB481">
        <f>IF(AND(SCTR_Brokers[[#This Row],[Fecha_Solic_Informe]]&lt;&gt;"",SCTR_Brokers[[#This Row],[Fecha_Informe]]=""),1,0)</f>
        <v>0</v>
      </c>
      <c r="AC48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82" spans="1:29" hidden="1">
      <c r="A482" t="s">
        <v>1051</v>
      </c>
      <c r="C482" t="str">
        <f>IF(SCTR_Brokers[[#This Row],[FechaRecepcion]]="","",SCTR_Brokers[[#This Row],[ConversationId]]&amp;"-"&amp;TEXT(SCTR_Brokers[[#This Row],[FechaRecepcion]],"aaaammddhhmmss"))</f>
        <v>AAQkADdkNThjNzFkLWM0ZmMtNDJhYS04MDVlLTIwNzE4ZDI1Mzg4YgAQAGPfT3Du0IJPvAfVhrwLCq0=-20261007121940</v>
      </c>
      <c r="D482" s="16" t="s">
        <v>1052</v>
      </c>
      <c r="E482" t="s">
        <v>21</v>
      </c>
      <c r="F482" s="3">
        <v>46302.513657407406</v>
      </c>
      <c r="G482" s="3">
        <v>46302.638275462959</v>
      </c>
      <c r="H482" t="s">
        <v>70</v>
      </c>
      <c r="I482" t="s">
        <v>7</v>
      </c>
      <c r="K482" t="s">
        <v>67</v>
      </c>
      <c r="L482" s="10"/>
      <c r="N48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82" s="3"/>
      <c r="P482" s="3"/>
      <c r="Q482" s="3">
        <v>46302.638275462959</v>
      </c>
      <c r="R48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82" t="str">
        <f>IF(SCTR_Brokers[[#This Row],[FechaRecepcion]]="","",TEXT(SCTR_Brokers[[#This Row],[FechaRecepcion]],"mmmm")&amp;" "&amp;YEAR(SCTR_Brokers[[#This Row],[FechaRecepcion]]))</f>
        <v>octubre 2026</v>
      </c>
      <c r="U482">
        <f>IF(SCTR_Brokers[[#This Row],[Estado]]="FINALIZADO",1,0)</f>
        <v>1</v>
      </c>
      <c r="V482">
        <f>IF(SCTR_Brokers[[#This Row],[FechaRecepcion]]="","",IF(SCTR_Brokers[[#This Row],[Estado]]="FINALIZADO",0,1))</f>
        <v>0</v>
      </c>
      <c r="W482">
        <f ca="1">IF(AND(SCTR_Brokers[[#This Row],[Estado]]="FINALIZADO",SCTR_Brokers[[#This Row],[Plazo]]=LISTAS!$J$3),1,0)</f>
        <v>1</v>
      </c>
      <c r="X482">
        <f ca="1">IF(AND(SCTR_Brokers[[#This Row],[Estado]]="FINALIZADO",SCTR_Brokers[[#This Row],[Plazo]]=LISTAS!$J$4),1,0)</f>
        <v>0</v>
      </c>
      <c r="Y482">
        <f ca="1">IF(AND(SCTR_Brokers[[#This Row],[Estado]]&lt;&gt;"FINALIZADO",SCTR_Brokers[[#This Row],[Plazo]]=LISTAS!$J$4),1,0)</f>
        <v>0</v>
      </c>
      <c r="Z482">
        <f>IF(SCTR_Brokers[[#This Row],[Fecha_Solic_Informe]]="",0,1)</f>
        <v>0</v>
      </c>
      <c r="AA482">
        <f>IF(SCTR_Brokers[[#This Row],[Fecha_Informe]]="",0,1)</f>
        <v>0</v>
      </c>
      <c r="AB482">
        <f>IF(AND(SCTR_Brokers[[#This Row],[Fecha_Solic_Informe]]&lt;&gt;"",SCTR_Brokers[[#This Row],[Fecha_Informe]]=""),1,0)</f>
        <v>0</v>
      </c>
      <c r="AC48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83" spans="1:29" hidden="1">
      <c r="A483" t="s">
        <v>1053</v>
      </c>
      <c r="C483" t="str">
        <f>IF(SCTR_Brokers[[#This Row],[FechaRecepcion]]="","",SCTR_Brokers[[#This Row],[ConversationId]]&amp;"-"&amp;TEXT(SCTR_Brokers[[#This Row],[FechaRecepcion]],"aaaammddhhmmss"))</f>
        <v>AAQkADdkNThjNzFkLWM0ZmMtNDJhYS04MDVlLTIwNzE4ZDI1Mzg4YgAQABBcO4p8i-xKo3T264eFcgE=-20261007131107</v>
      </c>
      <c r="D483" s="16" t="s">
        <v>1054</v>
      </c>
      <c r="E483" t="s">
        <v>20</v>
      </c>
      <c r="F483" s="3">
        <v>46302.549386574072</v>
      </c>
      <c r="G483" s="3">
        <v>46304.386354166665</v>
      </c>
      <c r="H483" t="s">
        <v>10</v>
      </c>
      <c r="I483" t="s">
        <v>7</v>
      </c>
      <c r="J483" t="s">
        <v>1055</v>
      </c>
      <c r="K483" t="s">
        <v>67</v>
      </c>
      <c r="L483" s="10" t="s">
        <v>1056</v>
      </c>
      <c r="M483" t="s">
        <v>9</v>
      </c>
      <c r="N48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83" s="3">
        <v>46302.666273148148</v>
      </c>
      <c r="P483" s="3">
        <v>46304.386354166665</v>
      </c>
      <c r="Q483" s="3">
        <v>46304.397916666669</v>
      </c>
      <c r="R48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83" t="str">
        <f>IF(SCTR_Brokers[[#This Row],[FechaRecepcion]]="","",TEXT(SCTR_Brokers[[#This Row],[FechaRecepcion]],"mmmm")&amp;" "&amp;YEAR(SCTR_Brokers[[#This Row],[FechaRecepcion]]))</f>
        <v>octubre 2026</v>
      </c>
      <c r="U483">
        <f>IF(SCTR_Brokers[[#This Row],[Estado]]="FINALIZADO",1,0)</f>
        <v>1</v>
      </c>
      <c r="V483">
        <f>IF(SCTR_Brokers[[#This Row],[FechaRecepcion]]="","",IF(SCTR_Brokers[[#This Row],[Estado]]="FINALIZADO",0,1))</f>
        <v>0</v>
      </c>
      <c r="W483">
        <f ca="1">IF(AND(SCTR_Brokers[[#This Row],[Estado]]="FINALIZADO",SCTR_Brokers[[#This Row],[Plazo]]=LISTAS!$J$3),1,0)</f>
        <v>1</v>
      </c>
      <c r="X483">
        <f ca="1">IF(AND(SCTR_Brokers[[#This Row],[Estado]]="FINALIZADO",SCTR_Brokers[[#This Row],[Plazo]]=LISTAS!$J$4),1,0)</f>
        <v>0</v>
      </c>
      <c r="Y483">
        <f ca="1">IF(AND(SCTR_Brokers[[#This Row],[Estado]]&lt;&gt;"FINALIZADO",SCTR_Brokers[[#This Row],[Plazo]]=LISTAS!$J$4),1,0)</f>
        <v>0</v>
      </c>
      <c r="Z483">
        <f>IF(SCTR_Brokers[[#This Row],[Fecha_Solic_Informe]]="",0,1)</f>
        <v>1</v>
      </c>
      <c r="AA483">
        <f>IF(SCTR_Brokers[[#This Row],[Fecha_Informe]]="",0,1)</f>
        <v>1</v>
      </c>
      <c r="AB483">
        <f>IF(AND(SCTR_Brokers[[#This Row],[Fecha_Solic_Informe]]&lt;&gt;"",SCTR_Brokers[[#This Row],[Fecha_Informe]]=""),1,0)</f>
        <v>0</v>
      </c>
      <c r="AC483">
        <f>IF(AND(SCTR_Brokers[[#This Row],[Fecha_Solic_Informe]]&lt;&gt;"",SCTR_Brokers[[#This Row],[Fecha_Informe]]&lt;&gt;""),ROUND((SCTR_Brokers[[#This Row],[Fecha_Informe]]-SCTR_Brokers[[#This Row],[Fecha_Solic_Informe]])*24,1),"")</f>
        <v>41.3</v>
      </c>
    </row>
    <row r="484" spans="1:29" hidden="1">
      <c r="A484" t="s">
        <v>1057</v>
      </c>
      <c r="C484" t="str">
        <f>IF(SCTR_Brokers[[#This Row],[FechaRecepcion]]="","",SCTR_Brokers[[#This Row],[ConversationId]]&amp;"-"&amp;TEXT(SCTR_Brokers[[#This Row],[FechaRecepcion]],"aaaammddhhmmss"))</f>
        <v>AAQkADdkNThjNzFkLWM0ZmMtNDJhYS04MDVlLTIwNzE4ZDI1Mzg4YgAQAPr_TKfrQ0FAl7sePQSmJRM=-20261007144313</v>
      </c>
      <c r="D484" s="16" t="s">
        <v>1058</v>
      </c>
      <c r="E484" t="s">
        <v>14</v>
      </c>
      <c r="F484" s="3">
        <v>46302.613344907404</v>
      </c>
      <c r="G484" s="3">
        <v>46302.753240740742</v>
      </c>
      <c r="H484" t="s">
        <v>176</v>
      </c>
      <c r="I484" t="s">
        <v>7</v>
      </c>
      <c r="J484" t="s">
        <v>1059</v>
      </c>
      <c r="K484" t="s">
        <v>67</v>
      </c>
      <c r="L484" s="10" t="s">
        <v>1060</v>
      </c>
      <c r="M484" t="s">
        <v>16</v>
      </c>
      <c r="N48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84" s="3">
        <v>46302.669791666667</v>
      </c>
      <c r="P484" s="3">
        <v>46302.680949074071</v>
      </c>
      <c r="Q484" s="3">
        <v>46302.753240740742</v>
      </c>
      <c r="R48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84" t="str">
        <f>IF(SCTR_Brokers[[#This Row],[FechaRecepcion]]="","",TEXT(SCTR_Brokers[[#This Row],[FechaRecepcion]],"mmmm")&amp;" "&amp;YEAR(SCTR_Brokers[[#This Row],[FechaRecepcion]]))</f>
        <v>octubre 2026</v>
      </c>
      <c r="U484">
        <f>IF(SCTR_Brokers[[#This Row],[Estado]]="FINALIZADO",1,0)</f>
        <v>1</v>
      </c>
      <c r="V484">
        <f>IF(SCTR_Brokers[[#This Row],[FechaRecepcion]]="","",IF(SCTR_Brokers[[#This Row],[Estado]]="FINALIZADO",0,1))</f>
        <v>0</v>
      </c>
      <c r="W484">
        <f ca="1">IF(AND(SCTR_Brokers[[#This Row],[Estado]]="FINALIZADO",SCTR_Brokers[[#This Row],[Plazo]]=LISTAS!$J$3),1,0)</f>
        <v>1</v>
      </c>
      <c r="X484">
        <f ca="1">IF(AND(SCTR_Brokers[[#This Row],[Estado]]="FINALIZADO",SCTR_Brokers[[#This Row],[Plazo]]=LISTAS!$J$4),1,0)</f>
        <v>0</v>
      </c>
      <c r="Y484">
        <f ca="1">IF(AND(SCTR_Brokers[[#This Row],[Estado]]&lt;&gt;"FINALIZADO",SCTR_Brokers[[#This Row],[Plazo]]=LISTAS!$J$4),1,0)</f>
        <v>0</v>
      </c>
      <c r="Z484">
        <f>IF(SCTR_Brokers[[#This Row],[Fecha_Solic_Informe]]="",0,1)</f>
        <v>1</v>
      </c>
      <c r="AA484">
        <f>IF(SCTR_Brokers[[#This Row],[Fecha_Informe]]="",0,1)</f>
        <v>1</v>
      </c>
      <c r="AB484">
        <f>IF(AND(SCTR_Brokers[[#This Row],[Fecha_Solic_Informe]]&lt;&gt;"",SCTR_Brokers[[#This Row],[Fecha_Informe]]=""),1,0)</f>
        <v>0</v>
      </c>
      <c r="AC484">
        <f>IF(AND(SCTR_Brokers[[#This Row],[Fecha_Solic_Informe]]&lt;&gt;"",SCTR_Brokers[[#This Row],[Fecha_Informe]]&lt;&gt;""),ROUND((SCTR_Brokers[[#This Row],[Fecha_Informe]]-SCTR_Brokers[[#This Row],[Fecha_Solic_Informe]])*24,1),"")</f>
        <v>0.3</v>
      </c>
    </row>
    <row r="485" spans="1:29" hidden="1">
      <c r="A485" t="s">
        <v>1061</v>
      </c>
      <c r="C485" t="str">
        <f>IF(SCTR_Brokers[[#This Row],[FechaRecepcion]]="","",SCTR_Brokers[[#This Row],[ConversationId]]&amp;"-"&amp;TEXT(SCTR_Brokers[[#This Row],[FechaRecepcion]],"aaaammddhhmmss"))</f>
        <v>AAQkADdkNThjNzFkLWM0ZmMtNDJhYS04MDVlLTIwNzE4ZDI1Mzg4YgAQAJEo-4vUFRJGgdZ9BBvRx9s=-20261007151443</v>
      </c>
      <c r="D485" s="16" t="s">
        <v>1062</v>
      </c>
      <c r="E485" t="s">
        <v>21</v>
      </c>
      <c r="F485" s="3">
        <v>46302.63521990741</v>
      </c>
      <c r="G485" s="3">
        <v>46302.673067129632</v>
      </c>
      <c r="H485" t="s">
        <v>70</v>
      </c>
      <c r="I485" t="s">
        <v>7</v>
      </c>
      <c r="K485" t="s">
        <v>67</v>
      </c>
      <c r="L485" s="10"/>
      <c r="N48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85" s="3"/>
      <c r="P485" s="3"/>
      <c r="Q485" s="3">
        <v>46302.673067129632</v>
      </c>
      <c r="R48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85" t="str">
        <f>IF(SCTR_Brokers[[#This Row],[FechaRecepcion]]="","",TEXT(SCTR_Brokers[[#This Row],[FechaRecepcion]],"mmmm")&amp;" "&amp;YEAR(SCTR_Brokers[[#This Row],[FechaRecepcion]]))</f>
        <v>octubre 2026</v>
      </c>
      <c r="U485">
        <f>IF(SCTR_Brokers[[#This Row],[Estado]]="FINALIZADO",1,0)</f>
        <v>1</v>
      </c>
      <c r="V485">
        <f>IF(SCTR_Brokers[[#This Row],[FechaRecepcion]]="","",IF(SCTR_Brokers[[#This Row],[Estado]]="FINALIZADO",0,1))</f>
        <v>0</v>
      </c>
      <c r="W485">
        <f ca="1">IF(AND(SCTR_Brokers[[#This Row],[Estado]]="FINALIZADO",SCTR_Brokers[[#This Row],[Plazo]]=LISTAS!$J$3),1,0)</f>
        <v>1</v>
      </c>
      <c r="X485">
        <f ca="1">IF(AND(SCTR_Brokers[[#This Row],[Estado]]="FINALIZADO",SCTR_Brokers[[#This Row],[Plazo]]=LISTAS!$J$4),1,0)</f>
        <v>0</v>
      </c>
      <c r="Y485">
        <f ca="1">IF(AND(SCTR_Brokers[[#This Row],[Estado]]&lt;&gt;"FINALIZADO",SCTR_Brokers[[#This Row],[Plazo]]=LISTAS!$J$4),1,0)</f>
        <v>0</v>
      </c>
      <c r="Z485">
        <f>IF(SCTR_Brokers[[#This Row],[Fecha_Solic_Informe]]="",0,1)</f>
        <v>0</v>
      </c>
      <c r="AA485">
        <f>IF(SCTR_Brokers[[#This Row],[Fecha_Informe]]="",0,1)</f>
        <v>0</v>
      </c>
      <c r="AB485">
        <f>IF(AND(SCTR_Brokers[[#This Row],[Fecha_Solic_Informe]]&lt;&gt;"",SCTR_Brokers[[#This Row],[Fecha_Informe]]=""),1,0)</f>
        <v>0</v>
      </c>
      <c r="AC48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86" spans="1:29" hidden="1">
      <c r="A486" t="s">
        <v>1063</v>
      </c>
      <c r="C486" t="str">
        <f>IF(SCTR_Brokers[[#This Row],[FechaRecepcion]]="","",SCTR_Brokers[[#This Row],[ConversationId]]&amp;"-"&amp;TEXT(SCTR_Brokers[[#This Row],[FechaRecepcion]],"aaaammddhhmmss"))</f>
        <v>AAQkADdkNThjNzFkLWM0ZmMtNDJhYS04MDVlLTIwNzE4ZDI1Mzg4YgAQAHuX3U1Z0u9Mg94rgXMLoiE=-20261007162535</v>
      </c>
      <c r="D486" s="16" t="s">
        <v>1064</v>
      </c>
      <c r="E486" t="s">
        <v>14</v>
      </c>
      <c r="F486" s="3">
        <v>46302.684432870374</v>
      </c>
      <c r="G486" s="3">
        <v>46304.371770833335</v>
      </c>
      <c r="H486" t="s">
        <v>70</v>
      </c>
      <c r="I486" t="s">
        <v>7</v>
      </c>
      <c r="K486" t="s">
        <v>138</v>
      </c>
      <c r="L486" s="10" t="s">
        <v>1065</v>
      </c>
      <c r="N48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86" s="3">
        <v>46304.371215277781</v>
      </c>
      <c r="P486" s="3"/>
      <c r="Q486" s="3">
        <v>46304.371770833335</v>
      </c>
      <c r="R48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86" t="str">
        <f>IF(SCTR_Brokers[[#This Row],[FechaRecepcion]]="","",TEXT(SCTR_Brokers[[#This Row],[FechaRecepcion]],"mmmm")&amp;" "&amp;YEAR(SCTR_Brokers[[#This Row],[FechaRecepcion]]))</f>
        <v>octubre 2026</v>
      </c>
      <c r="U486">
        <f>IF(SCTR_Brokers[[#This Row],[Estado]]="FINALIZADO",1,0)</f>
        <v>1</v>
      </c>
      <c r="V486">
        <f>IF(SCTR_Brokers[[#This Row],[FechaRecepcion]]="","",IF(SCTR_Brokers[[#This Row],[Estado]]="FINALIZADO",0,1))</f>
        <v>0</v>
      </c>
      <c r="W486">
        <f ca="1">IF(AND(SCTR_Brokers[[#This Row],[Estado]]="FINALIZADO",SCTR_Brokers[[#This Row],[Plazo]]=LISTAS!$J$3),1,0)</f>
        <v>1</v>
      </c>
      <c r="X486">
        <f ca="1">IF(AND(SCTR_Brokers[[#This Row],[Estado]]="FINALIZADO",SCTR_Brokers[[#This Row],[Plazo]]=LISTAS!$J$4),1,0)</f>
        <v>0</v>
      </c>
      <c r="Y486">
        <f ca="1">IF(AND(SCTR_Brokers[[#This Row],[Estado]]&lt;&gt;"FINALIZADO",SCTR_Brokers[[#This Row],[Plazo]]=LISTAS!$J$4),1,0)</f>
        <v>0</v>
      </c>
      <c r="Z486">
        <f>IF(SCTR_Brokers[[#This Row],[Fecha_Solic_Informe]]="",0,1)</f>
        <v>1</v>
      </c>
      <c r="AA486">
        <f>IF(SCTR_Brokers[[#This Row],[Fecha_Informe]]="",0,1)</f>
        <v>0</v>
      </c>
      <c r="AB486">
        <f>IF(AND(SCTR_Brokers[[#This Row],[Fecha_Solic_Informe]]&lt;&gt;"",SCTR_Brokers[[#This Row],[Fecha_Informe]]=""),1,0)</f>
        <v>1</v>
      </c>
      <c r="AC48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87" spans="1:29" hidden="1">
      <c r="A487" t="s">
        <v>950</v>
      </c>
      <c r="C487" t="str">
        <f>IF(SCTR_Brokers[[#This Row],[FechaRecepcion]]="","",SCTR_Brokers[[#This Row],[ConversationId]]&amp;"-"&amp;TEXT(SCTR_Brokers[[#This Row],[FechaRecepcion]],"aaaammddhhmmss"))</f>
        <v>AAQkADdkNThjNzFkLWM0ZmMtNDJhYS04MDVlLTIwNzE4ZDI1Mzg4YgAQANmQbggK5NtGv1mIo0DDKek=-20261007170600</v>
      </c>
      <c r="D487" s="16" t="s">
        <v>951</v>
      </c>
      <c r="E487" t="s">
        <v>21</v>
      </c>
      <c r="F487" s="3">
        <v>46302.712500000001</v>
      </c>
      <c r="G487" s="3">
        <v>46302.712500000001</v>
      </c>
      <c r="H487" t="s">
        <v>838</v>
      </c>
      <c r="I487" t="s">
        <v>7</v>
      </c>
      <c r="J487" t="s">
        <v>1066</v>
      </c>
      <c r="K487" t="s">
        <v>67</v>
      </c>
      <c r="L487" s="10"/>
      <c r="N48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87" s="3"/>
      <c r="P487" s="3"/>
      <c r="Q487" s="3">
        <v>46302.712500000001</v>
      </c>
      <c r="R48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487" t="s">
        <v>164</v>
      </c>
      <c r="T487" t="str">
        <f>IF(SCTR_Brokers[[#This Row],[FechaRecepcion]]="","",TEXT(SCTR_Brokers[[#This Row],[FechaRecepcion]],"mmmm")&amp;" "&amp;YEAR(SCTR_Brokers[[#This Row],[FechaRecepcion]]))</f>
        <v>octubre 2026</v>
      </c>
      <c r="U487">
        <f>IF(SCTR_Brokers[[#This Row],[Estado]]="FINALIZADO",1,0)</f>
        <v>1</v>
      </c>
      <c r="V487">
        <f>IF(SCTR_Brokers[[#This Row],[FechaRecepcion]]="","",IF(SCTR_Brokers[[#This Row],[Estado]]="FINALIZADO",0,1))</f>
        <v>0</v>
      </c>
      <c r="W487">
        <f ca="1">IF(AND(SCTR_Brokers[[#This Row],[Estado]]="FINALIZADO",SCTR_Brokers[[#This Row],[Plazo]]=LISTAS!$J$3),1,0)</f>
        <v>1</v>
      </c>
      <c r="X487">
        <f ca="1">IF(AND(SCTR_Brokers[[#This Row],[Estado]]="FINALIZADO",SCTR_Brokers[[#This Row],[Plazo]]=LISTAS!$J$4),1,0)</f>
        <v>0</v>
      </c>
      <c r="Y487">
        <f ca="1">IF(AND(SCTR_Brokers[[#This Row],[Estado]]&lt;&gt;"FINALIZADO",SCTR_Brokers[[#This Row],[Plazo]]=LISTAS!$J$4),1,0)</f>
        <v>0</v>
      </c>
      <c r="Z487">
        <f>IF(SCTR_Brokers[[#This Row],[Fecha_Solic_Informe]]="",0,1)</f>
        <v>0</v>
      </c>
      <c r="AA487">
        <f>IF(SCTR_Brokers[[#This Row],[Fecha_Informe]]="",0,1)</f>
        <v>0</v>
      </c>
      <c r="AB487">
        <f>IF(AND(SCTR_Brokers[[#This Row],[Fecha_Solic_Informe]]&lt;&gt;"",SCTR_Brokers[[#This Row],[Fecha_Informe]]=""),1,0)</f>
        <v>0</v>
      </c>
      <c r="AC48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88" spans="1:29">
      <c r="A488" t="s">
        <v>856</v>
      </c>
      <c r="C488" t="str">
        <f>IF(SCTR_Brokers[[#This Row],[FechaRecepcion]]="","",SCTR_Brokers[[#This Row],[ConversationId]]&amp;"-"&amp;TEXT(SCTR_Brokers[[#This Row],[FechaRecepcion]],"aaaammddhhmmss"))</f>
        <v>AAQkADdkNThjNzFkLWM0ZmMtNDJhYS04MDVlLTIwNzE4ZDI1Mzg4YgAQAMXKxd5JaEzogViQa7m2TpA=-20261007201334</v>
      </c>
      <c r="D488" s="16" t="s">
        <v>857</v>
      </c>
      <c r="E488" t="s">
        <v>8</v>
      </c>
      <c r="F488" s="3">
        <v>46302.84275462963</v>
      </c>
      <c r="G488" s="3">
        <v>46307.934664351851</v>
      </c>
      <c r="H488" t="s">
        <v>1067</v>
      </c>
      <c r="K488" t="s">
        <v>67</v>
      </c>
      <c r="L488" s="10"/>
      <c r="N488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>2.4</v>
      </c>
      <c r="O488" s="3"/>
      <c r="P488" s="3"/>
      <c r="Q488" s="3"/>
      <c r="R48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88" t="str">
        <f>IF(SCTR_Brokers[[#This Row],[FechaRecepcion]]="","",TEXT(SCTR_Brokers[[#This Row],[FechaRecepcion]],"mmmm")&amp;" "&amp;YEAR(SCTR_Brokers[[#This Row],[FechaRecepcion]]))</f>
        <v>octubre 2026</v>
      </c>
      <c r="U488">
        <f>IF(SCTR_Brokers[[#This Row],[Estado]]="FINALIZADO",1,0)</f>
        <v>0</v>
      </c>
      <c r="V488">
        <f>IF(SCTR_Brokers[[#This Row],[FechaRecepcion]]="","",IF(SCTR_Brokers[[#This Row],[Estado]]="FINALIZADO",0,1))</f>
        <v>1</v>
      </c>
      <c r="W488">
        <f ca="1">IF(AND(SCTR_Brokers[[#This Row],[Estado]]="FINALIZADO",SCTR_Brokers[[#This Row],[Plazo]]=LISTAS!$J$3),1,0)</f>
        <v>0</v>
      </c>
      <c r="X488">
        <f ca="1">IF(AND(SCTR_Brokers[[#This Row],[Estado]]="FINALIZADO",SCTR_Brokers[[#This Row],[Plazo]]=LISTAS!$J$4),1,0)</f>
        <v>0</v>
      </c>
      <c r="Y488">
        <f ca="1">IF(AND(SCTR_Brokers[[#This Row],[Estado]]&lt;&gt;"FINALIZADO",SCTR_Brokers[[#This Row],[Plazo]]=LISTAS!$J$4),1,0)</f>
        <v>0</v>
      </c>
      <c r="Z488">
        <f>IF(SCTR_Brokers[[#This Row],[Fecha_Solic_Informe]]="",0,1)</f>
        <v>0</v>
      </c>
      <c r="AA488">
        <f>IF(SCTR_Brokers[[#This Row],[Fecha_Informe]]="",0,1)</f>
        <v>0</v>
      </c>
      <c r="AB488">
        <f>IF(AND(SCTR_Brokers[[#This Row],[Fecha_Solic_Informe]]&lt;&gt;"",SCTR_Brokers[[#This Row],[Fecha_Informe]]=""),1,0)</f>
        <v>0</v>
      </c>
      <c r="AC48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89" spans="1:29" hidden="1">
      <c r="A489" t="s">
        <v>1068</v>
      </c>
      <c r="C489" t="str">
        <f>IF(SCTR_Brokers[[#This Row],[FechaRecepcion]]="","",SCTR_Brokers[[#This Row],[ConversationId]]&amp;"-"&amp;TEXT(SCTR_Brokers[[#This Row],[FechaRecepcion]],"aaaammddhhmmss"))</f>
        <v>AAQkADdkNThjNzFkLWM0ZmMtNDJhYS04MDVlLTIwNzE4ZDI1Mzg4YgAQAG73PFGvYGxEhdGX7yyeQLU=-20261009083746</v>
      </c>
      <c r="D489" s="16" t="s">
        <v>1069</v>
      </c>
      <c r="E489" t="s">
        <v>8</v>
      </c>
      <c r="F489" s="3">
        <v>46304.359560185185</v>
      </c>
      <c r="G489" s="3">
        <v>46304.378865740742</v>
      </c>
      <c r="H489" t="s">
        <v>70</v>
      </c>
      <c r="I489" t="s">
        <v>7</v>
      </c>
      <c r="K489" t="s">
        <v>67</v>
      </c>
      <c r="L489" s="10"/>
      <c r="N48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89" s="3"/>
      <c r="P489" s="3"/>
      <c r="Q489" s="3">
        <v>46304.378865740742</v>
      </c>
      <c r="R48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89" t="str">
        <f>IF(SCTR_Brokers[[#This Row],[FechaRecepcion]]="","",TEXT(SCTR_Brokers[[#This Row],[FechaRecepcion]],"mmmm")&amp;" "&amp;YEAR(SCTR_Brokers[[#This Row],[FechaRecepcion]]))</f>
        <v>octubre 2026</v>
      </c>
      <c r="U489">
        <f>IF(SCTR_Brokers[[#This Row],[Estado]]="FINALIZADO",1,0)</f>
        <v>1</v>
      </c>
      <c r="V489">
        <f>IF(SCTR_Brokers[[#This Row],[FechaRecepcion]]="","",IF(SCTR_Brokers[[#This Row],[Estado]]="FINALIZADO",0,1))</f>
        <v>0</v>
      </c>
      <c r="W489">
        <f ca="1">IF(AND(SCTR_Brokers[[#This Row],[Estado]]="FINALIZADO",SCTR_Brokers[[#This Row],[Plazo]]=LISTAS!$J$3),1,0)</f>
        <v>1</v>
      </c>
      <c r="X489">
        <f ca="1">IF(AND(SCTR_Brokers[[#This Row],[Estado]]="FINALIZADO",SCTR_Brokers[[#This Row],[Plazo]]=LISTAS!$J$4),1,0)</f>
        <v>0</v>
      </c>
      <c r="Y489">
        <f ca="1">IF(AND(SCTR_Brokers[[#This Row],[Estado]]&lt;&gt;"FINALIZADO",SCTR_Brokers[[#This Row],[Plazo]]=LISTAS!$J$4),1,0)</f>
        <v>0</v>
      </c>
      <c r="Z489">
        <f>IF(SCTR_Brokers[[#This Row],[Fecha_Solic_Informe]]="",0,1)</f>
        <v>0</v>
      </c>
      <c r="AA489">
        <f>IF(SCTR_Brokers[[#This Row],[Fecha_Informe]]="",0,1)</f>
        <v>0</v>
      </c>
      <c r="AB489">
        <f>IF(AND(SCTR_Brokers[[#This Row],[Fecha_Solic_Informe]]&lt;&gt;"",SCTR_Brokers[[#This Row],[Fecha_Informe]]=""),1,0)</f>
        <v>0</v>
      </c>
      <c r="AC48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90" spans="1:29" hidden="1">
      <c r="A490" t="s">
        <v>1012</v>
      </c>
      <c r="C490" t="str">
        <f>IF(SCTR_Brokers[[#This Row],[FechaRecepcion]]="","",SCTR_Brokers[[#This Row],[ConversationId]]&amp;"-"&amp;TEXT(SCTR_Brokers[[#This Row],[FechaRecepcion]],"aaaammddhhmmss"))</f>
        <v>AAQkADdkNThjNzFkLWM0ZmMtNDJhYS04MDVlLTIwNzE4ZDI1Mzg4YgAQAGSMVY53ME06rhHDi3hwNMk=-20261009085540</v>
      </c>
      <c r="D490" s="16" t="s">
        <v>1022</v>
      </c>
      <c r="E490" t="s">
        <v>14</v>
      </c>
      <c r="F490" s="3">
        <v>46304.371990740743</v>
      </c>
      <c r="G490" s="3">
        <v>46304.371990740743</v>
      </c>
      <c r="H490" t="s">
        <v>115</v>
      </c>
      <c r="I490" t="s">
        <v>7</v>
      </c>
      <c r="K490" t="s">
        <v>67</v>
      </c>
      <c r="L490" s="10"/>
      <c r="N49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90" s="3"/>
      <c r="P490" s="3"/>
      <c r="Q490" s="3">
        <v>46304.379861111112</v>
      </c>
      <c r="R49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90" t="str">
        <f>IF(SCTR_Brokers[[#This Row],[FechaRecepcion]]="","",TEXT(SCTR_Brokers[[#This Row],[FechaRecepcion]],"mmmm")&amp;" "&amp;YEAR(SCTR_Brokers[[#This Row],[FechaRecepcion]]))</f>
        <v>octubre 2026</v>
      </c>
      <c r="U490">
        <f>IF(SCTR_Brokers[[#This Row],[Estado]]="FINALIZADO",1,0)</f>
        <v>1</v>
      </c>
      <c r="V490">
        <f>IF(SCTR_Brokers[[#This Row],[FechaRecepcion]]="","",IF(SCTR_Brokers[[#This Row],[Estado]]="FINALIZADO",0,1))</f>
        <v>0</v>
      </c>
      <c r="W490">
        <f ca="1">IF(AND(SCTR_Brokers[[#This Row],[Estado]]="FINALIZADO",SCTR_Brokers[[#This Row],[Plazo]]=LISTAS!$J$3),1,0)</f>
        <v>1</v>
      </c>
      <c r="X490">
        <f ca="1">IF(AND(SCTR_Brokers[[#This Row],[Estado]]="FINALIZADO",SCTR_Brokers[[#This Row],[Plazo]]=LISTAS!$J$4),1,0)</f>
        <v>0</v>
      </c>
      <c r="Y490">
        <f ca="1">IF(AND(SCTR_Brokers[[#This Row],[Estado]]&lt;&gt;"FINALIZADO",SCTR_Brokers[[#This Row],[Plazo]]=LISTAS!$J$4),1,0)</f>
        <v>0</v>
      </c>
      <c r="Z490">
        <f>IF(SCTR_Brokers[[#This Row],[Fecha_Solic_Informe]]="",0,1)</f>
        <v>0</v>
      </c>
      <c r="AA490">
        <f>IF(SCTR_Brokers[[#This Row],[Fecha_Informe]]="",0,1)</f>
        <v>0</v>
      </c>
      <c r="AB490">
        <f>IF(AND(SCTR_Brokers[[#This Row],[Fecha_Solic_Informe]]&lt;&gt;"",SCTR_Brokers[[#This Row],[Fecha_Informe]]=""),1,0)</f>
        <v>0</v>
      </c>
      <c r="AC49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91" spans="1:29" hidden="1">
      <c r="A491" t="s">
        <v>1070</v>
      </c>
      <c r="C491" t="str">
        <f>IF(SCTR_Brokers[[#This Row],[FechaRecepcion]]="","",SCTR_Brokers[[#This Row],[ConversationId]]&amp;"-"&amp;TEXT(SCTR_Brokers[[#This Row],[FechaRecepcion]],"aaaammddhhmmss"))</f>
        <v>AAQkADdkNThjNzFkLWM0ZmMtNDJhYS04MDVlLTIwNzE4ZDI1Mzg4YgAQAJMruj08-AZNsx_XqNQ_6-Q=-20261009093514</v>
      </c>
      <c r="D491" s="16" t="s">
        <v>1071</v>
      </c>
      <c r="E491" t="s">
        <v>23</v>
      </c>
      <c r="F491" s="3">
        <v>46304.399467592593</v>
      </c>
      <c r="G491" s="3">
        <v>46304.408576388887</v>
      </c>
      <c r="H491" t="s">
        <v>70</v>
      </c>
      <c r="I491" t="s">
        <v>7</v>
      </c>
      <c r="K491" t="s">
        <v>67</v>
      </c>
      <c r="L491" s="10"/>
      <c r="N49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91" s="3"/>
      <c r="P491" s="3"/>
      <c r="Q491" s="3">
        <v>46304.408576388887</v>
      </c>
      <c r="R49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91" t="str">
        <f>IF(SCTR_Brokers[[#This Row],[FechaRecepcion]]="","",TEXT(SCTR_Brokers[[#This Row],[FechaRecepcion]],"mmmm")&amp;" "&amp;YEAR(SCTR_Brokers[[#This Row],[FechaRecepcion]]))</f>
        <v>octubre 2026</v>
      </c>
      <c r="U491">
        <f>IF(SCTR_Brokers[[#This Row],[Estado]]="FINALIZADO",1,0)</f>
        <v>1</v>
      </c>
      <c r="V491">
        <f>IF(SCTR_Brokers[[#This Row],[FechaRecepcion]]="","",IF(SCTR_Brokers[[#This Row],[Estado]]="FINALIZADO",0,1))</f>
        <v>0</v>
      </c>
      <c r="W491">
        <f ca="1">IF(AND(SCTR_Brokers[[#This Row],[Estado]]="FINALIZADO",SCTR_Brokers[[#This Row],[Plazo]]=LISTAS!$J$3),1,0)</f>
        <v>1</v>
      </c>
      <c r="X491">
        <f ca="1">IF(AND(SCTR_Brokers[[#This Row],[Estado]]="FINALIZADO",SCTR_Brokers[[#This Row],[Plazo]]=LISTAS!$J$4),1,0)</f>
        <v>0</v>
      </c>
      <c r="Y491">
        <f ca="1">IF(AND(SCTR_Brokers[[#This Row],[Estado]]&lt;&gt;"FINALIZADO",SCTR_Brokers[[#This Row],[Plazo]]=LISTAS!$J$4),1,0)</f>
        <v>0</v>
      </c>
      <c r="Z491">
        <f>IF(SCTR_Brokers[[#This Row],[Fecha_Solic_Informe]]="",0,1)</f>
        <v>0</v>
      </c>
      <c r="AA491">
        <f>IF(SCTR_Brokers[[#This Row],[Fecha_Informe]]="",0,1)</f>
        <v>0</v>
      </c>
      <c r="AB491">
        <f>IF(AND(SCTR_Brokers[[#This Row],[Fecha_Solic_Informe]]&lt;&gt;"",SCTR_Brokers[[#This Row],[Fecha_Informe]]=""),1,0)</f>
        <v>0</v>
      </c>
      <c r="AC49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92" spans="1:29">
      <c r="A492" t="s">
        <v>1072</v>
      </c>
      <c r="C492" t="str">
        <f>IF(SCTR_Brokers[[#This Row],[FechaRecepcion]]="","",SCTR_Brokers[[#This Row],[ConversationId]]&amp;"-"&amp;TEXT(SCTR_Brokers[[#This Row],[FechaRecepcion]],"aaaammddhhmmss"))</f>
        <v>AAQkADdkNThjNzFkLWM0ZmMtNDJhYS04MDVlLTIwNzE4ZDI1Mzg4YgAQADrqa9D48E_jqskQUyhmCkc=-20261009093939</v>
      </c>
      <c r="D492" s="16" t="s">
        <v>1073</v>
      </c>
      <c r="E492" t="s">
        <v>21</v>
      </c>
      <c r="F492" s="3">
        <v>46304.40253472222</v>
      </c>
      <c r="G492" s="3">
        <v>46304.479548611111</v>
      </c>
      <c r="H492" t="s">
        <v>70</v>
      </c>
      <c r="I492" t="s">
        <v>7</v>
      </c>
      <c r="J492" t="s">
        <v>1074</v>
      </c>
      <c r="K492" t="s">
        <v>67</v>
      </c>
      <c r="L492" s="10" t="s">
        <v>1075</v>
      </c>
      <c r="M492" t="s">
        <v>9</v>
      </c>
      <c r="N49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92" s="3">
        <v>46304.410173611112</v>
      </c>
      <c r="P492" s="3">
        <v>46304.417256944442</v>
      </c>
      <c r="Q492" s="3">
        <v>46304.479548611111</v>
      </c>
      <c r="R49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92" t="str">
        <f>IF(SCTR_Brokers[[#This Row],[FechaRecepcion]]="","",TEXT(SCTR_Brokers[[#This Row],[FechaRecepcion]],"mmmm")&amp;" "&amp;YEAR(SCTR_Brokers[[#This Row],[FechaRecepcion]]))</f>
        <v>octubre 2026</v>
      </c>
      <c r="U492">
        <f>IF(SCTR_Brokers[[#This Row],[Estado]]="FINALIZADO",1,0)</f>
        <v>1</v>
      </c>
      <c r="V492">
        <f>IF(SCTR_Brokers[[#This Row],[FechaRecepcion]]="","",IF(SCTR_Brokers[[#This Row],[Estado]]="FINALIZADO",0,1))</f>
        <v>0</v>
      </c>
      <c r="W492">
        <f ca="1">IF(AND(SCTR_Brokers[[#This Row],[Estado]]="FINALIZADO",SCTR_Brokers[[#This Row],[Plazo]]=LISTAS!$J$3),1,0)</f>
        <v>1</v>
      </c>
      <c r="X492">
        <f ca="1">IF(AND(SCTR_Brokers[[#This Row],[Estado]]="FINALIZADO",SCTR_Brokers[[#This Row],[Plazo]]=LISTAS!$J$4),1,0)</f>
        <v>0</v>
      </c>
      <c r="Y492">
        <f ca="1">IF(AND(SCTR_Brokers[[#This Row],[Estado]]&lt;&gt;"FINALIZADO",SCTR_Brokers[[#This Row],[Plazo]]=LISTAS!$J$4),1,0)</f>
        <v>0</v>
      </c>
      <c r="Z492">
        <f>IF(SCTR_Brokers[[#This Row],[Fecha_Solic_Informe]]="",0,1)</f>
        <v>1</v>
      </c>
      <c r="AA492">
        <f>IF(SCTR_Brokers[[#This Row],[Fecha_Informe]]="",0,1)</f>
        <v>1</v>
      </c>
      <c r="AB492">
        <f>IF(AND(SCTR_Brokers[[#This Row],[Fecha_Solic_Informe]]&lt;&gt;"",SCTR_Brokers[[#This Row],[Fecha_Informe]]=""),1,0)</f>
        <v>0</v>
      </c>
      <c r="AC492">
        <f>IF(AND(SCTR_Brokers[[#This Row],[Fecha_Solic_Informe]]&lt;&gt;"",SCTR_Brokers[[#This Row],[Fecha_Informe]]&lt;&gt;""),ROUND((SCTR_Brokers[[#This Row],[Fecha_Informe]]-SCTR_Brokers[[#This Row],[Fecha_Solic_Informe]])*24,1),"")</f>
        <v>0.2</v>
      </c>
    </row>
    <row r="493" spans="1:29">
      <c r="A493" t="s">
        <v>1000</v>
      </c>
      <c r="C493" t="str">
        <f>IF(SCTR_Brokers[[#This Row],[FechaRecepcion]]="","",SCTR_Brokers[[#This Row],[ConversationId]]&amp;"-"&amp;TEXT(SCTR_Brokers[[#This Row],[FechaRecepcion]],"aaaammddhhmmss"))</f>
        <v>AAQkADdkNThjNzFkLWM0ZmMtNDJhYS04MDVlLTIwNzE4ZDI1Mzg4YgAQAI9J_udwUOxAmW8FPQuP2nE=-20261009095231</v>
      </c>
      <c r="D493" s="16" t="s">
        <v>1076</v>
      </c>
      <c r="E493" t="s">
        <v>20</v>
      </c>
      <c r="F493" s="3">
        <v>46304.411469907405</v>
      </c>
      <c r="G493" s="3">
        <v>46307.354166666664</v>
      </c>
      <c r="H493" t="s">
        <v>279</v>
      </c>
      <c r="I493" t="s">
        <v>7</v>
      </c>
      <c r="J493" t="s">
        <v>280</v>
      </c>
      <c r="K493" t="s">
        <v>67</v>
      </c>
      <c r="L493" s="10"/>
      <c r="N49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93" s="3"/>
      <c r="P493" s="3"/>
      <c r="Q493" s="3">
        <v>46307.354166666664</v>
      </c>
      <c r="R49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93" t="str">
        <f>IF(SCTR_Brokers[[#This Row],[FechaRecepcion]]="","",TEXT(SCTR_Brokers[[#This Row],[FechaRecepcion]],"mmmm")&amp;" "&amp;YEAR(SCTR_Brokers[[#This Row],[FechaRecepcion]]))</f>
        <v>octubre 2026</v>
      </c>
      <c r="U493">
        <f>IF(SCTR_Brokers[[#This Row],[Estado]]="FINALIZADO",1,0)</f>
        <v>1</v>
      </c>
      <c r="V493">
        <f>IF(SCTR_Brokers[[#This Row],[FechaRecepcion]]="","",IF(SCTR_Brokers[[#This Row],[Estado]]="FINALIZADO",0,1))</f>
        <v>0</v>
      </c>
      <c r="W493">
        <f ca="1">IF(AND(SCTR_Brokers[[#This Row],[Estado]]="FINALIZADO",SCTR_Brokers[[#This Row],[Plazo]]=LISTAS!$J$3),1,0)</f>
        <v>1</v>
      </c>
      <c r="X493">
        <f ca="1">IF(AND(SCTR_Brokers[[#This Row],[Estado]]="FINALIZADO",SCTR_Brokers[[#This Row],[Plazo]]=LISTAS!$J$4),1,0)</f>
        <v>0</v>
      </c>
      <c r="Y493">
        <f ca="1">IF(AND(SCTR_Brokers[[#This Row],[Estado]]&lt;&gt;"FINALIZADO",SCTR_Brokers[[#This Row],[Plazo]]=LISTAS!$J$4),1,0)</f>
        <v>0</v>
      </c>
      <c r="Z493">
        <f>IF(SCTR_Brokers[[#This Row],[Fecha_Solic_Informe]]="",0,1)</f>
        <v>0</v>
      </c>
      <c r="AA493">
        <f>IF(SCTR_Brokers[[#This Row],[Fecha_Informe]]="",0,1)</f>
        <v>0</v>
      </c>
      <c r="AB493">
        <f>IF(AND(SCTR_Brokers[[#This Row],[Fecha_Solic_Informe]]&lt;&gt;"",SCTR_Brokers[[#This Row],[Fecha_Informe]]=""),1,0)</f>
        <v>0</v>
      </c>
      <c r="AC49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94" spans="1:29">
      <c r="A494" t="s">
        <v>1077</v>
      </c>
      <c r="C494" t="str">
        <f>IF(SCTR_Brokers[[#This Row],[FechaRecepcion]]="","",SCTR_Brokers[[#This Row],[ConversationId]]&amp;"-"&amp;TEXT(SCTR_Brokers[[#This Row],[FechaRecepcion]],"aaaammddhhmmss"))</f>
        <v>AAQkADdkNThjNzFkLWM0ZmMtNDJhYS04MDVlLTIwNzE4ZDI1Mzg4YgAQAPbKExnBAkhXkzXhpDUgXzA=-20261009095709</v>
      </c>
      <c r="D494" s="16" t="s">
        <v>1078</v>
      </c>
      <c r="E494" t="s">
        <v>8</v>
      </c>
      <c r="F494" s="3">
        <v>46304.414687500001</v>
      </c>
      <c r="G494" s="3">
        <v>46304.450358796297</v>
      </c>
      <c r="H494" t="s">
        <v>651</v>
      </c>
      <c r="I494" t="s">
        <v>7</v>
      </c>
      <c r="J494" t="s">
        <v>1079</v>
      </c>
      <c r="K494" t="s">
        <v>67</v>
      </c>
      <c r="L494" s="10"/>
      <c r="N49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94" s="3"/>
      <c r="P494" s="3"/>
      <c r="Q494" s="3">
        <v>46304.450358796297</v>
      </c>
      <c r="R49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S494" t="s">
        <v>164</v>
      </c>
      <c r="T494" t="str">
        <f>IF(SCTR_Brokers[[#This Row],[FechaRecepcion]]="","",TEXT(SCTR_Brokers[[#This Row],[FechaRecepcion]],"mmmm")&amp;" "&amp;YEAR(SCTR_Brokers[[#This Row],[FechaRecepcion]]))</f>
        <v>octubre 2026</v>
      </c>
      <c r="U494">
        <f>IF(SCTR_Brokers[[#This Row],[Estado]]="FINALIZADO",1,0)</f>
        <v>1</v>
      </c>
      <c r="V494">
        <f>IF(SCTR_Brokers[[#This Row],[FechaRecepcion]]="","",IF(SCTR_Brokers[[#This Row],[Estado]]="FINALIZADO",0,1))</f>
        <v>0</v>
      </c>
      <c r="W494">
        <f ca="1">IF(AND(SCTR_Brokers[[#This Row],[Estado]]="FINALIZADO",SCTR_Brokers[[#This Row],[Plazo]]=LISTAS!$J$3),1,0)</f>
        <v>1</v>
      </c>
      <c r="X494">
        <f ca="1">IF(AND(SCTR_Brokers[[#This Row],[Estado]]="FINALIZADO",SCTR_Brokers[[#This Row],[Plazo]]=LISTAS!$J$4),1,0)</f>
        <v>0</v>
      </c>
      <c r="Y494">
        <f ca="1">IF(AND(SCTR_Brokers[[#This Row],[Estado]]&lt;&gt;"FINALIZADO",SCTR_Brokers[[#This Row],[Plazo]]=LISTAS!$J$4),1,0)</f>
        <v>0</v>
      </c>
      <c r="Z494">
        <f>IF(SCTR_Brokers[[#This Row],[Fecha_Solic_Informe]]="",0,1)</f>
        <v>0</v>
      </c>
      <c r="AA494">
        <f>IF(SCTR_Brokers[[#This Row],[Fecha_Informe]]="",0,1)</f>
        <v>0</v>
      </c>
      <c r="AB494">
        <f>IF(AND(SCTR_Brokers[[#This Row],[Fecha_Solic_Informe]]&lt;&gt;"",SCTR_Brokers[[#This Row],[Fecha_Informe]]=""),1,0)</f>
        <v>0</v>
      </c>
      <c r="AC49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95" spans="1:29">
      <c r="A495" t="s">
        <v>1061</v>
      </c>
      <c r="C495" t="str">
        <f>IF(SCTR_Brokers[[#This Row],[FechaRecepcion]]="","",SCTR_Brokers[[#This Row],[ConversationId]]&amp;"-"&amp;TEXT(SCTR_Brokers[[#This Row],[FechaRecepcion]],"aaaammddhhmmss"))</f>
        <v>AAQkADdkNThjNzFkLWM0ZmMtNDJhYS04MDVlLTIwNzE4ZDI1Mzg4YgAQAJEo-4vUFRJGgdZ9BBvRx9s=-20261009105223</v>
      </c>
      <c r="D495" s="16" t="s">
        <v>1080</v>
      </c>
      <c r="E495" t="s">
        <v>21</v>
      </c>
      <c r="F495" s="3">
        <v>46304.453043981484</v>
      </c>
      <c r="G495" s="3">
        <v>46304.487893518519</v>
      </c>
      <c r="H495" t="s">
        <v>70</v>
      </c>
      <c r="I495" t="s">
        <v>7</v>
      </c>
      <c r="K495" t="s">
        <v>67</v>
      </c>
      <c r="L495" s="10"/>
      <c r="N49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95" s="3"/>
      <c r="P495" s="3"/>
      <c r="Q495" s="3">
        <v>46304.487893518519</v>
      </c>
      <c r="R49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95" t="str">
        <f>IF(SCTR_Brokers[[#This Row],[FechaRecepcion]]="","",TEXT(SCTR_Brokers[[#This Row],[FechaRecepcion]],"mmmm")&amp;" "&amp;YEAR(SCTR_Brokers[[#This Row],[FechaRecepcion]]))</f>
        <v>octubre 2026</v>
      </c>
      <c r="U495">
        <f>IF(SCTR_Brokers[[#This Row],[Estado]]="FINALIZADO",1,0)</f>
        <v>1</v>
      </c>
      <c r="V495">
        <f>IF(SCTR_Brokers[[#This Row],[FechaRecepcion]]="","",IF(SCTR_Brokers[[#This Row],[Estado]]="FINALIZADO",0,1))</f>
        <v>0</v>
      </c>
      <c r="W495">
        <f ca="1">IF(AND(SCTR_Brokers[[#This Row],[Estado]]="FINALIZADO",SCTR_Brokers[[#This Row],[Plazo]]=LISTAS!$J$3),1,0)</f>
        <v>1</v>
      </c>
      <c r="X495">
        <f ca="1">IF(AND(SCTR_Brokers[[#This Row],[Estado]]="FINALIZADO",SCTR_Brokers[[#This Row],[Plazo]]=LISTAS!$J$4),1,0)</f>
        <v>0</v>
      </c>
      <c r="Y495">
        <f ca="1">IF(AND(SCTR_Brokers[[#This Row],[Estado]]&lt;&gt;"FINALIZADO",SCTR_Brokers[[#This Row],[Plazo]]=LISTAS!$J$4),1,0)</f>
        <v>0</v>
      </c>
      <c r="Z495">
        <f>IF(SCTR_Brokers[[#This Row],[Fecha_Solic_Informe]]="",0,1)</f>
        <v>0</v>
      </c>
      <c r="AA495">
        <f>IF(SCTR_Brokers[[#This Row],[Fecha_Informe]]="",0,1)</f>
        <v>0</v>
      </c>
      <c r="AB495">
        <f>IF(AND(SCTR_Brokers[[#This Row],[Fecha_Solic_Informe]]&lt;&gt;"",SCTR_Brokers[[#This Row],[Fecha_Informe]]=""),1,0)</f>
        <v>0</v>
      </c>
      <c r="AC49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96" spans="1:29">
      <c r="A496" t="s">
        <v>444</v>
      </c>
      <c r="C496" t="str">
        <f>IF(SCTR_Brokers[[#This Row],[FechaRecepcion]]="","",SCTR_Brokers[[#This Row],[ConversationId]]&amp;"-"&amp;TEXT(SCTR_Brokers[[#This Row],[FechaRecepcion]],"aaaammddhhmmss"))</f>
        <v>AAQkADdkNThjNzFkLWM0ZmMtNDJhYS04MDVlLTIwNzE4ZDI1Mzg4YgAQAG6w3D2gNbNPnZTazA6X2lM=-20261009105942</v>
      </c>
      <c r="D496" s="16" t="s">
        <v>477</v>
      </c>
      <c r="E496" t="s">
        <v>8</v>
      </c>
      <c r="F496" s="3">
        <v>46304.458124999997</v>
      </c>
      <c r="G496" s="3">
        <v>46304.46570601852</v>
      </c>
      <c r="H496" t="s">
        <v>217</v>
      </c>
      <c r="I496" t="s">
        <v>7</v>
      </c>
      <c r="J496" t="s">
        <v>218</v>
      </c>
      <c r="K496" t="s">
        <v>67</v>
      </c>
      <c r="L496" s="10"/>
      <c r="N49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96" s="3"/>
      <c r="P496" s="3"/>
      <c r="Q496" s="3">
        <v>46304.465277777781</v>
      </c>
      <c r="R49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96" t="str">
        <f>IF(SCTR_Brokers[[#This Row],[FechaRecepcion]]="","",TEXT(SCTR_Brokers[[#This Row],[FechaRecepcion]],"mmmm")&amp;" "&amp;YEAR(SCTR_Brokers[[#This Row],[FechaRecepcion]]))</f>
        <v>octubre 2026</v>
      </c>
      <c r="U496">
        <f>IF(SCTR_Brokers[[#This Row],[Estado]]="FINALIZADO",1,0)</f>
        <v>1</v>
      </c>
      <c r="V496">
        <f>IF(SCTR_Brokers[[#This Row],[FechaRecepcion]]="","",IF(SCTR_Brokers[[#This Row],[Estado]]="FINALIZADO",0,1))</f>
        <v>0</v>
      </c>
      <c r="W496">
        <f ca="1">IF(AND(SCTR_Brokers[[#This Row],[Estado]]="FINALIZADO",SCTR_Brokers[[#This Row],[Plazo]]=LISTAS!$J$3),1,0)</f>
        <v>1</v>
      </c>
      <c r="X496">
        <f ca="1">IF(AND(SCTR_Brokers[[#This Row],[Estado]]="FINALIZADO",SCTR_Brokers[[#This Row],[Plazo]]=LISTAS!$J$4),1,0)</f>
        <v>0</v>
      </c>
      <c r="Y496">
        <f ca="1">IF(AND(SCTR_Brokers[[#This Row],[Estado]]&lt;&gt;"FINALIZADO",SCTR_Brokers[[#This Row],[Plazo]]=LISTAS!$J$4),1,0)</f>
        <v>0</v>
      </c>
      <c r="Z496">
        <f>IF(SCTR_Brokers[[#This Row],[Fecha_Solic_Informe]]="",0,1)</f>
        <v>0</v>
      </c>
      <c r="AA496">
        <f>IF(SCTR_Brokers[[#This Row],[Fecha_Informe]]="",0,1)</f>
        <v>0</v>
      </c>
      <c r="AB496">
        <f>IF(AND(SCTR_Brokers[[#This Row],[Fecha_Solic_Informe]]&lt;&gt;"",SCTR_Brokers[[#This Row],[Fecha_Informe]]=""),1,0)</f>
        <v>0</v>
      </c>
      <c r="AC49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97" spans="1:29">
      <c r="A497" t="s">
        <v>479</v>
      </c>
      <c r="C497" t="str">
        <f>IF(SCTR_Brokers[[#This Row],[FechaRecepcion]]="","",SCTR_Brokers[[#This Row],[ConversationId]]&amp;"-"&amp;TEXT(SCTR_Brokers[[#This Row],[FechaRecepcion]],"aaaammddhhmmss"))</f>
        <v>AAQkADdkNThjNzFkLWM0ZmMtNDJhYS04MDVlLTIwNzE4ZDI1Mzg4YgAQAOt8cCQ7UUuwlPiXtNXPlUg=-20261009105931</v>
      </c>
      <c r="D497" s="16" t="s">
        <v>1081</v>
      </c>
      <c r="E497" t="s">
        <v>21</v>
      </c>
      <c r="F497" s="3">
        <v>46304.457997685182</v>
      </c>
      <c r="G497" s="3">
        <v>46307.682766203703</v>
      </c>
      <c r="H497" t="s">
        <v>70</v>
      </c>
      <c r="I497" t="s">
        <v>7</v>
      </c>
      <c r="K497" t="s">
        <v>67</v>
      </c>
      <c r="L497" s="10"/>
      <c r="N49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97" s="3"/>
      <c r="P497" s="3"/>
      <c r="Q497" s="3">
        <v>46307.682638888888</v>
      </c>
      <c r="R49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497" t="str">
        <f>IF(SCTR_Brokers[[#This Row],[FechaRecepcion]]="","",TEXT(SCTR_Brokers[[#This Row],[FechaRecepcion]],"mmmm")&amp;" "&amp;YEAR(SCTR_Brokers[[#This Row],[FechaRecepcion]]))</f>
        <v>octubre 2026</v>
      </c>
      <c r="U497">
        <f>IF(SCTR_Brokers[[#This Row],[Estado]]="FINALIZADO",1,0)</f>
        <v>1</v>
      </c>
      <c r="V497">
        <f>IF(SCTR_Brokers[[#This Row],[FechaRecepcion]]="","",IF(SCTR_Brokers[[#This Row],[Estado]]="FINALIZADO",0,1))</f>
        <v>0</v>
      </c>
      <c r="W497">
        <f ca="1">IF(AND(SCTR_Brokers[[#This Row],[Estado]]="FINALIZADO",SCTR_Brokers[[#This Row],[Plazo]]=LISTAS!$J$3),1,0)</f>
        <v>0</v>
      </c>
      <c r="X497">
        <f ca="1">IF(AND(SCTR_Brokers[[#This Row],[Estado]]="FINALIZADO",SCTR_Brokers[[#This Row],[Plazo]]=LISTAS!$J$4),1,0)</f>
        <v>1</v>
      </c>
      <c r="Y497">
        <f ca="1">IF(AND(SCTR_Brokers[[#This Row],[Estado]]&lt;&gt;"FINALIZADO",SCTR_Brokers[[#This Row],[Plazo]]=LISTAS!$J$4),1,0)</f>
        <v>0</v>
      </c>
      <c r="Z497">
        <f>IF(SCTR_Brokers[[#This Row],[Fecha_Solic_Informe]]="",0,1)</f>
        <v>0</v>
      </c>
      <c r="AA497">
        <f>IF(SCTR_Brokers[[#This Row],[Fecha_Informe]]="",0,1)</f>
        <v>0</v>
      </c>
      <c r="AB497">
        <f>IF(AND(SCTR_Brokers[[#This Row],[Fecha_Solic_Informe]]&lt;&gt;"",SCTR_Brokers[[#This Row],[Fecha_Informe]]=""),1,0)</f>
        <v>0</v>
      </c>
      <c r="AC49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98" spans="1:29">
      <c r="A498" t="s">
        <v>1082</v>
      </c>
      <c r="C498" t="str">
        <f>IF(SCTR_Brokers[[#This Row],[FechaRecepcion]]="","",SCTR_Brokers[[#This Row],[ConversationId]]&amp;"-"&amp;TEXT(SCTR_Brokers[[#This Row],[FechaRecepcion]],"aaaammddhhmmss"))</f>
        <v>AAQkADdkNThjNzFkLWM0ZmMtNDJhYS04MDVlLTIwNzE4ZDI1Mzg4YgAQADomMwfTJglDpp-A70H3qnc=-20261009110740</v>
      </c>
      <c r="D498" s="16" t="s">
        <v>1083</v>
      </c>
      <c r="E498" t="s">
        <v>14</v>
      </c>
      <c r="F498" s="3">
        <v>46304.46365740741</v>
      </c>
      <c r="G498" s="3">
        <v>46304.491932870369</v>
      </c>
      <c r="H498" t="s">
        <v>70</v>
      </c>
      <c r="I498" t="s">
        <v>7</v>
      </c>
      <c r="K498" t="s">
        <v>67</v>
      </c>
      <c r="L498" s="10"/>
      <c r="N49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98" s="3"/>
      <c r="P498" s="3"/>
      <c r="Q498" s="3">
        <v>46304.491932870369</v>
      </c>
      <c r="R49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98" t="str">
        <f>IF(SCTR_Brokers[[#This Row],[FechaRecepcion]]="","",TEXT(SCTR_Brokers[[#This Row],[FechaRecepcion]],"mmmm")&amp;" "&amp;YEAR(SCTR_Brokers[[#This Row],[FechaRecepcion]]))</f>
        <v>octubre 2026</v>
      </c>
      <c r="U498">
        <f>IF(SCTR_Brokers[[#This Row],[Estado]]="FINALIZADO",1,0)</f>
        <v>1</v>
      </c>
      <c r="V498">
        <f>IF(SCTR_Brokers[[#This Row],[FechaRecepcion]]="","",IF(SCTR_Brokers[[#This Row],[Estado]]="FINALIZADO",0,1))</f>
        <v>0</v>
      </c>
      <c r="W498">
        <f ca="1">IF(AND(SCTR_Brokers[[#This Row],[Estado]]="FINALIZADO",SCTR_Brokers[[#This Row],[Plazo]]=LISTAS!$J$3),1,0)</f>
        <v>1</v>
      </c>
      <c r="X498">
        <f ca="1">IF(AND(SCTR_Brokers[[#This Row],[Estado]]="FINALIZADO",SCTR_Brokers[[#This Row],[Plazo]]=LISTAS!$J$4),1,0)</f>
        <v>0</v>
      </c>
      <c r="Y498">
        <f ca="1">IF(AND(SCTR_Brokers[[#This Row],[Estado]]&lt;&gt;"FINALIZADO",SCTR_Brokers[[#This Row],[Plazo]]=LISTAS!$J$4),1,0)</f>
        <v>0</v>
      </c>
      <c r="Z498">
        <f>IF(SCTR_Brokers[[#This Row],[Fecha_Solic_Informe]]="",0,1)</f>
        <v>0</v>
      </c>
      <c r="AA498">
        <f>IF(SCTR_Brokers[[#This Row],[Fecha_Informe]]="",0,1)</f>
        <v>0</v>
      </c>
      <c r="AB498">
        <f>IF(AND(SCTR_Brokers[[#This Row],[Fecha_Solic_Informe]]&lt;&gt;"",SCTR_Brokers[[#This Row],[Fecha_Informe]]=""),1,0)</f>
        <v>0</v>
      </c>
      <c r="AC49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499" spans="1:29">
      <c r="A499" t="s">
        <v>1051</v>
      </c>
      <c r="C499" t="str">
        <f>IF(SCTR_Brokers[[#This Row],[FechaRecepcion]]="","",SCTR_Brokers[[#This Row],[ConversationId]]&amp;"-"&amp;TEXT(SCTR_Brokers[[#This Row],[FechaRecepcion]],"aaaammddhhmmss"))</f>
        <v>AAQkADdkNThjNzFkLWM0ZmMtNDJhYS04MDVlLTIwNzE4ZDI1Mzg4YgAQAGPfT3Du0IJPvAfVhrwLCq0=-20261009111422</v>
      </c>
      <c r="D499" s="16" t="s">
        <v>1084</v>
      </c>
      <c r="E499" t="s">
        <v>21</v>
      </c>
      <c r="F499" s="3">
        <v>46304.468310185184</v>
      </c>
      <c r="G499" s="3">
        <v>46304.468310185184</v>
      </c>
      <c r="H499" t="s">
        <v>1085</v>
      </c>
      <c r="I499" t="s">
        <v>7</v>
      </c>
      <c r="K499" t="s">
        <v>67</v>
      </c>
      <c r="L499" s="10"/>
      <c r="N49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499" s="3"/>
      <c r="P499" s="3"/>
      <c r="Q499" s="3">
        <v>46307.436805555553</v>
      </c>
      <c r="R49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499" t="str">
        <f>IF(SCTR_Brokers[[#This Row],[FechaRecepcion]]="","",TEXT(SCTR_Brokers[[#This Row],[FechaRecepcion]],"mmmm")&amp;" "&amp;YEAR(SCTR_Brokers[[#This Row],[FechaRecepcion]]))</f>
        <v>octubre 2026</v>
      </c>
      <c r="U499">
        <f>IF(SCTR_Brokers[[#This Row],[Estado]]="FINALIZADO",1,0)</f>
        <v>1</v>
      </c>
      <c r="V499">
        <f>IF(SCTR_Brokers[[#This Row],[FechaRecepcion]]="","",IF(SCTR_Brokers[[#This Row],[Estado]]="FINALIZADO",0,1))</f>
        <v>0</v>
      </c>
      <c r="W499">
        <f ca="1">IF(AND(SCTR_Brokers[[#This Row],[Estado]]="FINALIZADO",SCTR_Brokers[[#This Row],[Plazo]]=LISTAS!$J$3),1,0)</f>
        <v>1</v>
      </c>
      <c r="X499">
        <f ca="1">IF(AND(SCTR_Brokers[[#This Row],[Estado]]="FINALIZADO",SCTR_Brokers[[#This Row],[Plazo]]=LISTAS!$J$4),1,0)</f>
        <v>0</v>
      </c>
      <c r="Y499">
        <f ca="1">IF(AND(SCTR_Brokers[[#This Row],[Estado]]&lt;&gt;"FINALIZADO",SCTR_Brokers[[#This Row],[Plazo]]=LISTAS!$J$4),1,0)</f>
        <v>0</v>
      </c>
      <c r="Z499">
        <f>IF(SCTR_Brokers[[#This Row],[Fecha_Solic_Informe]]="",0,1)</f>
        <v>0</v>
      </c>
      <c r="AA499">
        <f>IF(SCTR_Brokers[[#This Row],[Fecha_Informe]]="",0,1)</f>
        <v>0</v>
      </c>
      <c r="AB499">
        <f>IF(AND(SCTR_Brokers[[#This Row],[Fecha_Solic_Informe]]&lt;&gt;"",SCTR_Brokers[[#This Row],[Fecha_Informe]]=""),1,0)</f>
        <v>0</v>
      </c>
      <c r="AC49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00" spans="1:29">
      <c r="A500" t="s">
        <v>1086</v>
      </c>
      <c r="C500" t="str">
        <f>IF(SCTR_Brokers[[#This Row],[FechaRecepcion]]="","",SCTR_Brokers[[#This Row],[ConversationId]]&amp;"-"&amp;TEXT(SCTR_Brokers[[#This Row],[FechaRecepcion]],"aaaammddhhmmss"))</f>
        <v>AAQkADdkNThjNzFkLWM0ZmMtNDJhYS04MDVlLTIwNzE4ZDI1Mzg4YgAQAB-5dxcnvk8yk-7j-l0wQGc=-20261009111930</v>
      </c>
      <c r="D500" s="16" t="s">
        <v>1087</v>
      </c>
      <c r="E500" t="s">
        <v>8</v>
      </c>
      <c r="F500" s="3">
        <v>46304.471875000003</v>
      </c>
      <c r="G500" s="3">
        <v>46304.484548611108</v>
      </c>
      <c r="H500" t="s">
        <v>70</v>
      </c>
      <c r="I500" t="s">
        <v>7</v>
      </c>
      <c r="K500" t="s">
        <v>67</v>
      </c>
      <c r="L500" s="10"/>
      <c r="N50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00" s="3"/>
      <c r="P500" s="3"/>
      <c r="Q500" s="3">
        <v>46304.484548611108</v>
      </c>
      <c r="R50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00" t="str">
        <f>IF(SCTR_Brokers[[#This Row],[FechaRecepcion]]="","",TEXT(SCTR_Brokers[[#This Row],[FechaRecepcion]],"mmmm")&amp;" "&amp;YEAR(SCTR_Brokers[[#This Row],[FechaRecepcion]]))</f>
        <v>octubre 2026</v>
      </c>
      <c r="U500">
        <f>IF(SCTR_Brokers[[#This Row],[Estado]]="FINALIZADO",1,0)</f>
        <v>1</v>
      </c>
      <c r="V500">
        <f>IF(SCTR_Brokers[[#This Row],[FechaRecepcion]]="","",IF(SCTR_Brokers[[#This Row],[Estado]]="FINALIZADO",0,1))</f>
        <v>0</v>
      </c>
      <c r="W500">
        <f ca="1">IF(AND(SCTR_Brokers[[#This Row],[Estado]]="FINALIZADO",SCTR_Brokers[[#This Row],[Plazo]]=LISTAS!$J$3),1,0)</f>
        <v>1</v>
      </c>
      <c r="X500">
        <f ca="1">IF(AND(SCTR_Brokers[[#This Row],[Estado]]="FINALIZADO",SCTR_Brokers[[#This Row],[Plazo]]=LISTAS!$J$4),1,0)</f>
        <v>0</v>
      </c>
      <c r="Y500">
        <f ca="1">IF(AND(SCTR_Brokers[[#This Row],[Estado]]&lt;&gt;"FINALIZADO",SCTR_Brokers[[#This Row],[Plazo]]=LISTAS!$J$4),1,0)</f>
        <v>0</v>
      </c>
      <c r="Z500">
        <f>IF(SCTR_Brokers[[#This Row],[Fecha_Solic_Informe]]="",0,1)</f>
        <v>0</v>
      </c>
      <c r="AA500">
        <f>IF(SCTR_Brokers[[#This Row],[Fecha_Informe]]="",0,1)</f>
        <v>0</v>
      </c>
      <c r="AB500">
        <f>IF(AND(SCTR_Brokers[[#This Row],[Fecha_Solic_Informe]]&lt;&gt;"",SCTR_Brokers[[#This Row],[Fecha_Informe]]=""),1,0)</f>
        <v>0</v>
      </c>
      <c r="AC50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01" spans="1:29">
      <c r="A501" t="s">
        <v>1061</v>
      </c>
      <c r="C501" t="str">
        <f>IF(SCTR_Brokers[[#This Row],[FechaRecepcion]]="","",SCTR_Brokers[[#This Row],[ConversationId]]&amp;"-"&amp;TEXT(SCTR_Brokers[[#This Row],[FechaRecepcion]],"aaaammddhhmmss"))</f>
        <v>AAQkADdkNThjNzFkLWM0ZmMtNDJhYS04MDVlLTIwNzE4ZDI1Mzg4YgAQAJEo-4vUFRJGgdZ9BBvRx9s=-20261009114525</v>
      </c>
      <c r="D501" s="16" t="s">
        <v>1080</v>
      </c>
      <c r="E501" t="s">
        <v>21</v>
      </c>
      <c r="F501" s="3">
        <v>46304.489872685182</v>
      </c>
      <c r="G501" s="3">
        <v>46305.418935185182</v>
      </c>
      <c r="H501" t="s">
        <v>319</v>
      </c>
      <c r="I501" t="s">
        <v>7</v>
      </c>
      <c r="J501" t="s">
        <v>320</v>
      </c>
      <c r="K501" t="s">
        <v>67</v>
      </c>
      <c r="L501" s="10"/>
      <c r="N501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01" s="3"/>
      <c r="P501" s="3"/>
      <c r="Q501" s="3">
        <v>46305.418935185182</v>
      </c>
      <c r="R50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01" t="str">
        <f>IF(SCTR_Brokers[[#This Row],[FechaRecepcion]]="","",TEXT(SCTR_Brokers[[#This Row],[FechaRecepcion]],"mmmm")&amp;" "&amp;YEAR(SCTR_Brokers[[#This Row],[FechaRecepcion]]))</f>
        <v>octubre 2026</v>
      </c>
      <c r="U501">
        <f>IF(SCTR_Brokers[[#This Row],[Estado]]="FINALIZADO",1,0)</f>
        <v>1</v>
      </c>
      <c r="V501">
        <f>IF(SCTR_Brokers[[#This Row],[FechaRecepcion]]="","",IF(SCTR_Brokers[[#This Row],[Estado]]="FINALIZADO",0,1))</f>
        <v>0</v>
      </c>
      <c r="W501">
        <f ca="1">IF(AND(SCTR_Brokers[[#This Row],[Estado]]="FINALIZADO",SCTR_Brokers[[#This Row],[Plazo]]=LISTAS!$J$3),1,0)</f>
        <v>1</v>
      </c>
      <c r="X501">
        <f ca="1">IF(AND(SCTR_Brokers[[#This Row],[Estado]]="FINALIZADO",SCTR_Brokers[[#This Row],[Plazo]]=LISTAS!$J$4),1,0)</f>
        <v>0</v>
      </c>
      <c r="Y501">
        <f ca="1">IF(AND(SCTR_Brokers[[#This Row],[Estado]]&lt;&gt;"FINALIZADO",SCTR_Brokers[[#This Row],[Plazo]]=LISTAS!$J$4),1,0)</f>
        <v>0</v>
      </c>
      <c r="Z501">
        <f>IF(SCTR_Brokers[[#This Row],[Fecha_Solic_Informe]]="",0,1)</f>
        <v>0</v>
      </c>
      <c r="AA501">
        <f>IF(SCTR_Brokers[[#This Row],[Fecha_Informe]]="",0,1)</f>
        <v>0</v>
      </c>
      <c r="AB501">
        <f>IF(AND(SCTR_Brokers[[#This Row],[Fecha_Solic_Informe]]&lt;&gt;"",SCTR_Brokers[[#This Row],[Fecha_Informe]]=""),1,0)</f>
        <v>0</v>
      </c>
      <c r="AC50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02" spans="1:29">
      <c r="A502" t="s">
        <v>1088</v>
      </c>
      <c r="C502" t="str">
        <f>IF(SCTR_Brokers[[#This Row],[FechaRecepcion]]="","",SCTR_Brokers[[#This Row],[ConversationId]]&amp;"-"&amp;TEXT(SCTR_Brokers[[#This Row],[FechaRecepcion]],"aaaammddhhmmss"))</f>
        <v>AAQkADdkNThjNzFkLWM0ZmMtNDJhYS04MDVlLTIwNzE4ZDI1Mzg4YgAQAISqJ7LZMEDEs_lE6J-fNZ0=-20261009115617</v>
      </c>
      <c r="D502" s="16" t="s">
        <v>1089</v>
      </c>
      <c r="E502" t="s">
        <v>21</v>
      </c>
      <c r="F502" s="3">
        <v>46304.497418981482</v>
      </c>
      <c r="G502" s="3">
        <v>46307.656805555554</v>
      </c>
      <c r="H502" t="s">
        <v>70</v>
      </c>
      <c r="I502" t="s">
        <v>7</v>
      </c>
      <c r="K502" t="s">
        <v>67</v>
      </c>
      <c r="L502" s="10"/>
      <c r="N50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02" s="3"/>
      <c r="P502" s="3"/>
      <c r="Q502" s="3">
        <v>46307.656805555554</v>
      </c>
      <c r="R50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502" t="str">
        <f>IF(SCTR_Brokers[[#This Row],[FechaRecepcion]]="","",TEXT(SCTR_Brokers[[#This Row],[FechaRecepcion]],"mmmm")&amp;" "&amp;YEAR(SCTR_Brokers[[#This Row],[FechaRecepcion]]))</f>
        <v>octubre 2026</v>
      </c>
      <c r="U502">
        <f>IF(SCTR_Brokers[[#This Row],[Estado]]="FINALIZADO",1,0)</f>
        <v>1</v>
      </c>
      <c r="V502">
        <f>IF(SCTR_Brokers[[#This Row],[FechaRecepcion]]="","",IF(SCTR_Brokers[[#This Row],[Estado]]="FINALIZADO",0,1))</f>
        <v>0</v>
      </c>
      <c r="W502">
        <f ca="1">IF(AND(SCTR_Brokers[[#This Row],[Estado]]="FINALIZADO",SCTR_Brokers[[#This Row],[Plazo]]=LISTAS!$J$3),1,0)</f>
        <v>0</v>
      </c>
      <c r="X502">
        <f ca="1">IF(AND(SCTR_Brokers[[#This Row],[Estado]]="FINALIZADO",SCTR_Brokers[[#This Row],[Plazo]]=LISTAS!$J$4),1,0)</f>
        <v>1</v>
      </c>
      <c r="Y502">
        <f ca="1">IF(AND(SCTR_Brokers[[#This Row],[Estado]]&lt;&gt;"FINALIZADO",SCTR_Brokers[[#This Row],[Plazo]]=LISTAS!$J$4),1,0)</f>
        <v>0</v>
      </c>
      <c r="Z502">
        <f>IF(SCTR_Brokers[[#This Row],[Fecha_Solic_Informe]]="",0,1)</f>
        <v>0</v>
      </c>
      <c r="AA502">
        <f>IF(SCTR_Brokers[[#This Row],[Fecha_Informe]]="",0,1)</f>
        <v>0</v>
      </c>
      <c r="AB502">
        <f>IF(AND(SCTR_Brokers[[#This Row],[Fecha_Solic_Informe]]&lt;&gt;"",SCTR_Brokers[[#This Row],[Fecha_Informe]]=""),1,0)</f>
        <v>0</v>
      </c>
      <c r="AC50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03" spans="1:29">
      <c r="A503" t="s">
        <v>1090</v>
      </c>
      <c r="C503" t="str">
        <f>IF(SCTR_Brokers[[#This Row],[FechaRecepcion]]="","",SCTR_Brokers[[#This Row],[ConversationId]]&amp;"-"&amp;TEXT(SCTR_Brokers[[#This Row],[FechaRecepcion]],"aaaammddhhmmss"))</f>
        <v>AAQkADdkNThjNzFkLWM0ZmMtNDJhYS04MDVlLTIwNzE4ZDI1Mzg4YgAQAGwW7NXmdeJHmuhD71lM8Wk=-20261009125757</v>
      </c>
      <c r="D503" s="16" t="s">
        <v>1091</v>
      </c>
      <c r="E503" t="s">
        <v>8</v>
      </c>
      <c r="F503" s="3">
        <v>46304.540243055555</v>
      </c>
      <c r="G503" s="3">
        <v>46304.566493055558</v>
      </c>
      <c r="H503" t="s">
        <v>70</v>
      </c>
      <c r="I503" t="s">
        <v>7</v>
      </c>
      <c r="K503" t="s">
        <v>67</v>
      </c>
      <c r="L503" s="10"/>
      <c r="N503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03" s="3"/>
      <c r="P503" s="3"/>
      <c r="Q503" s="3">
        <v>46304.566493055558</v>
      </c>
      <c r="R50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03" t="str">
        <f>IF(SCTR_Brokers[[#This Row],[FechaRecepcion]]="","",TEXT(SCTR_Brokers[[#This Row],[FechaRecepcion]],"mmmm")&amp;" "&amp;YEAR(SCTR_Brokers[[#This Row],[FechaRecepcion]]))</f>
        <v>octubre 2026</v>
      </c>
      <c r="U503">
        <f>IF(SCTR_Brokers[[#This Row],[Estado]]="FINALIZADO",1,0)</f>
        <v>1</v>
      </c>
      <c r="V503">
        <f>IF(SCTR_Brokers[[#This Row],[FechaRecepcion]]="","",IF(SCTR_Brokers[[#This Row],[Estado]]="FINALIZADO",0,1))</f>
        <v>0</v>
      </c>
      <c r="W503">
        <f ca="1">IF(AND(SCTR_Brokers[[#This Row],[Estado]]="FINALIZADO",SCTR_Brokers[[#This Row],[Plazo]]=LISTAS!$J$3),1,0)</f>
        <v>1</v>
      </c>
      <c r="X503">
        <f ca="1">IF(AND(SCTR_Brokers[[#This Row],[Estado]]="FINALIZADO",SCTR_Brokers[[#This Row],[Plazo]]=LISTAS!$J$4),1,0)</f>
        <v>0</v>
      </c>
      <c r="Y503">
        <f ca="1">IF(AND(SCTR_Brokers[[#This Row],[Estado]]&lt;&gt;"FINALIZADO",SCTR_Brokers[[#This Row],[Plazo]]=LISTAS!$J$4),1,0)</f>
        <v>0</v>
      </c>
      <c r="Z503">
        <f>IF(SCTR_Brokers[[#This Row],[Fecha_Solic_Informe]]="",0,1)</f>
        <v>0</v>
      </c>
      <c r="AA503">
        <f>IF(SCTR_Brokers[[#This Row],[Fecha_Informe]]="",0,1)</f>
        <v>0</v>
      </c>
      <c r="AB503">
        <f>IF(AND(SCTR_Brokers[[#This Row],[Fecha_Solic_Informe]]&lt;&gt;"",SCTR_Brokers[[#This Row],[Fecha_Informe]]=""),1,0)</f>
        <v>0</v>
      </c>
      <c r="AC50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04" spans="1:29">
      <c r="A504" t="s">
        <v>900</v>
      </c>
      <c r="C504" t="str">
        <f>IF(SCTR_Brokers[[#This Row],[FechaRecepcion]]="","",SCTR_Brokers[[#This Row],[ConversationId]]&amp;"-"&amp;TEXT(SCTR_Brokers[[#This Row],[FechaRecepcion]],"aaaammddhhmmss"))</f>
        <v>AAQkADdkNThjNzFkLWM0ZmMtNDJhYS04MDVlLTIwNzE4ZDI1Mzg4YgAQANuFodI5RQFJlQJ38scF61Q=-20261009125851</v>
      </c>
      <c r="D504" s="16" t="s">
        <v>1009</v>
      </c>
      <c r="E504" t="s">
        <v>20</v>
      </c>
      <c r="F504" s="3">
        <v>46304.540868055556</v>
      </c>
      <c r="G504" s="3">
        <v>46304.540868055556</v>
      </c>
      <c r="H504" t="s">
        <v>70</v>
      </c>
      <c r="I504" t="s">
        <v>7</v>
      </c>
      <c r="K504" t="s">
        <v>67</v>
      </c>
      <c r="L504" s="10"/>
      <c r="N504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04" s="3"/>
      <c r="P504" s="3"/>
      <c r="Q504" s="3">
        <v>46307.70416666667</v>
      </c>
      <c r="R50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504" t="str">
        <f>IF(SCTR_Brokers[[#This Row],[FechaRecepcion]]="","",TEXT(SCTR_Brokers[[#This Row],[FechaRecepcion]],"mmmm")&amp;" "&amp;YEAR(SCTR_Brokers[[#This Row],[FechaRecepcion]]))</f>
        <v>octubre 2026</v>
      </c>
      <c r="U504">
        <f>IF(SCTR_Brokers[[#This Row],[Estado]]="FINALIZADO",1,0)</f>
        <v>1</v>
      </c>
      <c r="V504">
        <f>IF(SCTR_Brokers[[#This Row],[FechaRecepcion]]="","",IF(SCTR_Brokers[[#This Row],[Estado]]="FINALIZADO",0,1))</f>
        <v>0</v>
      </c>
      <c r="W504">
        <f ca="1">IF(AND(SCTR_Brokers[[#This Row],[Estado]]="FINALIZADO",SCTR_Brokers[[#This Row],[Plazo]]=LISTAS!$J$3),1,0)</f>
        <v>0</v>
      </c>
      <c r="X504">
        <f ca="1">IF(AND(SCTR_Brokers[[#This Row],[Estado]]="FINALIZADO",SCTR_Brokers[[#This Row],[Plazo]]=LISTAS!$J$4),1,0)</f>
        <v>1</v>
      </c>
      <c r="Y504">
        <f ca="1">IF(AND(SCTR_Brokers[[#This Row],[Estado]]&lt;&gt;"FINALIZADO",SCTR_Brokers[[#This Row],[Plazo]]=LISTAS!$J$4),1,0)</f>
        <v>0</v>
      </c>
      <c r="Z504">
        <f>IF(SCTR_Brokers[[#This Row],[Fecha_Solic_Informe]]="",0,1)</f>
        <v>0</v>
      </c>
      <c r="AA504">
        <f>IF(SCTR_Brokers[[#This Row],[Fecha_Informe]]="",0,1)</f>
        <v>0</v>
      </c>
      <c r="AB504">
        <f>IF(AND(SCTR_Brokers[[#This Row],[Fecha_Solic_Informe]]&lt;&gt;"",SCTR_Brokers[[#This Row],[Fecha_Informe]]=""),1,0)</f>
        <v>0</v>
      </c>
      <c r="AC50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05" spans="1:29">
      <c r="A505" t="s">
        <v>1092</v>
      </c>
      <c r="C505" t="str">
        <f>IF(SCTR_Brokers[[#This Row],[FechaRecepcion]]="","",SCTR_Brokers[[#This Row],[ConversationId]]&amp;"-"&amp;TEXT(SCTR_Brokers[[#This Row],[FechaRecepcion]],"aaaammddhhmmss"))</f>
        <v>AAQkADdkNThjNzFkLWM0ZmMtNDJhYS04MDVlLTIwNzE4ZDI1Mzg4YgAQAN_KpDEheGhEksoev6l1_PY=-20261009130614</v>
      </c>
      <c r="D505" s="16" t="s">
        <v>1093</v>
      </c>
      <c r="E505" t="s">
        <v>21</v>
      </c>
      <c r="F505" s="3">
        <v>46304.545995370368</v>
      </c>
      <c r="G505" s="3">
        <v>46307.446828703702</v>
      </c>
      <c r="H505" t="s">
        <v>70</v>
      </c>
      <c r="I505" t="s">
        <v>7</v>
      </c>
      <c r="K505" t="s">
        <v>67</v>
      </c>
      <c r="L505" s="10"/>
      <c r="N50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05" s="3"/>
      <c r="P505" s="3"/>
      <c r="Q505" s="3">
        <v>46307.446828703702</v>
      </c>
      <c r="R50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05" t="str">
        <f>IF(SCTR_Brokers[[#This Row],[FechaRecepcion]]="","",TEXT(SCTR_Brokers[[#This Row],[FechaRecepcion]],"mmmm")&amp;" "&amp;YEAR(SCTR_Brokers[[#This Row],[FechaRecepcion]]))</f>
        <v>octubre 2026</v>
      </c>
      <c r="U505">
        <f>IF(SCTR_Brokers[[#This Row],[Estado]]="FINALIZADO",1,0)</f>
        <v>1</v>
      </c>
      <c r="V505">
        <f>IF(SCTR_Brokers[[#This Row],[FechaRecepcion]]="","",IF(SCTR_Brokers[[#This Row],[Estado]]="FINALIZADO",0,1))</f>
        <v>0</v>
      </c>
      <c r="W505">
        <f ca="1">IF(AND(SCTR_Brokers[[#This Row],[Estado]]="FINALIZADO",SCTR_Brokers[[#This Row],[Plazo]]=LISTAS!$J$3),1,0)</f>
        <v>1</v>
      </c>
      <c r="X505">
        <f ca="1">IF(AND(SCTR_Brokers[[#This Row],[Estado]]="FINALIZADO",SCTR_Brokers[[#This Row],[Plazo]]=LISTAS!$J$4),1,0)</f>
        <v>0</v>
      </c>
      <c r="Y505">
        <f ca="1">IF(AND(SCTR_Brokers[[#This Row],[Estado]]&lt;&gt;"FINALIZADO",SCTR_Brokers[[#This Row],[Plazo]]=LISTAS!$J$4),1,0)</f>
        <v>0</v>
      </c>
      <c r="Z505">
        <f>IF(SCTR_Brokers[[#This Row],[Fecha_Solic_Informe]]="",0,1)</f>
        <v>0</v>
      </c>
      <c r="AA505">
        <f>IF(SCTR_Brokers[[#This Row],[Fecha_Informe]]="",0,1)</f>
        <v>0</v>
      </c>
      <c r="AB505">
        <f>IF(AND(SCTR_Brokers[[#This Row],[Fecha_Solic_Informe]]&lt;&gt;"",SCTR_Brokers[[#This Row],[Fecha_Informe]]=""),1,0)</f>
        <v>0</v>
      </c>
      <c r="AC50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06" spans="1:29">
      <c r="A506" t="s">
        <v>1094</v>
      </c>
      <c r="C506" t="str">
        <f>IF(SCTR_Brokers[[#This Row],[FechaRecepcion]]="","",SCTR_Brokers[[#This Row],[ConversationId]]&amp;"-"&amp;TEXT(SCTR_Brokers[[#This Row],[FechaRecepcion]],"aaaammddhhmmss"))</f>
        <v>AAQkADdkNThjNzFkLWM0ZmMtNDJhYS04MDVlLTIwNzE4ZDI1Mzg4YgAQADHVjyRrXsRKrr5yw6GBomo=-20261009141210</v>
      </c>
      <c r="D506" s="16" t="s">
        <v>1095</v>
      </c>
      <c r="E506" t="s">
        <v>21</v>
      </c>
      <c r="F506" s="3">
        <v>46304.591782407406</v>
      </c>
      <c r="G506" s="3">
        <v>46307.443518518521</v>
      </c>
      <c r="H506" t="s">
        <v>70</v>
      </c>
      <c r="I506" t="s">
        <v>7</v>
      </c>
      <c r="K506" t="s">
        <v>67</v>
      </c>
      <c r="L506" s="10"/>
      <c r="N506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06" s="3"/>
      <c r="P506" s="3"/>
      <c r="Q506" s="3">
        <v>46307.443518518521</v>
      </c>
      <c r="R50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06" t="str">
        <f>IF(SCTR_Brokers[[#This Row],[FechaRecepcion]]="","",TEXT(SCTR_Brokers[[#This Row],[FechaRecepcion]],"mmmm")&amp;" "&amp;YEAR(SCTR_Brokers[[#This Row],[FechaRecepcion]]))</f>
        <v>octubre 2026</v>
      </c>
      <c r="U506">
        <f>IF(SCTR_Brokers[[#This Row],[Estado]]="FINALIZADO",1,0)</f>
        <v>1</v>
      </c>
      <c r="V506">
        <f>IF(SCTR_Brokers[[#This Row],[FechaRecepcion]]="","",IF(SCTR_Brokers[[#This Row],[Estado]]="FINALIZADO",0,1))</f>
        <v>0</v>
      </c>
      <c r="W506">
        <f ca="1">IF(AND(SCTR_Brokers[[#This Row],[Estado]]="FINALIZADO",SCTR_Brokers[[#This Row],[Plazo]]=LISTAS!$J$3),1,0)</f>
        <v>1</v>
      </c>
      <c r="X506">
        <f ca="1">IF(AND(SCTR_Brokers[[#This Row],[Estado]]="FINALIZADO",SCTR_Brokers[[#This Row],[Plazo]]=LISTAS!$J$4),1,0)</f>
        <v>0</v>
      </c>
      <c r="Y506">
        <f ca="1">IF(AND(SCTR_Brokers[[#This Row],[Estado]]&lt;&gt;"FINALIZADO",SCTR_Brokers[[#This Row],[Plazo]]=LISTAS!$J$4),1,0)</f>
        <v>0</v>
      </c>
      <c r="Z506">
        <f>IF(SCTR_Brokers[[#This Row],[Fecha_Solic_Informe]]="",0,1)</f>
        <v>0</v>
      </c>
      <c r="AA506">
        <f>IF(SCTR_Brokers[[#This Row],[Fecha_Informe]]="",0,1)</f>
        <v>0</v>
      </c>
      <c r="AB506">
        <f>IF(AND(SCTR_Brokers[[#This Row],[Fecha_Solic_Informe]]&lt;&gt;"",SCTR_Brokers[[#This Row],[Fecha_Informe]]=""),1,0)</f>
        <v>0</v>
      </c>
      <c r="AC50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07" spans="1:29">
      <c r="A507" t="s">
        <v>1096</v>
      </c>
      <c r="C507" t="str">
        <f>IF(SCTR_Brokers[[#This Row],[FechaRecepcion]]="","",SCTR_Brokers[[#This Row],[ConversationId]]&amp;"-"&amp;TEXT(SCTR_Brokers[[#This Row],[FechaRecepcion]],"aaaammddhhmmss"))</f>
        <v>AAQkADdkNThjNzFkLWM0ZmMtNDJhYS04MDVlLTIwNzE4ZDI1Mzg4YgAQAKDxYH_RrEFdgX28cD_WcvU=-20261009155824</v>
      </c>
      <c r="D507" s="16" t="s">
        <v>1097</v>
      </c>
      <c r="E507" t="s">
        <v>20</v>
      </c>
      <c r="F507" s="3">
        <v>46304.665555555555</v>
      </c>
      <c r="G507" s="3">
        <v>46307.537465277775</v>
      </c>
      <c r="H507" t="s">
        <v>356</v>
      </c>
      <c r="I507" t="s">
        <v>7</v>
      </c>
      <c r="K507" t="s">
        <v>67</v>
      </c>
      <c r="L507" s="10"/>
      <c r="N507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07" s="3"/>
      <c r="P507" s="3"/>
      <c r="Q507" s="3">
        <v>46307.536805555559</v>
      </c>
      <c r="R50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07" t="str">
        <f>IF(SCTR_Brokers[[#This Row],[FechaRecepcion]]="","",TEXT(SCTR_Brokers[[#This Row],[FechaRecepcion]],"mmmm")&amp;" "&amp;YEAR(SCTR_Brokers[[#This Row],[FechaRecepcion]]))</f>
        <v>octubre 2026</v>
      </c>
      <c r="U507">
        <f>IF(SCTR_Brokers[[#This Row],[Estado]]="FINALIZADO",1,0)</f>
        <v>1</v>
      </c>
      <c r="V507">
        <f>IF(SCTR_Brokers[[#This Row],[FechaRecepcion]]="","",IF(SCTR_Brokers[[#This Row],[Estado]]="FINALIZADO",0,1))</f>
        <v>0</v>
      </c>
      <c r="W507">
        <f ca="1">IF(AND(SCTR_Brokers[[#This Row],[Estado]]="FINALIZADO",SCTR_Brokers[[#This Row],[Plazo]]=LISTAS!$J$3),1,0)</f>
        <v>1</v>
      </c>
      <c r="X507">
        <f ca="1">IF(AND(SCTR_Brokers[[#This Row],[Estado]]="FINALIZADO",SCTR_Brokers[[#This Row],[Plazo]]=LISTAS!$J$4),1,0)</f>
        <v>0</v>
      </c>
      <c r="Y507">
        <f ca="1">IF(AND(SCTR_Brokers[[#This Row],[Estado]]&lt;&gt;"FINALIZADO",SCTR_Brokers[[#This Row],[Plazo]]=LISTAS!$J$4),1,0)</f>
        <v>0</v>
      </c>
      <c r="Z507">
        <f>IF(SCTR_Brokers[[#This Row],[Fecha_Solic_Informe]]="",0,1)</f>
        <v>0</v>
      </c>
      <c r="AA507">
        <f>IF(SCTR_Brokers[[#This Row],[Fecha_Informe]]="",0,1)</f>
        <v>0</v>
      </c>
      <c r="AB507">
        <f>IF(AND(SCTR_Brokers[[#This Row],[Fecha_Solic_Informe]]&lt;&gt;"",SCTR_Brokers[[#This Row],[Fecha_Informe]]=""),1,0)</f>
        <v>0</v>
      </c>
      <c r="AC50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08" spans="1:29">
      <c r="A508" t="s">
        <v>1098</v>
      </c>
      <c r="C508" t="str">
        <f>IF(SCTR_Brokers[[#This Row],[FechaRecepcion]]="","",SCTR_Brokers[[#This Row],[ConversationId]]&amp;"-"&amp;TEXT(SCTR_Brokers[[#This Row],[FechaRecepcion]],"aaaammddhhmmss"))</f>
        <v>AAQkADdkNThjNzFkLWM0ZmMtNDJhYS04MDVlLTIwNzE4ZDI1Mzg4YgAQANOvIEUdcbNPmXV1LP0k10M=-20261009160550</v>
      </c>
      <c r="D508" s="16" t="s">
        <v>1099</v>
      </c>
      <c r="E508" t="s">
        <v>23</v>
      </c>
      <c r="F508" s="3">
        <v>46304.670717592591</v>
      </c>
      <c r="G508" s="3">
        <v>46307.437094907407</v>
      </c>
      <c r="H508" t="s">
        <v>70</v>
      </c>
      <c r="I508" t="s">
        <v>7</v>
      </c>
      <c r="K508" t="s">
        <v>67</v>
      </c>
      <c r="L508" s="10"/>
      <c r="N508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08" s="3"/>
      <c r="P508" s="3"/>
      <c r="Q508" s="3">
        <v>46307.437094907407</v>
      </c>
      <c r="R50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08" t="str">
        <f>IF(SCTR_Brokers[[#This Row],[FechaRecepcion]]="","",TEXT(SCTR_Brokers[[#This Row],[FechaRecepcion]],"mmmm")&amp;" "&amp;YEAR(SCTR_Brokers[[#This Row],[FechaRecepcion]]))</f>
        <v>octubre 2026</v>
      </c>
      <c r="U508">
        <f>IF(SCTR_Brokers[[#This Row],[Estado]]="FINALIZADO",1,0)</f>
        <v>1</v>
      </c>
      <c r="V508">
        <f>IF(SCTR_Brokers[[#This Row],[FechaRecepcion]]="","",IF(SCTR_Brokers[[#This Row],[Estado]]="FINALIZADO",0,1))</f>
        <v>0</v>
      </c>
      <c r="W508">
        <f ca="1">IF(AND(SCTR_Brokers[[#This Row],[Estado]]="FINALIZADO",SCTR_Brokers[[#This Row],[Plazo]]=LISTAS!$J$3),1,0)</f>
        <v>1</v>
      </c>
      <c r="X508">
        <f ca="1">IF(AND(SCTR_Brokers[[#This Row],[Estado]]="FINALIZADO",SCTR_Brokers[[#This Row],[Plazo]]=LISTAS!$J$4),1,0)</f>
        <v>0</v>
      </c>
      <c r="Y508">
        <f ca="1">IF(AND(SCTR_Brokers[[#This Row],[Estado]]&lt;&gt;"FINALIZADO",SCTR_Brokers[[#This Row],[Plazo]]=LISTAS!$J$4),1,0)</f>
        <v>0</v>
      </c>
      <c r="Z508">
        <f>IF(SCTR_Brokers[[#This Row],[Fecha_Solic_Informe]]="",0,1)</f>
        <v>0</v>
      </c>
      <c r="AA508">
        <f>IF(SCTR_Brokers[[#This Row],[Fecha_Informe]]="",0,1)</f>
        <v>0</v>
      </c>
      <c r="AB508">
        <f>IF(AND(SCTR_Brokers[[#This Row],[Fecha_Solic_Informe]]&lt;&gt;"",SCTR_Brokers[[#This Row],[Fecha_Informe]]=""),1,0)</f>
        <v>0</v>
      </c>
      <c r="AC50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09" spans="1:29">
      <c r="A509" t="s">
        <v>1086</v>
      </c>
      <c r="C509" t="str">
        <f>IF(SCTR_Brokers[[#This Row],[FechaRecepcion]]="","",SCTR_Brokers[[#This Row],[ConversationId]]&amp;"-"&amp;TEXT(SCTR_Brokers[[#This Row],[FechaRecepcion]],"aaaammddhhmmss"))</f>
        <v>AAQkADdkNThjNzFkLWM0ZmMtNDJhYS04MDVlLTIwNzE4ZDI1Mzg4YgAQAB-5dxcnvk8yk-7j-l0wQGc=-20261009162208</v>
      </c>
      <c r="D509" s="16" t="s">
        <v>1100</v>
      </c>
      <c r="E509" t="s">
        <v>8</v>
      </c>
      <c r="F509" s="3">
        <v>46304.682037037041</v>
      </c>
      <c r="G509" s="3">
        <v>46306.721770833334</v>
      </c>
      <c r="H509" t="s">
        <v>217</v>
      </c>
      <c r="I509" t="s">
        <v>7</v>
      </c>
      <c r="J509" t="s">
        <v>218</v>
      </c>
      <c r="K509" t="s">
        <v>67</v>
      </c>
      <c r="L509" s="10"/>
      <c r="N50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09" s="3"/>
      <c r="P509" s="3"/>
      <c r="Q509" s="3">
        <v>46306.721770833334</v>
      </c>
      <c r="R50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09" t="str">
        <f>IF(SCTR_Brokers[[#This Row],[FechaRecepcion]]="","",TEXT(SCTR_Brokers[[#This Row],[FechaRecepcion]],"mmmm")&amp;" "&amp;YEAR(SCTR_Brokers[[#This Row],[FechaRecepcion]]))</f>
        <v>octubre 2026</v>
      </c>
      <c r="U509">
        <f>IF(SCTR_Brokers[[#This Row],[Estado]]="FINALIZADO",1,0)</f>
        <v>1</v>
      </c>
      <c r="V509">
        <f>IF(SCTR_Brokers[[#This Row],[FechaRecepcion]]="","",IF(SCTR_Brokers[[#This Row],[Estado]]="FINALIZADO",0,1))</f>
        <v>0</v>
      </c>
      <c r="W509">
        <f ca="1">IF(AND(SCTR_Brokers[[#This Row],[Estado]]="FINALIZADO",SCTR_Brokers[[#This Row],[Plazo]]=LISTAS!$J$3),1,0)</f>
        <v>1</v>
      </c>
      <c r="X509">
        <f ca="1">IF(AND(SCTR_Brokers[[#This Row],[Estado]]="FINALIZADO",SCTR_Brokers[[#This Row],[Plazo]]=LISTAS!$J$4),1,0)</f>
        <v>0</v>
      </c>
      <c r="Y509">
        <f ca="1">IF(AND(SCTR_Brokers[[#This Row],[Estado]]&lt;&gt;"FINALIZADO",SCTR_Brokers[[#This Row],[Plazo]]=LISTAS!$J$4),1,0)</f>
        <v>0</v>
      </c>
      <c r="Z509">
        <f>IF(SCTR_Brokers[[#This Row],[Fecha_Solic_Informe]]="",0,1)</f>
        <v>0</v>
      </c>
      <c r="AA509">
        <f>IF(SCTR_Brokers[[#This Row],[Fecha_Informe]]="",0,1)</f>
        <v>0</v>
      </c>
      <c r="AB509">
        <f>IF(AND(SCTR_Brokers[[#This Row],[Fecha_Solic_Informe]]&lt;&gt;"",SCTR_Brokers[[#This Row],[Fecha_Informe]]=""),1,0)</f>
        <v>0</v>
      </c>
      <c r="AC50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10" spans="1:29">
      <c r="A510" t="s">
        <v>1101</v>
      </c>
      <c r="C510" t="str">
        <f>IF(SCTR_Brokers[[#This Row],[FechaRecepcion]]="","",SCTR_Brokers[[#This Row],[ConversationId]]&amp;"-"&amp;TEXT(SCTR_Brokers[[#This Row],[FechaRecepcion]],"aaaammddhhmmss"))</f>
        <v>AAQkADdkNThjNzFkLWM0ZmMtNDJhYS04MDVlLTIwNzE4ZDI1Mzg4YgAQAKTll6tlkEErpoHLvMNzXDg=-20261011180453</v>
      </c>
      <c r="D510" s="16" t="s">
        <v>1102</v>
      </c>
      <c r="E510" t="s">
        <v>23</v>
      </c>
      <c r="F510" s="3">
        <v>46306.753391203703</v>
      </c>
      <c r="G510" s="3">
        <v>46307.427106481482</v>
      </c>
      <c r="H510" t="s">
        <v>70</v>
      </c>
      <c r="I510" t="s">
        <v>7</v>
      </c>
      <c r="K510" t="s">
        <v>67</v>
      </c>
      <c r="L510" s="10"/>
      <c r="N51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10" s="3"/>
      <c r="P510" s="3"/>
      <c r="Q510" s="3">
        <v>46307.427106481482</v>
      </c>
      <c r="R51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10" t="str">
        <f>IF(SCTR_Brokers[[#This Row],[FechaRecepcion]]="","",TEXT(SCTR_Brokers[[#This Row],[FechaRecepcion]],"mmmm")&amp;" "&amp;YEAR(SCTR_Brokers[[#This Row],[FechaRecepcion]]))</f>
        <v>octubre 2026</v>
      </c>
      <c r="U510">
        <f>IF(SCTR_Brokers[[#This Row],[Estado]]="FINALIZADO",1,0)</f>
        <v>1</v>
      </c>
      <c r="V510">
        <f>IF(SCTR_Brokers[[#This Row],[FechaRecepcion]]="","",IF(SCTR_Brokers[[#This Row],[Estado]]="FINALIZADO",0,1))</f>
        <v>0</v>
      </c>
      <c r="W510">
        <f ca="1">IF(AND(SCTR_Brokers[[#This Row],[Estado]]="FINALIZADO",SCTR_Brokers[[#This Row],[Plazo]]=LISTAS!$J$3),1,0)</f>
        <v>1</v>
      </c>
      <c r="X510">
        <f ca="1">IF(AND(SCTR_Brokers[[#This Row],[Estado]]="FINALIZADO",SCTR_Brokers[[#This Row],[Plazo]]=LISTAS!$J$4),1,0)</f>
        <v>0</v>
      </c>
      <c r="Y510">
        <f ca="1">IF(AND(SCTR_Brokers[[#This Row],[Estado]]&lt;&gt;"FINALIZADO",SCTR_Brokers[[#This Row],[Plazo]]=LISTAS!$J$4),1,0)</f>
        <v>0</v>
      </c>
      <c r="Z510">
        <f>IF(SCTR_Brokers[[#This Row],[Fecha_Solic_Informe]]="",0,1)</f>
        <v>0</v>
      </c>
      <c r="AA510">
        <f>IF(SCTR_Brokers[[#This Row],[Fecha_Informe]]="",0,1)</f>
        <v>0</v>
      </c>
      <c r="AB510">
        <f>IF(AND(SCTR_Brokers[[#This Row],[Fecha_Solic_Informe]]&lt;&gt;"",SCTR_Brokers[[#This Row],[Fecha_Informe]]=""),1,0)</f>
        <v>0</v>
      </c>
      <c r="AC51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11" spans="1:29">
      <c r="A511" t="s">
        <v>1103</v>
      </c>
      <c r="C511" t="str">
        <f>IF(SCTR_Brokers[[#This Row],[FechaRecepcion]]="","",SCTR_Brokers[[#This Row],[ConversationId]]&amp;"-"&amp;TEXT(SCTR_Brokers[[#This Row],[FechaRecepcion]],"aaaammddhhmmss"))</f>
        <v>AAQkADdkNThjNzFkLWM0ZmMtNDJhYS04MDVlLTIwNzE4ZDI1Mzg4YgAQAGdKBq3QgEUIq7ELt5aJTHE=-20261012083054</v>
      </c>
      <c r="D511" s="16" t="s">
        <v>1104</v>
      </c>
      <c r="E511" t="s">
        <v>21</v>
      </c>
      <c r="F511" s="3">
        <v>46307.354791666665</v>
      </c>
      <c r="G511" s="3">
        <v>46307.711608796293</v>
      </c>
      <c r="H511" t="s">
        <v>70</v>
      </c>
      <c r="K511" t="s">
        <v>67</v>
      </c>
      <c r="L511" s="10"/>
      <c r="N511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>2.8</v>
      </c>
      <c r="O511" s="3"/>
      <c r="P511" s="3"/>
      <c r="Q511" s="3"/>
      <c r="R51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11" t="str">
        <f>IF(SCTR_Brokers[[#This Row],[FechaRecepcion]]="","",TEXT(SCTR_Brokers[[#This Row],[FechaRecepcion]],"mmmm")&amp;" "&amp;YEAR(SCTR_Brokers[[#This Row],[FechaRecepcion]]))</f>
        <v>octubre 2026</v>
      </c>
      <c r="U511">
        <f>IF(SCTR_Brokers[[#This Row],[Estado]]="FINALIZADO",1,0)</f>
        <v>0</v>
      </c>
      <c r="V511">
        <f>IF(SCTR_Brokers[[#This Row],[FechaRecepcion]]="","",IF(SCTR_Brokers[[#This Row],[Estado]]="FINALIZADO",0,1))</f>
        <v>1</v>
      </c>
      <c r="W511">
        <f ca="1">IF(AND(SCTR_Brokers[[#This Row],[Estado]]="FINALIZADO",SCTR_Brokers[[#This Row],[Plazo]]=LISTAS!$J$3),1,0)</f>
        <v>0</v>
      </c>
      <c r="X511">
        <f ca="1">IF(AND(SCTR_Brokers[[#This Row],[Estado]]="FINALIZADO",SCTR_Brokers[[#This Row],[Plazo]]=LISTAS!$J$4),1,0)</f>
        <v>0</v>
      </c>
      <c r="Y511">
        <f ca="1">IF(AND(SCTR_Brokers[[#This Row],[Estado]]&lt;&gt;"FINALIZADO",SCTR_Brokers[[#This Row],[Plazo]]=LISTAS!$J$4),1,0)</f>
        <v>0</v>
      </c>
      <c r="Z511">
        <f>IF(SCTR_Brokers[[#This Row],[Fecha_Solic_Informe]]="",0,1)</f>
        <v>0</v>
      </c>
      <c r="AA511">
        <f>IF(SCTR_Brokers[[#This Row],[Fecha_Informe]]="",0,1)</f>
        <v>0</v>
      </c>
      <c r="AB511">
        <f>IF(AND(SCTR_Brokers[[#This Row],[Fecha_Solic_Informe]]&lt;&gt;"",SCTR_Brokers[[#This Row],[Fecha_Informe]]=""),1,0)</f>
        <v>0</v>
      </c>
      <c r="AC51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12" spans="1:29">
      <c r="A512" t="s">
        <v>1105</v>
      </c>
      <c r="C512" t="str">
        <f>IF(SCTR_Brokers[[#This Row],[FechaRecepcion]]="","",SCTR_Brokers[[#This Row],[ConversationId]]&amp;"-"&amp;TEXT(SCTR_Brokers[[#This Row],[FechaRecepcion]],"aaaammddhhmmss"))</f>
        <v>AAQkADdkNThjNzFkLWM0ZmMtNDJhYS04MDVlLTIwNzE4ZDI1Mzg4YgAQAN20GoyEQNxNgx9EXBmCRGs=-20261012095151</v>
      </c>
      <c r="D512" s="16" t="s">
        <v>1106</v>
      </c>
      <c r="E512" t="s">
        <v>8</v>
      </c>
      <c r="F512" s="3">
        <v>46307.411006944443</v>
      </c>
      <c r="G512" s="3">
        <v>46307.411006944443</v>
      </c>
      <c r="H512" t="s">
        <v>1107</v>
      </c>
      <c r="K512" t="s">
        <v>67</v>
      </c>
      <c r="L512" s="10"/>
      <c r="N512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>10.1</v>
      </c>
      <c r="O512" s="3"/>
      <c r="P512" s="3"/>
      <c r="Q512" s="3"/>
      <c r="R51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512" t="str">
        <f>IF(SCTR_Brokers[[#This Row],[FechaRecepcion]]="","",TEXT(SCTR_Brokers[[#This Row],[FechaRecepcion]],"mmmm")&amp;" "&amp;YEAR(SCTR_Brokers[[#This Row],[FechaRecepcion]]))</f>
        <v>octubre 2026</v>
      </c>
      <c r="U512">
        <f>IF(SCTR_Brokers[[#This Row],[Estado]]="FINALIZADO",1,0)</f>
        <v>0</v>
      </c>
      <c r="V512">
        <f>IF(SCTR_Brokers[[#This Row],[FechaRecepcion]]="","",IF(SCTR_Brokers[[#This Row],[Estado]]="FINALIZADO",0,1))</f>
        <v>1</v>
      </c>
      <c r="W512">
        <f ca="1">IF(AND(SCTR_Brokers[[#This Row],[Estado]]="FINALIZADO",SCTR_Brokers[[#This Row],[Plazo]]=LISTAS!$J$3),1,0)</f>
        <v>0</v>
      </c>
      <c r="X512">
        <f ca="1">IF(AND(SCTR_Brokers[[#This Row],[Estado]]="FINALIZADO",SCTR_Brokers[[#This Row],[Plazo]]=LISTAS!$J$4),1,0)</f>
        <v>0</v>
      </c>
      <c r="Y512">
        <f ca="1">IF(AND(SCTR_Brokers[[#This Row],[Estado]]&lt;&gt;"FINALIZADO",SCTR_Brokers[[#This Row],[Plazo]]=LISTAS!$J$4),1,0)</f>
        <v>1</v>
      </c>
      <c r="Z512">
        <f>IF(SCTR_Brokers[[#This Row],[Fecha_Solic_Informe]]="",0,1)</f>
        <v>0</v>
      </c>
      <c r="AA512">
        <f>IF(SCTR_Brokers[[#This Row],[Fecha_Informe]]="",0,1)</f>
        <v>0</v>
      </c>
      <c r="AB512">
        <f>IF(AND(SCTR_Brokers[[#This Row],[Fecha_Solic_Informe]]&lt;&gt;"",SCTR_Brokers[[#This Row],[Fecha_Informe]]=""),1,0)</f>
        <v>0</v>
      </c>
      <c r="AC51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13" spans="1:29">
      <c r="A513" t="s">
        <v>1012</v>
      </c>
      <c r="C513" t="str">
        <f>IF(SCTR_Brokers[[#This Row],[FechaRecepcion]]="","",SCTR_Brokers[[#This Row],[ConversationId]]&amp;"-"&amp;TEXT(SCTR_Brokers[[#This Row],[FechaRecepcion]],"aaaammddhhmmss"))</f>
        <v>AAQkADdkNThjNzFkLWM0ZmMtNDJhYS04MDVlLTIwNzE4ZDI1Mzg4YgAQAGSMVY53ME06rhHDi3hwNMk=-20261012102015</v>
      </c>
      <c r="D513" s="16" t="s">
        <v>1022</v>
      </c>
      <c r="E513" t="s">
        <v>14</v>
      </c>
      <c r="F513" s="3">
        <v>46307.43072916667</v>
      </c>
      <c r="G513" s="3">
        <v>46308.36136574074</v>
      </c>
      <c r="H513" t="s">
        <v>115</v>
      </c>
      <c r="I513" t="s">
        <v>13</v>
      </c>
      <c r="K513" t="s">
        <v>138</v>
      </c>
      <c r="L513" s="10" t="s">
        <v>1108</v>
      </c>
      <c r="N513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>1.7</v>
      </c>
      <c r="O513" s="3">
        <v>46307.450590277775</v>
      </c>
      <c r="P513" s="3"/>
      <c r="Q513" s="3"/>
      <c r="R51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13" t="str">
        <f>IF(SCTR_Brokers[[#This Row],[FechaRecepcion]]="","",TEXT(SCTR_Brokers[[#This Row],[FechaRecepcion]],"mmmm")&amp;" "&amp;YEAR(SCTR_Brokers[[#This Row],[FechaRecepcion]]))</f>
        <v>octubre 2026</v>
      </c>
      <c r="U513">
        <f>IF(SCTR_Brokers[[#This Row],[Estado]]="FINALIZADO",1,0)</f>
        <v>0</v>
      </c>
      <c r="V513">
        <f>IF(SCTR_Brokers[[#This Row],[FechaRecepcion]]="","",IF(SCTR_Brokers[[#This Row],[Estado]]="FINALIZADO",0,1))</f>
        <v>1</v>
      </c>
      <c r="W513">
        <f ca="1">IF(AND(SCTR_Brokers[[#This Row],[Estado]]="FINALIZADO",SCTR_Brokers[[#This Row],[Plazo]]=LISTAS!$J$3),1,0)</f>
        <v>0</v>
      </c>
      <c r="X513">
        <f ca="1">IF(AND(SCTR_Brokers[[#This Row],[Estado]]="FINALIZADO",SCTR_Brokers[[#This Row],[Plazo]]=LISTAS!$J$4),1,0)</f>
        <v>0</v>
      </c>
      <c r="Y513">
        <f ca="1">IF(AND(SCTR_Brokers[[#This Row],[Estado]]&lt;&gt;"FINALIZADO",SCTR_Brokers[[#This Row],[Plazo]]=LISTAS!$J$4),1,0)</f>
        <v>0</v>
      </c>
      <c r="Z513">
        <f>IF(SCTR_Brokers[[#This Row],[Fecha_Solic_Informe]]="",0,1)</f>
        <v>1</v>
      </c>
      <c r="AA513">
        <f>IF(SCTR_Brokers[[#This Row],[Fecha_Informe]]="",0,1)</f>
        <v>0</v>
      </c>
      <c r="AB513">
        <f>IF(AND(SCTR_Brokers[[#This Row],[Fecha_Solic_Informe]]&lt;&gt;"",SCTR_Brokers[[#This Row],[Fecha_Informe]]=""),1,0)</f>
        <v>1</v>
      </c>
      <c r="AC51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14" spans="1:29">
      <c r="A514" t="s">
        <v>957</v>
      </c>
      <c r="C514" t="str">
        <f>IF(SCTR_Brokers[[#This Row],[FechaRecepcion]]="","",SCTR_Brokers[[#This Row],[ConversationId]]&amp;"-"&amp;TEXT(SCTR_Brokers[[#This Row],[FechaRecepcion]],"aaaammddhhmmss"))</f>
        <v>AAQkADdkNThjNzFkLWM0ZmMtNDJhYS04MDVlLTIwNzE4ZDI1Mzg4YgAQAMMe1tEDDihPjq3CfJUMDbM=-20261012105807</v>
      </c>
      <c r="D514" s="16" t="s">
        <v>1109</v>
      </c>
      <c r="E514" t="s">
        <v>23</v>
      </c>
      <c r="F514" s="3">
        <v>46307.457025462965</v>
      </c>
      <c r="G514" s="3">
        <v>46307.457025462965</v>
      </c>
      <c r="H514" t="s">
        <v>959</v>
      </c>
      <c r="K514" t="s">
        <v>67</v>
      </c>
      <c r="L514" s="10"/>
      <c r="N514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>8.9</v>
      </c>
      <c r="O514" s="3"/>
      <c r="P514" s="3"/>
      <c r="Q514" s="3"/>
      <c r="R51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514" t="str">
        <f>IF(SCTR_Brokers[[#This Row],[FechaRecepcion]]="","",TEXT(SCTR_Brokers[[#This Row],[FechaRecepcion]],"mmmm")&amp;" "&amp;YEAR(SCTR_Brokers[[#This Row],[FechaRecepcion]]))</f>
        <v>octubre 2026</v>
      </c>
      <c r="U514">
        <f>IF(SCTR_Brokers[[#This Row],[Estado]]="FINALIZADO",1,0)</f>
        <v>0</v>
      </c>
      <c r="V514">
        <f>IF(SCTR_Brokers[[#This Row],[FechaRecepcion]]="","",IF(SCTR_Brokers[[#This Row],[Estado]]="FINALIZADO",0,1))</f>
        <v>1</v>
      </c>
      <c r="W514">
        <f ca="1">IF(AND(SCTR_Brokers[[#This Row],[Estado]]="FINALIZADO",SCTR_Brokers[[#This Row],[Plazo]]=LISTAS!$J$3),1,0)</f>
        <v>0</v>
      </c>
      <c r="X514">
        <f ca="1">IF(AND(SCTR_Brokers[[#This Row],[Estado]]="FINALIZADO",SCTR_Brokers[[#This Row],[Plazo]]=LISTAS!$J$4),1,0)</f>
        <v>0</v>
      </c>
      <c r="Y514">
        <f ca="1">IF(AND(SCTR_Brokers[[#This Row],[Estado]]&lt;&gt;"FINALIZADO",SCTR_Brokers[[#This Row],[Plazo]]=LISTAS!$J$4),1,0)</f>
        <v>1</v>
      </c>
      <c r="Z514">
        <f>IF(SCTR_Brokers[[#This Row],[Fecha_Solic_Informe]]="",0,1)</f>
        <v>0</v>
      </c>
      <c r="AA514">
        <f>IF(SCTR_Brokers[[#This Row],[Fecha_Informe]]="",0,1)</f>
        <v>0</v>
      </c>
      <c r="AB514">
        <f>IF(AND(SCTR_Brokers[[#This Row],[Fecha_Solic_Informe]]&lt;&gt;"",SCTR_Brokers[[#This Row],[Fecha_Informe]]=""),1,0)</f>
        <v>0</v>
      </c>
      <c r="AC51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15" spans="1:29">
      <c r="A515" t="s">
        <v>1110</v>
      </c>
      <c r="C515" t="str">
        <f>IF(SCTR_Brokers[[#This Row],[FechaRecepcion]]="","",SCTR_Brokers[[#This Row],[ConversationId]]&amp;"-"&amp;TEXT(SCTR_Brokers[[#This Row],[FechaRecepcion]],"aaaammddhhmmss"))</f>
        <v>AAQkADdkNThjNzFkLWM0ZmMtNDJhYS04MDVlLTIwNzE4ZDI1Mzg4YgAQAM_3P8UtEEBzliSg2Ftr4go=-20261012110247</v>
      </c>
      <c r="D515" s="16" t="s">
        <v>1111</v>
      </c>
      <c r="E515" t="s">
        <v>21</v>
      </c>
      <c r="F515" s="3">
        <v>46307.460266203707</v>
      </c>
      <c r="G515" s="3">
        <v>46307.497233796297</v>
      </c>
      <c r="H515" t="s">
        <v>70</v>
      </c>
      <c r="I515" t="s">
        <v>7</v>
      </c>
      <c r="K515" t="s">
        <v>67</v>
      </c>
      <c r="L515" s="10"/>
      <c r="N515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15" s="3"/>
      <c r="P515" s="3"/>
      <c r="Q515" s="3">
        <v>46307.497233796297</v>
      </c>
      <c r="R51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15" t="str">
        <f>IF(SCTR_Brokers[[#This Row],[FechaRecepcion]]="","",TEXT(SCTR_Brokers[[#This Row],[FechaRecepcion]],"mmmm")&amp;" "&amp;YEAR(SCTR_Brokers[[#This Row],[FechaRecepcion]]))</f>
        <v>octubre 2026</v>
      </c>
      <c r="U515">
        <f>IF(SCTR_Brokers[[#This Row],[Estado]]="FINALIZADO",1,0)</f>
        <v>1</v>
      </c>
      <c r="V515">
        <f>IF(SCTR_Brokers[[#This Row],[FechaRecepcion]]="","",IF(SCTR_Brokers[[#This Row],[Estado]]="FINALIZADO",0,1))</f>
        <v>0</v>
      </c>
      <c r="W515">
        <f ca="1">IF(AND(SCTR_Brokers[[#This Row],[Estado]]="FINALIZADO",SCTR_Brokers[[#This Row],[Plazo]]=LISTAS!$J$3),1,0)</f>
        <v>1</v>
      </c>
      <c r="X515">
        <f ca="1">IF(AND(SCTR_Brokers[[#This Row],[Estado]]="FINALIZADO",SCTR_Brokers[[#This Row],[Plazo]]=LISTAS!$J$4),1,0)</f>
        <v>0</v>
      </c>
      <c r="Y515">
        <f ca="1">IF(AND(SCTR_Brokers[[#This Row],[Estado]]&lt;&gt;"FINALIZADO",SCTR_Brokers[[#This Row],[Plazo]]=LISTAS!$J$4),1,0)</f>
        <v>0</v>
      </c>
      <c r="Z515">
        <f>IF(SCTR_Brokers[[#This Row],[Fecha_Solic_Informe]]="",0,1)</f>
        <v>0</v>
      </c>
      <c r="AA515">
        <f>IF(SCTR_Brokers[[#This Row],[Fecha_Informe]]="",0,1)</f>
        <v>0</v>
      </c>
      <c r="AB515">
        <f>IF(AND(SCTR_Brokers[[#This Row],[Fecha_Solic_Informe]]&lt;&gt;"",SCTR_Brokers[[#This Row],[Fecha_Informe]]=""),1,0)</f>
        <v>0</v>
      </c>
      <c r="AC51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16" spans="1:29">
      <c r="A516" t="s">
        <v>1112</v>
      </c>
      <c r="C516" t="str">
        <f>IF(SCTR_Brokers[[#This Row],[FechaRecepcion]]="","",SCTR_Brokers[[#This Row],[ConversationId]]&amp;"-"&amp;TEXT(SCTR_Brokers[[#This Row],[FechaRecepcion]],"aaaammddhhmmss"))</f>
        <v>AAQkADdkNThjNzFkLWM0ZmMtNDJhYS04MDVlLTIwNzE4ZDI1Mzg4YgAQAG64aq7TVeRFiFSRdNBV4Nc=-20261012110825</v>
      </c>
      <c r="D516" s="16" t="s">
        <v>1113</v>
      </c>
      <c r="E516" t="s">
        <v>20</v>
      </c>
      <c r="F516" s="3">
        <v>46307.464178240742</v>
      </c>
      <c r="G516" s="3">
        <v>46307.464178240742</v>
      </c>
      <c r="H516" t="s">
        <v>338</v>
      </c>
      <c r="K516" t="s">
        <v>67</v>
      </c>
      <c r="L516" s="10"/>
      <c r="N516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>8.8000000000000007</v>
      </c>
      <c r="O516" s="3"/>
      <c r="P516" s="3"/>
      <c r="Q516" s="3"/>
      <c r="R51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516" t="str">
        <f>IF(SCTR_Brokers[[#This Row],[FechaRecepcion]]="","",TEXT(SCTR_Brokers[[#This Row],[FechaRecepcion]],"mmmm")&amp;" "&amp;YEAR(SCTR_Brokers[[#This Row],[FechaRecepcion]]))</f>
        <v>octubre 2026</v>
      </c>
      <c r="U516">
        <f>IF(SCTR_Brokers[[#This Row],[Estado]]="FINALIZADO",1,0)</f>
        <v>0</v>
      </c>
      <c r="V516">
        <f>IF(SCTR_Brokers[[#This Row],[FechaRecepcion]]="","",IF(SCTR_Brokers[[#This Row],[Estado]]="FINALIZADO",0,1))</f>
        <v>1</v>
      </c>
      <c r="W516">
        <f ca="1">IF(AND(SCTR_Brokers[[#This Row],[Estado]]="FINALIZADO",SCTR_Brokers[[#This Row],[Plazo]]=LISTAS!$J$3),1,0)</f>
        <v>0</v>
      </c>
      <c r="X516">
        <f ca="1">IF(AND(SCTR_Brokers[[#This Row],[Estado]]="FINALIZADO",SCTR_Brokers[[#This Row],[Plazo]]=LISTAS!$J$4),1,0)</f>
        <v>0</v>
      </c>
      <c r="Y516">
        <f ca="1">IF(AND(SCTR_Brokers[[#This Row],[Estado]]&lt;&gt;"FINALIZADO",SCTR_Brokers[[#This Row],[Plazo]]=LISTAS!$J$4),1,0)</f>
        <v>1</v>
      </c>
      <c r="Z516">
        <f>IF(SCTR_Brokers[[#This Row],[Fecha_Solic_Informe]]="",0,1)</f>
        <v>0</v>
      </c>
      <c r="AA516">
        <f>IF(SCTR_Brokers[[#This Row],[Fecha_Informe]]="",0,1)</f>
        <v>0</v>
      </c>
      <c r="AB516">
        <f>IF(AND(SCTR_Brokers[[#This Row],[Fecha_Solic_Informe]]&lt;&gt;"",SCTR_Brokers[[#This Row],[Fecha_Informe]]=""),1,0)</f>
        <v>0</v>
      </c>
      <c r="AC51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17" spans="1:29">
      <c r="A517" t="s">
        <v>1114</v>
      </c>
      <c r="C517" t="str">
        <f>IF(SCTR_Brokers[[#This Row],[FechaRecepcion]]="","",SCTR_Brokers[[#This Row],[ConversationId]]&amp;"-"&amp;TEXT(SCTR_Brokers[[#This Row],[FechaRecepcion]],"aaaammddhhmmss"))</f>
        <v>AAQkADdkNThjNzFkLWM0ZmMtNDJhYS04MDVlLTIwNzE4ZDI1Mzg4YgAQAOg_8CF_CmVDj_YhPK_uTds=-20261012120811</v>
      </c>
      <c r="D517" s="16" t="s">
        <v>1115</v>
      </c>
      <c r="E517" t="s">
        <v>8</v>
      </c>
      <c r="F517" s="3">
        <v>46307.505682870367</v>
      </c>
      <c r="G517" s="3">
        <v>46307.505682870367</v>
      </c>
      <c r="H517" t="s">
        <v>1116</v>
      </c>
      <c r="K517" t="s">
        <v>67</v>
      </c>
      <c r="L517" s="10"/>
      <c r="N517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>7.8</v>
      </c>
      <c r="O517" s="3"/>
      <c r="P517" s="3"/>
      <c r="Q517" s="3"/>
      <c r="R51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Fuera</v>
      </c>
      <c r="T517" t="str">
        <f>IF(SCTR_Brokers[[#This Row],[FechaRecepcion]]="","",TEXT(SCTR_Brokers[[#This Row],[FechaRecepcion]],"mmmm")&amp;" "&amp;YEAR(SCTR_Brokers[[#This Row],[FechaRecepcion]]))</f>
        <v>octubre 2026</v>
      </c>
      <c r="U517">
        <f>IF(SCTR_Brokers[[#This Row],[Estado]]="FINALIZADO",1,0)</f>
        <v>0</v>
      </c>
      <c r="V517">
        <f>IF(SCTR_Brokers[[#This Row],[FechaRecepcion]]="","",IF(SCTR_Brokers[[#This Row],[Estado]]="FINALIZADO",0,1))</f>
        <v>1</v>
      </c>
      <c r="W517">
        <f ca="1">IF(AND(SCTR_Brokers[[#This Row],[Estado]]="FINALIZADO",SCTR_Brokers[[#This Row],[Plazo]]=LISTAS!$J$3),1,0)</f>
        <v>0</v>
      </c>
      <c r="X517">
        <f ca="1">IF(AND(SCTR_Brokers[[#This Row],[Estado]]="FINALIZADO",SCTR_Brokers[[#This Row],[Plazo]]=LISTAS!$J$4),1,0)</f>
        <v>0</v>
      </c>
      <c r="Y517">
        <f ca="1">IF(AND(SCTR_Brokers[[#This Row],[Estado]]&lt;&gt;"FINALIZADO",SCTR_Brokers[[#This Row],[Plazo]]=LISTAS!$J$4),1,0)</f>
        <v>1</v>
      </c>
      <c r="Z517">
        <f>IF(SCTR_Brokers[[#This Row],[Fecha_Solic_Informe]]="",0,1)</f>
        <v>0</v>
      </c>
      <c r="AA517">
        <f>IF(SCTR_Brokers[[#This Row],[Fecha_Informe]]="",0,1)</f>
        <v>0</v>
      </c>
      <c r="AB517">
        <f>IF(AND(SCTR_Brokers[[#This Row],[Fecha_Solic_Informe]]&lt;&gt;"",SCTR_Brokers[[#This Row],[Fecha_Informe]]=""),1,0)</f>
        <v>0</v>
      </c>
      <c r="AC51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18" spans="1:29">
      <c r="A518" t="s">
        <v>1117</v>
      </c>
      <c r="C518" t="str">
        <f>IF(SCTR_Brokers[[#This Row],[FechaRecepcion]]="","",SCTR_Brokers[[#This Row],[ConversationId]]&amp;"-"&amp;TEXT(SCTR_Brokers[[#This Row],[FechaRecepcion]],"aaaammddhhmmss"))</f>
        <v>AAQkADdkNThjNzFkLWM0ZmMtNDJhYS04MDVlLTIwNzE4ZDI1Mzg4YgAQAPxTjZ5Y2l1GopOOh0CVnm0=-20261012121155</v>
      </c>
      <c r="D518" s="16" t="s">
        <v>1118</v>
      </c>
      <c r="E518" t="s">
        <v>21</v>
      </c>
      <c r="F518" s="3">
        <v>46307.508275462962</v>
      </c>
      <c r="G518" s="3">
        <v>46308.38554398148</v>
      </c>
      <c r="H518" t="s">
        <v>838</v>
      </c>
      <c r="K518" t="s">
        <v>67</v>
      </c>
      <c r="L518" s="10"/>
      <c r="N518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>1.2</v>
      </c>
      <c r="O518" s="3"/>
      <c r="P518" s="3"/>
      <c r="Q518" s="3"/>
      <c r="R51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18" t="str">
        <f>IF(SCTR_Brokers[[#This Row],[FechaRecepcion]]="","",TEXT(SCTR_Brokers[[#This Row],[FechaRecepcion]],"mmmm")&amp;" "&amp;YEAR(SCTR_Brokers[[#This Row],[FechaRecepcion]]))</f>
        <v>octubre 2026</v>
      </c>
      <c r="U518">
        <f>IF(SCTR_Brokers[[#This Row],[Estado]]="FINALIZADO",1,0)</f>
        <v>0</v>
      </c>
      <c r="V518">
        <f>IF(SCTR_Brokers[[#This Row],[FechaRecepcion]]="","",IF(SCTR_Brokers[[#This Row],[Estado]]="FINALIZADO",0,1))</f>
        <v>1</v>
      </c>
      <c r="W518">
        <f ca="1">IF(AND(SCTR_Brokers[[#This Row],[Estado]]="FINALIZADO",SCTR_Brokers[[#This Row],[Plazo]]=LISTAS!$J$3),1,0)</f>
        <v>0</v>
      </c>
      <c r="X518">
        <f ca="1">IF(AND(SCTR_Brokers[[#This Row],[Estado]]="FINALIZADO",SCTR_Brokers[[#This Row],[Plazo]]=LISTAS!$J$4),1,0)</f>
        <v>0</v>
      </c>
      <c r="Y518">
        <f ca="1">IF(AND(SCTR_Brokers[[#This Row],[Estado]]&lt;&gt;"FINALIZADO",SCTR_Brokers[[#This Row],[Plazo]]=LISTAS!$J$4),1,0)</f>
        <v>0</v>
      </c>
      <c r="Z518">
        <f>IF(SCTR_Brokers[[#This Row],[Fecha_Solic_Informe]]="",0,1)</f>
        <v>0</v>
      </c>
      <c r="AA518">
        <f>IF(SCTR_Brokers[[#This Row],[Fecha_Informe]]="",0,1)</f>
        <v>0</v>
      </c>
      <c r="AB518">
        <f>IF(AND(SCTR_Brokers[[#This Row],[Fecha_Solic_Informe]]&lt;&gt;"",SCTR_Brokers[[#This Row],[Fecha_Informe]]=""),1,0)</f>
        <v>0</v>
      </c>
      <c r="AC51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19" spans="1:29">
      <c r="A519" t="s">
        <v>1101</v>
      </c>
      <c r="C519" t="str">
        <f>IF(SCTR_Brokers[[#This Row],[FechaRecepcion]]="","",SCTR_Brokers[[#This Row],[ConversationId]]&amp;"-"&amp;TEXT(SCTR_Brokers[[#This Row],[FechaRecepcion]],"aaaammddhhmmss"))</f>
        <v>AAQkADdkNThjNzFkLWM0ZmMtNDJhYS04MDVlLTIwNzE4ZDI1Mzg4YgAQAKTll6tlkEErpoHLvMNzXDg=-20261012121641</v>
      </c>
      <c r="D519" s="16" t="s">
        <v>1119</v>
      </c>
      <c r="E519" t="s">
        <v>23</v>
      </c>
      <c r="F519" s="3">
        <v>46307.51158564815</v>
      </c>
      <c r="G519" s="3">
        <v>46307.805208333331</v>
      </c>
      <c r="H519" t="s">
        <v>176</v>
      </c>
      <c r="I519" t="s">
        <v>7</v>
      </c>
      <c r="J519" t="s">
        <v>177</v>
      </c>
      <c r="K519" t="s">
        <v>67</v>
      </c>
      <c r="L519" s="10"/>
      <c r="N519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19" s="3"/>
      <c r="P519" s="3"/>
      <c r="Q519" s="3">
        <v>46307.805208333331</v>
      </c>
      <c r="R51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19" t="str">
        <f>IF(SCTR_Brokers[[#This Row],[FechaRecepcion]]="","",TEXT(SCTR_Brokers[[#This Row],[FechaRecepcion]],"mmmm")&amp;" "&amp;YEAR(SCTR_Brokers[[#This Row],[FechaRecepcion]]))</f>
        <v>octubre 2026</v>
      </c>
      <c r="U519">
        <f>IF(SCTR_Brokers[[#This Row],[Estado]]="FINALIZADO",1,0)</f>
        <v>1</v>
      </c>
      <c r="V519">
        <f>IF(SCTR_Brokers[[#This Row],[FechaRecepcion]]="","",IF(SCTR_Brokers[[#This Row],[Estado]]="FINALIZADO",0,1))</f>
        <v>0</v>
      </c>
      <c r="W519">
        <f ca="1">IF(AND(SCTR_Brokers[[#This Row],[Estado]]="FINALIZADO",SCTR_Brokers[[#This Row],[Plazo]]=LISTAS!$J$3),1,0)</f>
        <v>1</v>
      </c>
      <c r="X519">
        <f ca="1">IF(AND(SCTR_Brokers[[#This Row],[Estado]]="FINALIZADO",SCTR_Brokers[[#This Row],[Plazo]]=LISTAS!$J$4),1,0)</f>
        <v>0</v>
      </c>
      <c r="Y519">
        <f ca="1">IF(AND(SCTR_Brokers[[#This Row],[Estado]]&lt;&gt;"FINALIZADO",SCTR_Brokers[[#This Row],[Plazo]]=LISTAS!$J$4),1,0)</f>
        <v>0</v>
      </c>
      <c r="Z519">
        <f>IF(SCTR_Brokers[[#This Row],[Fecha_Solic_Informe]]="",0,1)</f>
        <v>0</v>
      </c>
      <c r="AA519">
        <f>IF(SCTR_Brokers[[#This Row],[Fecha_Informe]]="",0,1)</f>
        <v>0</v>
      </c>
      <c r="AB519">
        <f>IF(AND(SCTR_Brokers[[#This Row],[Fecha_Solic_Informe]]&lt;&gt;"",SCTR_Brokers[[#This Row],[Fecha_Informe]]=""),1,0)</f>
        <v>0</v>
      </c>
      <c r="AC51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20" spans="1:29">
      <c r="A520" t="s">
        <v>1120</v>
      </c>
      <c r="C520" t="str">
        <f>IF(SCTR_Brokers[[#This Row],[FechaRecepcion]]="","",SCTR_Brokers[[#This Row],[ConversationId]]&amp;"-"&amp;TEXT(SCTR_Brokers[[#This Row],[FechaRecepcion]],"aaaammddhhmmss"))</f>
        <v>AAQkADdkNThjNzFkLWM0ZmMtNDJhYS04MDVlLTIwNzE4ZDI1Mzg4YgAQADZPjEnp8RZGoWHbMYldsLU=-20261012125432</v>
      </c>
      <c r="D520" s="16" t="s">
        <v>1121</v>
      </c>
      <c r="E520" t="s">
        <v>21</v>
      </c>
      <c r="F520" s="3">
        <v>46307.537870370368</v>
      </c>
      <c r="G520" s="3">
        <v>46307.616006944445</v>
      </c>
      <c r="H520" t="s">
        <v>217</v>
      </c>
      <c r="I520" t="s">
        <v>7</v>
      </c>
      <c r="J520" t="s">
        <v>218</v>
      </c>
      <c r="K520" t="s">
        <v>67</v>
      </c>
      <c r="L520" s="10"/>
      <c r="N520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20" s="3"/>
      <c r="P520" s="3"/>
      <c r="Q520" s="3">
        <v>46307.616006944445</v>
      </c>
      <c r="R52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20" t="str">
        <f>IF(SCTR_Brokers[[#This Row],[FechaRecepcion]]="","",TEXT(SCTR_Brokers[[#This Row],[FechaRecepcion]],"mmmm")&amp;" "&amp;YEAR(SCTR_Brokers[[#This Row],[FechaRecepcion]]))</f>
        <v>octubre 2026</v>
      </c>
      <c r="U520">
        <f>IF(SCTR_Brokers[[#This Row],[Estado]]="FINALIZADO",1,0)</f>
        <v>1</v>
      </c>
      <c r="V520">
        <f>IF(SCTR_Brokers[[#This Row],[FechaRecepcion]]="","",IF(SCTR_Brokers[[#This Row],[Estado]]="FINALIZADO",0,1))</f>
        <v>0</v>
      </c>
      <c r="W520">
        <f ca="1">IF(AND(SCTR_Brokers[[#This Row],[Estado]]="FINALIZADO",SCTR_Brokers[[#This Row],[Plazo]]=LISTAS!$J$3),1,0)</f>
        <v>1</v>
      </c>
      <c r="X520">
        <f ca="1">IF(AND(SCTR_Brokers[[#This Row],[Estado]]="FINALIZADO",SCTR_Brokers[[#This Row],[Plazo]]=LISTAS!$J$4),1,0)</f>
        <v>0</v>
      </c>
      <c r="Y520">
        <f ca="1">IF(AND(SCTR_Brokers[[#This Row],[Estado]]&lt;&gt;"FINALIZADO",SCTR_Brokers[[#This Row],[Plazo]]=LISTAS!$J$4),1,0)</f>
        <v>0</v>
      </c>
      <c r="Z520">
        <f>IF(SCTR_Brokers[[#This Row],[Fecha_Solic_Informe]]="",0,1)</f>
        <v>0</v>
      </c>
      <c r="AA520">
        <f>IF(SCTR_Brokers[[#This Row],[Fecha_Informe]]="",0,1)</f>
        <v>0</v>
      </c>
      <c r="AB520">
        <f>IF(AND(SCTR_Brokers[[#This Row],[Fecha_Solic_Informe]]&lt;&gt;"",SCTR_Brokers[[#This Row],[Fecha_Informe]]=""),1,0)</f>
        <v>0</v>
      </c>
      <c r="AC52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21" spans="1:29" ht="213">
      <c r="A521" t="s">
        <v>1000</v>
      </c>
      <c r="C521" t="str">
        <f>IF(SCTR_Brokers[[#This Row],[FechaRecepcion]]="","",SCTR_Brokers[[#This Row],[ConversationId]]&amp;"-"&amp;TEXT(SCTR_Brokers[[#This Row],[FechaRecepcion]],"aaaammddhhmmss"))</f>
        <v>AAQkADdkNThjNzFkLWM0ZmMtNDJhYS04MDVlLTIwNzE4ZDI1Mzg4YgAQAI9J_udwUOxAmW8FPQuP2nE=-20261012135112</v>
      </c>
      <c r="D521" s="16" t="s">
        <v>1076</v>
      </c>
      <c r="E521" t="s">
        <v>20</v>
      </c>
      <c r="F521" s="3">
        <v>46307.577222222222</v>
      </c>
      <c r="G521" s="3">
        <v>46307.91578703704</v>
      </c>
      <c r="H521" t="s">
        <v>10</v>
      </c>
      <c r="I521" t="s">
        <v>19</v>
      </c>
      <c r="J521" s="10" t="s">
        <v>1122</v>
      </c>
      <c r="K521" t="s">
        <v>67</v>
      </c>
      <c r="L521" s="10" t="s">
        <v>1123</v>
      </c>
      <c r="M521" t="s">
        <v>9</v>
      </c>
      <c r="N521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>2.4</v>
      </c>
      <c r="O521" s="3">
        <v>46307.812083333331</v>
      </c>
      <c r="P521" s="3">
        <v>46307.91578703704</v>
      </c>
      <c r="Q521" s="3"/>
      <c r="R52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21" t="str">
        <f>IF(SCTR_Brokers[[#This Row],[FechaRecepcion]]="","",TEXT(SCTR_Brokers[[#This Row],[FechaRecepcion]],"mmmm")&amp;" "&amp;YEAR(SCTR_Brokers[[#This Row],[FechaRecepcion]]))</f>
        <v>octubre 2026</v>
      </c>
      <c r="U521">
        <f>IF(SCTR_Brokers[[#This Row],[Estado]]="FINALIZADO",1,0)</f>
        <v>0</v>
      </c>
      <c r="V521">
        <f>IF(SCTR_Brokers[[#This Row],[FechaRecepcion]]="","",IF(SCTR_Brokers[[#This Row],[Estado]]="FINALIZADO",0,1))</f>
        <v>1</v>
      </c>
      <c r="W521">
        <f ca="1">IF(AND(SCTR_Brokers[[#This Row],[Estado]]="FINALIZADO",SCTR_Brokers[[#This Row],[Plazo]]=LISTAS!$J$3),1,0)</f>
        <v>0</v>
      </c>
      <c r="X521">
        <f ca="1">IF(AND(SCTR_Brokers[[#This Row],[Estado]]="FINALIZADO",SCTR_Brokers[[#This Row],[Plazo]]=LISTAS!$J$4),1,0)</f>
        <v>0</v>
      </c>
      <c r="Y521">
        <f ca="1">IF(AND(SCTR_Brokers[[#This Row],[Estado]]&lt;&gt;"FINALIZADO",SCTR_Brokers[[#This Row],[Plazo]]=LISTAS!$J$4),1,0)</f>
        <v>0</v>
      </c>
      <c r="Z521">
        <f>IF(SCTR_Brokers[[#This Row],[Fecha_Solic_Informe]]="",0,1)</f>
        <v>1</v>
      </c>
      <c r="AA521">
        <f>IF(SCTR_Brokers[[#This Row],[Fecha_Informe]]="",0,1)</f>
        <v>1</v>
      </c>
      <c r="AB521">
        <f>IF(AND(SCTR_Brokers[[#This Row],[Fecha_Solic_Informe]]&lt;&gt;"",SCTR_Brokers[[#This Row],[Fecha_Informe]]=""),1,0)</f>
        <v>0</v>
      </c>
      <c r="AC521">
        <f>IF(AND(SCTR_Brokers[[#This Row],[Fecha_Solic_Informe]]&lt;&gt;"",SCTR_Brokers[[#This Row],[Fecha_Informe]]&lt;&gt;""),ROUND((SCTR_Brokers[[#This Row],[Fecha_Informe]]-SCTR_Brokers[[#This Row],[Fecha_Solic_Informe]])*24,1),"")</f>
        <v>2.5</v>
      </c>
    </row>
    <row r="522" spans="1:29">
      <c r="A522" t="s">
        <v>1020</v>
      </c>
      <c r="C522" t="str">
        <f>IF(SCTR_Brokers[[#This Row],[FechaRecepcion]]="","",SCTR_Brokers[[#This Row],[ConversationId]]&amp;"-"&amp;TEXT(SCTR_Brokers[[#This Row],[FechaRecepcion]],"aaaammddhhmmss"))</f>
        <v>AAQkADdkNThjNzFkLWM0ZmMtNDJhYS04MDVlLTIwNzE4ZDI1Mzg4YgAQADjm9XG4ohhKglKIJ8Ta5Oo=-20261012135549</v>
      </c>
      <c r="D522" s="16" t="s">
        <v>1124</v>
      </c>
      <c r="E522" t="s">
        <v>20</v>
      </c>
      <c r="F522" s="3">
        <v>46307.580428240741</v>
      </c>
      <c r="G522" s="3">
        <v>46307.703796296293</v>
      </c>
      <c r="H522" t="s">
        <v>269</v>
      </c>
      <c r="I522" t="s">
        <v>7</v>
      </c>
      <c r="J522" t="s">
        <v>270</v>
      </c>
      <c r="K522" t="s">
        <v>67</v>
      </c>
      <c r="L522" s="10"/>
      <c r="N522" t="str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/>
      </c>
      <c r="O522" s="3"/>
      <c r="P522" s="3"/>
      <c r="Q522" s="3">
        <v>46307.703796296293</v>
      </c>
      <c r="R522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22" t="str">
        <f>IF(SCTR_Brokers[[#This Row],[FechaRecepcion]]="","",TEXT(SCTR_Brokers[[#This Row],[FechaRecepcion]],"mmmm")&amp;" "&amp;YEAR(SCTR_Brokers[[#This Row],[FechaRecepcion]]))</f>
        <v>octubre 2026</v>
      </c>
      <c r="U522">
        <f>IF(SCTR_Brokers[[#This Row],[Estado]]="FINALIZADO",1,0)</f>
        <v>1</v>
      </c>
      <c r="V522">
        <f>IF(SCTR_Brokers[[#This Row],[FechaRecepcion]]="","",IF(SCTR_Brokers[[#This Row],[Estado]]="FINALIZADO",0,1))</f>
        <v>0</v>
      </c>
      <c r="W522">
        <f ca="1">IF(AND(SCTR_Brokers[[#This Row],[Estado]]="FINALIZADO",SCTR_Brokers[[#This Row],[Plazo]]=LISTAS!$J$3),1,0)</f>
        <v>1</v>
      </c>
      <c r="X522">
        <f ca="1">IF(AND(SCTR_Brokers[[#This Row],[Estado]]="FINALIZADO",SCTR_Brokers[[#This Row],[Plazo]]=LISTAS!$J$4),1,0)</f>
        <v>0</v>
      </c>
      <c r="Y522">
        <f ca="1">IF(AND(SCTR_Brokers[[#This Row],[Estado]]&lt;&gt;"FINALIZADO",SCTR_Brokers[[#This Row],[Plazo]]=LISTAS!$J$4),1,0)</f>
        <v>0</v>
      </c>
      <c r="Z522">
        <f>IF(SCTR_Brokers[[#This Row],[Fecha_Solic_Informe]]="",0,1)</f>
        <v>0</v>
      </c>
      <c r="AA522">
        <f>IF(SCTR_Brokers[[#This Row],[Fecha_Informe]]="",0,1)</f>
        <v>0</v>
      </c>
      <c r="AB522">
        <f>IF(AND(SCTR_Brokers[[#This Row],[Fecha_Solic_Informe]]&lt;&gt;"",SCTR_Brokers[[#This Row],[Fecha_Informe]]=""),1,0)</f>
        <v>0</v>
      </c>
      <c r="AC522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23" spans="1:29">
      <c r="A523" t="s">
        <v>818</v>
      </c>
      <c r="C523" t="str">
        <f>IF(SCTR_Brokers[[#This Row],[FechaRecepcion]]="","",SCTR_Brokers[[#This Row],[ConversationId]]&amp;"-"&amp;TEXT(SCTR_Brokers[[#This Row],[FechaRecepcion]],"aaaammddhhmmss"))</f>
        <v>AAQkADdkNThjNzFkLWM0ZmMtNDJhYS04MDVlLTIwNzE4ZDI1Mzg4YgAQAGM-od7pwE82kc5U3tEu-xo=-20261012144732</v>
      </c>
      <c r="D523" s="16" t="s">
        <v>1125</v>
      </c>
      <c r="E523" t="s">
        <v>21</v>
      </c>
      <c r="F523" s="3">
        <v>46307.616342592592</v>
      </c>
      <c r="G523" s="3">
        <v>46307.649537037039</v>
      </c>
      <c r="H523" t="s">
        <v>758</v>
      </c>
      <c r="K523" t="s">
        <v>67</v>
      </c>
      <c r="L523" s="10"/>
      <c r="N523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>4.3</v>
      </c>
      <c r="O523" s="3"/>
      <c r="P523" s="3"/>
      <c r="Q523" s="3"/>
      <c r="R523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23" t="str">
        <f>IF(SCTR_Brokers[[#This Row],[FechaRecepcion]]="","",TEXT(SCTR_Brokers[[#This Row],[FechaRecepcion]],"mmmm")&amp;" "&amp;YEAR(SCTR_Brokers[[#This Row],[FechaRecepcion]]))</f>
        <v>octubre 2026</v>
      </c>
      <c r="U523">
        <f>IF(SCTR_Brokers[[#This Row],[Estado]]="FINALIZADO",1,0)</f>
        <v>0</v>
      </c>
      <c r="V523">
        <f>IF(SCTR_Brokers[[#This Row],[FechaRecepcion]]="","",IF(SCTR_Brokers[[#This Row],[Estado]]="FINALIZADO",0,1))</f>
        <v>1</v>
      </c>
      <c r="W523">
        <f ca="1">IF(AND(SCTR_Brokers[[#This Row],[Estado]]="FINALIZADO",SCTR_Brokers[[#This Row],[Plazo]]=LISTAS!$J$3),1,0)</f>
        <v>0</v>
      </c>
      <c r="X523">
        <f ca="1">IF(AND(SCTR_Brokers[[#This Row],[Estado]]="FINALIZADO",SCTR_Brokers[[#This Row],[Plazo]]=LISTAS!$J$4),1,0)</f>
        <v>0</v>
      </c>
      <c r="Y523">
        <f ca="1">IF(AND(SCTR_Brokers[[#This Row],[Estado]]&lt;&gt;"FINALIZADO",SCTR_Brokers[[#This Row],[Plazo]]=LISTAS!$J$4),1,0)</f>
        <v>0</v>
      </c>
      <c r="Z523">
        <f>IF(SCTR_Brokers[[#This Row],[Fecha_Solic_Informe]]="",0,1)</f>
        <v>0</v>
      </c>
      <c r="AA523">
        <f>IF(SCTR_Brokers[[#This Row],[Fecha_Informe]]="",0,1)</f>
        <v>0</v>
      </c>
      <c r="AB523">
        <f>IF(AND(SCTR_Brokers[[#This Row],[Fecha_Solic_Informe]]&lt;&gt;"",SCTR_Brokers[[#This Row],[Fecha_Informe]]=""),1,0)</f>
        <v>0</v>
      </c>
      <c r="AC523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24" spans="1:29">
      <c r="A524" t="s">
        <v>1126</v>
      </c>
      <c r="C524" t="str">
        <f>IF(SCTR_Brokers[[#This Row],[FechaRecepcion]]="","",SCTR_Brokers[[#This Row],[ConversationId]]&amp;"-"&amp;TEXT(SCTR_Brokers[[#This Row],[FechaRecepcion]],"aaaammddhhmmss"))</f>
        <v>AAQkADdkNThjNzFkLWM0ZmMtNDJhYS04MDVlLTIwNzE4ZDI1Mzg4YgAQAHOo7zDxiRlCsSMXoeQcBxA=-20261012144849</v>
      </c>
      <c r="D524" s="16" t="s">
        <v>1127</v>
      </c>
      <c r="E524" t="s">
        <v>21</v>
      </c>
      <c r="F524" s="3">
        <v>46307.6172337963</v>
      </c>
      <c r="G524" s="3">
        <v>46307.6172337963</v>
      </c>
      <c r="H524" t="s">
        <v>758</v>
      </c>
      <c r="K524" t="s">
        <v>67</v>
      </c>
      <c r="L524" s="10"/>
      <c r="N524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>5.0999999999999996</v>
      </c>
      <c r="O524" s="3"/>
      <c r="P524" s="3"/>
      <c r="Q524" s="3"/>
      <c r="R524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24" t="str">
        <f>IF(SCTR_Brokers[[#This Row],[FechaRecepcion]]="","",TEXT(SCTR_Brokers[[#This Row],[FechaRecepcion]],"mmmm")&amp;" "&amp;YEAR(SCTR_Brokers[[#This Row],[FechaRecepcion]]))</f>
        <v>octubre 2026</v>
      </c>
      <c r="U524">
        <f>IF(SCTR_Brokers[[#This Row],[Estado]]="FINALIZADO",1,0)</f>
        <v>0</v>
      </c>
      <c r="V524">
        <f>IF(SCTR_Brokers[[#This Row],[FechaRecepcion]]="","",IF(SCTR_Brokers[[#This Row],[Estado]]="FINALIZADO",0,1))</f>
        <v>1</v>
      </c>
      <c r="W524">
        <f ca="1">IF(AND(SCTR_Brokers[[#This Row],[Estado]]="FINALIZADO",SCTR_Brokers[[#This Row],[Plazo]]=LISTAS!$J$3),1,0)</f>
        <v>0</v>
      </c>
      <c r="X524">
        <f ca="1">IF(AND(SCTR_Brokers[[#This Row],[Estado]]="FINALIZADO",SCTR_Brokers[[#This Row],[Plazo]]=LISTAS!$J$4),1,0)</f>
        <v>0</v>
      </c>
      <c r="Y524">
        <f ca="1">IF(AND(SCTR_Brokers[[#This Row],[Estado]]&lt;&gt;"FINALIZADO",SCTR_Brokers[[#This Row],[Plazo]]=LISTAS!$J$4),1,0)</f>
        <v>0</v>
      </c>
      <c r="Z524">
        <f>IF(SCTR_Brokers[[#This Row],[Fecha_Solic_Informe]]="",0,1)</f>
        <v>0</v>
      </c>
      <c r="AA524">
        <f>IF(SCTR_Brokers[[#This Row],[Fecha_Informe]]="",0,1)</f>
        <v>0</v>
      </c>
      <c r="AB524">
        <f>IF(AND(SCTR_Brokers[[#This Row],[Fecha_Solic_Informe]]&lt;&gt;"",SCTR_Brokers[[#This Row],[Fecha_Informe]]=""),1,0)</f>
        <v>0</v>
      </c>
      <c r="AC524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25" spans="1:29">
      <c r="A525" t="s">
        <v>1128</v>
      </c>
      <c r="C525" t="str">
        <f>IF(SCTR_Brokers[[#This Row],[FechaRecepcion]]="","",SCTR_Brokers[[#This Row],[ConversationId]]&amp;"-"&amp;TEXT(SCTR_Brokers[[#This Row],[FechaRecepcion]],"aaaammddhhmmss"))</f>
        <v>AAQkADdkNThjNzFkLWM0ZmMtNDJhYS04MDVlLTIwNzE4ZDI1Mzg4YgAQAD12xrb7l2dMlzCnhT06WCw=-20261012152946</v>
      </c>
      <c r="D525" s="16" t="s">
        <v>1129</v>
      </c>
      <c r="E525" t="s">
        <v>21</v>
      </c>
      <c r="F525" s="3">
        <v>46307.645671296297</v>
      </c>
      <c r="G525" s="3">
        <v>46307.645671296297</v>
      </c>
      <c r="H525" t="s">
        <v>750</v>
      </c>
      <c r="K525" t="s">
        <v>67</v>
      </c>
      <c r="L525" s="10"/>
      <c r="N525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>4.4000000000000004</v>
      </c>
      <c r="O525" s="3"/>
      <c r="P525" s="3"/>
      <c r="Q525" s="3"/>
      <c r="R525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25" t="str">
        <f>IF(SCTR_Brokers[[#This Row],[FechaRecepcion]]="","",TEXT(SCTR_Brokers[[#This Row],[FechaRecepcion]],"mmmm")&amp;" "&amp;YEAR(SCTR_Brokers[[#This Row],[FechaRecepcion]]))</f>
        <v>octubre 2026</v>
      </c>
      <c r="U525">
        <f>IF(SCTR_Brokers[[#This Row],[Estado]]="FINALIZADO",1,0)</f>
        <v>0</v>
      </c>
      <c r="V525">
        <f>IF(SCTR_Brokers[[#This Row],[FechaRecepcion]]="","",IF(SCTR_Brokers[[#This Row],[Estado]]="FINALIZADO",0,1))</f>
        <v>1</v>
      </c>
      <c r="W525">
        <f ca="1">IF(AND(SCTR_Brokers[[#This Row],[Estado]]="FINALIZADO",SCTR_Brokers[[#This Row],[Plazo]]=LISTAS!$J$3),1,0)</f>
        <v>0</v>
      </c>
      <c r="X525">
        <f ca="1">IF(AND(SCTR_Brokers[[#This Row],[Estado]]="FINALIZADO",SCTR_Brokers[[#This Row],[Plazo]]=LISTAS!$J$4),1,0)</f>
        <v>0</v>
      </c>
      <c r="Y525">
        <f ca="1">IF(AND(SCTR_Brokers[[#This Row],[Estado]]&lt;&gt;"FINALIZADO",SCTR_Brokers[[#This Row],[Plazo]]=LISTAS!$J$4),1,0)</f>
        <v>0</v>
      </c>
      <c r="Z525">
        <f>IF(SCTR_Brokers[[#This Row],[Fecha_Solic_Informe]]="",0,1)</f>
        <v>0</v>
      </c>
      <c r="AA525">
        <f>IF(SCTR_Brokers[[#This Row],[Fecha_Informe]]="",0,1)</f>
        <v>0</v>
      </c>
      <c r="AB525">
        <f>IF(AND(SCTR_Brokers[[#This Row],[Fecha_Solic_Informe]]&lt;&gt;"",SCTR_Brokers[[#This Row],[Fecha_Informe]]=""),1,0)</f>
        <v>0</v>
      </c>
      <c r="AC525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26" spans="1:29">
      <c r="A526" t="s">
        <v>1130</v>
      </c>
      <c r="C526" t="str">
        <f>IF(SCTR_Brokers[[#This Row],[FechaRecepcion]]="","",SCTR_Brokers[[#This Row],[ConversationId]]&amp;"-"&amp;TEXT(SCTR_Brokers[[#This Row],[FechaRecepcion]],"aaaammddhhmmss"))</f>
        <v>AAQkADdkNThjNzFkLWM0ZmMtNDJhYS04MDVlLTIwNzE4ZDI1Mzg4YgAQANFVzywTV02QnLrWMLs850s=-20261012172232</v>
      </c>
      <c r="D526" s="16" t="s">
        <v>1131</v>
      </c>
      <c r="E526" t="s">
        <v>21</v>
      </c>
      <c r="F526" s="3">
        <v>46307.723981481482</v>
      </c>
      <c r="G526" s="3">
        <v>46307.723981481482</v>
      </c>
      <c r="H526" t="s">
        <v>171</v>
      </c>
      <c r="K526" t="s">
        <v>67</v>
      </c>
      <c r="L526" s="10"/>
      <c r="N526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>2.5</v>
      </c>
      <c r="O526" s="3"/>
      <c r="P526" s="3"/>
      <c r="Q526" s="3"/>
      <c r="R526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26" t="str">
        <f>IF(SCTR_Brokers[[#This Row],[FechaRecepcion]]="","",TEXT(SCTR_Brokers[[#This Row],[FechaRecepcion]],"mmmm")&amp;" "&amp;YEAR(SCTR_Brokers[[#This Row],[FechaRecepcion]]))</f>
        <v>octubre 2026</v>
      </c>
      <c r="U526">
        <f>IF(SCTR_Brokers[[#This Row],[Estado]]="FINALIZADO",1,0)</f>
        <v>0</v>
      </c>
      <c r="V526">
        <f>IF(SCTR_Brokers[[#This Row],[FechaRecepcion]]="","",IF(SCTR_Brokers[[#This Row],[Estado]]="FINALIZADO",0,1))</f>
        <v>1</v>
      </c>
      <c r="W526">
        <f ca="1">IF(AND(SCTR_Brokers[[#This Row],[Estado]]="FINALIZADO",SCTR_Brokers[[#This Row],[Plazo]]=LISTAS!$J$3),1,0)</f>
        <v>0</v>
      </c>
      <c r="X526">
        <f ca="1">IF(AND(SCTR_Brokers[[#This Row],[Estado]]="FINALIZADO",SCTR_Brokers[[#This Row],[Plazo]]=LISTAS!$J$4),1,0)</f>
        <v>0</v>
      </c>
      <c r="Y526">
        <f ca="1">IF(AND(SCTR_Brokers[[#This Row],[Estado]]&lt;&gt;"FINALIZADO",SCTR_Brokers[[#This Row],[Plazo]]=LISTAS!$J$4),1,0)</f>
        <v>0</v>
      </c>
      <c r="Z526">
        <f>IF(SCTR_Brokers[[#This Row],[Fecha_Solic_Informe]]="",0,1)</f>
        <v>0</v>
      </c>
      <c r="AA526">
        <f>IF(SCTR_Brokers[[#This Row],[Fecha_Informe]]="",0,1)</f>
        <v>0</v>
      </c>
      <c r="AB526">
        <f>IF(AND(SCTR_Brokers[[#This Row],[Fecha_Solic_Informe]]&lt;&gt;"",SCTR_Brokers[[#This Row],[Fecha_Informe]]=""),1,0)</f>
        <v>0</v>
      </c>
      <c r="AC526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27" spans="1:29">
      <c r="A527" t="s">
        <v>1132</v>
      </c>
      <c r="C527" t="str">
        <f>IF(SCTR_Brokers[[#This Row],[FechaRecepcion]]="","",SCTR_Brokers[[#This Row],[ConversationId]]&amp;"-"&amp;TEXT(SCTR_Brokers[[#This Row],[FechaRecepcion]],"aaaammddhhmmss"))</f>
        <v>AAQkADdkNThjNzFkLWM0ZmMtNDJhYS04MDVlLTIwNzE4ZDI1Mzg4YgAQAHRQ7zN0jAtDvJonAiP9Z9g=-20261012204035</v>
      </c>
      <c r="D527" s="16" t="s">
        <v>1133</v>
      </c>
      <c r="E527" t="s">
        <v>8</v>
      </c>
      <c r="F527" s="3">
        <v>46307.861516203702</v>
      </c>
      <c r="G527" s="3">
        <v>46307.861516203702</v>
      </c>
      <c r="H527" t="s">
        <v>858</v>
      </c>
      <c r="K527" t="s">
        <v>67</v>
      </c>
      <c r="L527" s="10"/>
      <c r="N527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>2.4</v>
      </c>
      <c r="O527" s="3"/>
      <c r="P527" s="3"/>
      <c r="Q527" s="3"/>
      <c r="R52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27" t="str">
        <f>IF(SCTR_Brokers[[#This Row],[FechaRecepcion]]="","",TEXT(SCTR_Brokers[[#This Row],[FechaRecepcion]],"mmmm")&amp;" "&amp;YEAR(SCTR_Brokers[[#This Row],[FechaRecepcion]]))</f>
        <v>octubre 2026</v>
      </c>
      <c r="U527">
        <f>IF(SCTR_Brokers[[#This Row],[Estado]]="FINALIZADO",1,0)</f>
        <v>0</v>
      </c>
      <c r="V527">
        <f>IF(SCTR_Brokers[[#This Row],[FechaRecepcion]]="","",IF(SCTR_Brokers[[#This Row],[Estado]]="FINALIZADO",0,1))</f>
        <v>1</v>
      </c>
      <c r="W527">
        <f ca="1">IF(AND(SCTR_Brokers[[#This Row],[Estado]]="FINALIZADO",SCTR_Brokers[[#This Row],[Plazo]]=LISTAS!$J$3),1,0)</f>
        <v>0</v>
      </c>
      <c r="X527">
        <f ca="1">IF(AND(SCTR_Brokers[[#This Row],[Estado]]="FINALIZADO",SCTR_Brokers[[#This Row],[Plazo]]=LISTAS!$J$4),1,0)</f>
        <v>0</v>
      </c>
      <c r="Y527">
        <f ca="1">IF(AND(SCTR_Brokers[[#This Row],[Estado]]&lt;&gt;"FINALIZADO",SCTR_Brokers[[#This Row],[Plazo]]=LISTAS!$J$4),1,0)</f>
        <v>0</v>
      </c>
      <c r="Z527">
        <f>IF(SCTR_Brokers[[#This Row],[Fecha_Solic_Informe]]="",0,1)</f>
        <v>0</v>
      </c>
      <c r="AA527">
        <f>IF(SCTR_Brokers[[#This Row],[Fecha_Informe]]="",0,1)</f>
        <v>0</v>
      </c>
      <c r="AB527">
        <f>IF(AND(SCTR_Brokers[[#This Row],[Fecha_Solic_Informe]]&lt;&gt;"",SCTR_Brokers[[#This Row],[Fecha_Informe]]=""),1,0)</f>
        <v>0</v>
      </c>
      <c r="AC52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28" spans="1:29">
      <c r="A528" t="s">
        <v>1094</v>
      </c>
      <c r="C528" t="str">
        <f>IF(SCTR_Brokers[[#This Row],[FechaRecepcion]]="","",SCTR_Brokers[[#This Row],[ConversationId]]&amp;"-"&amp;TEXT(SCTR_Brokers[[#This Row],[FechaRecepcion]],"aaaammddhhmmss"))</f>
        <v>AAQkADdkNThjNzFkLWM0ZmMtNDJhYS04MDVlLTIwNzE4ZDI1Mzg4YgAQADHVjyRrXsRKrr5yw6GBomo=-20261013090402</v>
      </c>
      <c r="D528" s="16" t="s">
        <v>1134</v>
      </c>
      <c r="E528" t="s">
        <v>21</v>
      </c>
      <c r="F528" s="3">
        <v>46308.377800925926</v>
      </c>
      <c r="G528" s="3">
        <v>46308.377800925926</v>
      </c>
      <c r="H528" t="s">
        <v>1135</v>
      </c>
      <c r="K528" t="s">
        <v>67</v>
      </c>
      <c r="L528" s="10"/>
      <c r="N528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>1.3</v>
      </c>
      <c r="O528" s="3"/>
      <c r="P528" s="3"/>
      <c r="Q528" s="3"/>
      <c r="R528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28" t="str">
        <f>IF(SCTR_Brokers[[#This Row],[FechaRecepcion]]="","",TEXT(SCTR_Brokers[[#This Row],[FechaRecepcion]],"mmmm")&amp;" "&amp;YEAR(SCTR_Brokers[[#This Row],[FechaRecepcion]]))</f>
        <v>octubre 2026</v>
      </c>
      <c r="U528">
        <f>IF(SCTR_Brokers[[#This Row],[Estado]]="FINALIZADO",1,0)</f>
        <v>0</v>
      </c>
      <c r="V528">
        <f>IF(SCTR_Brokers[[#This Row],[FechaRecepcion]]="","",IF(SCTR_Brokers[[#This Row],[Estado]]="FINALIZADO",0,1))</f>
        <v>1</v>
      </c>
      <c r="W528">
        <f ca="1">IF(AND(SCTR_Brokers[[#This Row],[Estado]]="FINALIZADO",SCTR_Brokers[[#This Row],[Plazo]]=LISTAS!$J$3),1,0)</f>
        <v>0</v>
      </c>
      <c r="X528">
        <f ca="1">IF(AND(SCTR_Brokers[[#This Row],[Estado]]="FINALIZADO",SCTR_Brokers[[#This Row],[Plazo]]=LISTAS!$J$4),1,0)</f>
        <v>0</v>
      </c>
      <c r="Y528">
        <f ca="1">IF(AND(SCTR_Brokers[[#This Row],[Estado]]&lt;&gt;"FINALIZADO",SCTR_Brokers[[#This Row],[Plazo]]=LISTAS!$J$4),1,0)</f>
        <v>0</v>
      </c>
      <c r="Z528">
        <f>IF(SCTR_Brokers[[#This Row],[Fecha_Solic_Informe]]="",0,1)</f>
        <v>0</v>
      </c>
      <c r="AA528">
        <f>IF(SCTR_Brokers[[#This Row],[Fecha_Informe]]="",0,1)</f>
        <v>0</v>
      </c>
      <c r="AB528">
        <f>IF(AND(SCTR_Brokers[[#This Row],[Fecha_Solic_Informe]]&lt;&gt;"",SCTR_Brokers[[#This Row],[Fecha_Informe]]=""),1,0)</f>
        <v>0</v>
      </c>
      <c r="AC528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29" spans="1:29">
      <c r="A529" t="s">
        <v>1136</v>
      </c>
      <c r="C529" t="str">
        <f>IF(SCTR_Brokers[[#This Row],[FechaRecepcion]]="","",SCTR_Brokers[[#This Row],[ConversationId]]&amp;"-"&amp;TEXT(SCTR_Brokers[[#This Row],[FechaRecepcion]],"aaaammddhhmmss"))</f>
        <v>AAQkADdkNThjNzFkLWM0ZmMtNDJhYS04MDVlLTIwNzE4ZDI1Mzg4YgAQANU9NKY53fpPnt1hJ_SJlAY=-20261013090735</v>
      </c>
      <c r="D529" s="16" t="s">
        <v>1137</v>
      </c>
      <c r="E529" t="s">
        <v>14</v>
      </c>
      <c r="F529" s="3">
        <v>46308.380266203705</v>
      </c>
      <c r="G529" s="3">
        <v>46308.380266203705</v>
      </c>
      <c r="H529" t="s">
        <v>115</v>
      </c>
      <c r="K529" t="s">
        <v>67</v>
      </c>
      <c r="L529" s="10"/>
      <c r="N529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>1.3</v>
      </c>
      <c r="O529" s="3"/>
      <c r="P529" s="3"/>
      <c r="Q529" s="3"/>
      <c r="R529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29" t="str">
        <f>IF(SCTR_Brokers[[#This Row],[FechaRecepcion]]="","",TEXT(SCTR_Brokers[[#This Row],[FechaRecepcion]],"mmmm")&amp;" "&amp;YEAR(SCTR_Brokers[[#This Row],[FechaRecepcion]]))</f>
        <v>octubre 2026</v>
      </c>
      <c r="U529">
        <f>IF(SCTR_Brokers[[#This Row],[Estado]]="FINALIZADO",1,0)</f>
        <v>0</v>
      </c>
      <c r="V529">
        <f>IF(SCTR_Brokers[[#This Row],[FechaRecepcion]]="","",IF(SCTR_Brokers[[#This Row],[Estado]]="FINALIZADO",0,1))</f>
        <v>1</v>
      </c>
      <c r="W529">
        <f ca="1">IF(AND(SCTR_Brokers[[#This Row],[Estado]]="FINALIZADO",SCTR_Brokers[[#This Row],[Plazo]]=LISTAS!$J$3),1,0)</f>
        <v>0</v>
      </c>
      <c r="X529">
        <f ca="1">IF(AND(SCTR_Brokers[[#This Row],[Estado]]="FINALIZADO",SCTR_Brokers[[#This Row],[Plazo]]=LISTAS!$J$4),1,0)</f>
        <v>0</v>
      </c>
      <c r="Y529">
        <f ca="1">IF(AND(SCTR_Brokers[[#This Row],[Estado]]&lt;&gt;"FINALIZADO",SCTR_Brokers[[#This Row],[Plazo]]=LISTAS!$J$4),1,0)</f>
        <v>0</v>
      </c>
      <c r="Z529">
        <f>IF(SCTR_Brokers[[#This Row],[Fecha_Solic_Informe]]="",0,1)</f>
        <v>0</v>
      </c>
      <c r="AA529">
        <f>IF(SCTR_Brokers[[#This Row],[Fecha_Informe]]="",0,1)</f>
        <v>0</v>
      </c>
      <c r="AB529">
        <f>IF(AND(SCTR_Brokers[[#This Row],[Fecha_Solic_Informe]]&lt;&gt;"",SCTR_Brokers[[#This Row],[Fecha_Informe]]=""),1,0)</f>
        <v>0</v>
      </c>
      <c r="AC529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30" spans="1:29">
      <c r="A530" t="s">
        <v>1138</v>
      </c>
      <c r="C530" t="str">
        <f>IF(SCTR_Brokers[[#This Row],[FechaRecepcion]]="","",SCTR_Brokers[[#This Row],[ConversationId]]&amp;"-"&amp;TEXT(SCTR_Brokers[[#This Row],[FechaRecepcion]],"aaaammddhhmmss"))</f>
        <v>AAQkADdkNThjNzFkLWM0ZmMtNDJhYS04MDVlLTIwNzE4ZDI1Mzg4YgAQAKrW3j40OBFLqdypw_5-J7I=-20261013091310</v>
      </c>
      <c r="D530" s="16" t="s">
        <v>1139</v>
      </c>
      <c r="E530" t="s">
        <v>21</v>
      </c>
      <c r="F530" s="3">
        <v>46308.384143518517</v>
      </c>
      <c r="G530" s="3">
        <v>46308.384143518517</v>
      </c>
      <c r="H530" t="s">
        <v>778</v>
      </c>
      <c r="K530" t="s">
        <v>67</v>
      </c>
      <c r="L530" s="10"/>
      <c r="N530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>1.2</v>
      </c>
      <c r="O530" s="3"/>
      <c r="P530" s="3"/>
      <c r="Q530" s="3"/>
      <c r="R530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30" t="str">
        <f>IF(SCTR_Brokers[[#This Row],[FechaRecepcion]]="","",TEXT(SCTR_Brokers[[#This Row],[FechaRecepcion]],"mmmm")&amp;" "&amp;YEAR(SCTR_Brokers[[#This Row],[FechaRecepcion]]))</f>
        <v>octubre 2026</v>
      </c>
      <c r="U530">
        <f>IF(SCTR_Brokers[[#This Row],[Estado]]="FINALIZADO",1,0)</f>
        <v>0</v>
      </c>
      <c r="V530">
        <f>IF(SCTR_Brokers[[#This Row],[FechaRecepcion]]="","",IF(SCTR_Brokers[[#This Row],[Estado]]="FINALIZADO",0,1))</f>
        <v>1</v>
      </c>
      <c r="W530">
        <f ca="1">IF(AND(SCTR_Brokers[[#This Row],[Estado]]="FINALIZADO",SCTR_Brokers[[#This Row],[Plazo]]=LISTAS!$J$3),1,0)</f>
        <v>0</v>
      </c>
      <c r="X530">
        <f ca="1">IF(AND(SCTR_Brokers[[#This Row],[Estado]]="FINALIZADO",SCTR_Brokers[[#This Row],[Plazo]]=LISTAS!$J$4),1,0)</f>
        <v>0</v>
      </c>
      <c r="Y530">
        <f ca="1">IF(AND(SCTR_Brokers[[#This Row],[Estado]]&lt;&gt;"FINALIZADO",SCTR_Brokers[[#This Row],[Plazo]]=LISTAS!$J$4),1,0)</f>
        <v>0</v>
      </c>
      <c r="Z530">
        <f>IF(SCTR_Brokers[[#This Row],[Fecha_Solic_Informe]]="",0,1)</f>
        <v>0</v>
      </c>
      <c r="AA530">
        <f>IF(SCTR_Brokers[[#This Row],[Fecha_Informe]]="",0,1)</f>
        <v>0</v>
      </c>
      <c r="AB530">
        <f>IF(AND(SCTR_Brokers[[#This Row],[Fecha_Solic_Informe]]&lt;&gt;"",SCTR_Brokers[[#This Row],[Fecha_Informe]]=""),1,0)</f>
        <v>0</v>
      </c>
      <c r="AC530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31" spans="1:29">
      <c r="A531" t="s">
        <v>1072</v>
      </c>
      <c r="C531" t="str">
        <f>IF(SCTR_Brokers[[#This Row],[FechaRecepcion]]="","",SCTR_Brokers[[#This Row],[ConversationId]]&amp;"-"&amp;TEXT(SCTR_Brokers[[#This Row],[FechaRecepcion]],"aaaammddhhmmss"))</f>
        <v>AAQkADdkNThjNzFkLWM0ZmMtNDJhYS04MDVlLTIwNzE4ZDI1Mzg4YgAQADrqa9D48E_jqskQUyhmCkc=-20261013093104</v>
      </c>
      <c r="D531" s="16" t="s">
        <v>1073</v>
      </c>
      <c r="E531" t="s">
        <v>21</v>
      </c>
      <c r="F531" s="3">
        <v>46308.396574074075</v>
      </c>
      <c r="G531" s="3">
        <v>46308.396574074075</v>
      </c>
      <c r="H531" t="s">
        <v>66</v>
      </c>
      <c r="K531" t="s">
        <v>67</v>
      </c>
      <c r="L531" s="10"/>
      <c r="N531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>0.9</v>
      </c>
      <c r="O531" s="3"/>
      <c r="P531" s="3"/>
      <c r="Q531" s="3"/>
      <c r="R531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31" t="str">
        <f>IF(SCTR_Brokers[[#This Row],[FechaRecepcion]]="","",TEXT(SCTR_Brokers[[#This Row],[FechaRecepcion]],"mmmm")&amp;" "&amp;YEAR(SCTR_Brokers[[#This Row],[FechaRecepcion]]))</f>
        <v>octubre 2026</v>
      </c>
      <c r="U531">
        <f>IF(SCTR_Brokers[[#This Row],[Estado]]="FINALIZADO",1,0)</f>
        <v>0</v>
      </c>
      <c r="V531">
        <f>IF(SCTR_Brokers[[#This Row],[FechaRecepcion]]="","",IF(SCTR_Brokers[[#This Row],[Estado]]="FINALIZADO",0,1))</f>
        <v>1</v>
      </c>
      <c r="W531">
        <f ca="1">IF(AND(SCTR_Brokers[[#This Row],[Estado]]="FINALIZADO",SCTR_Brokers[[#This Row],[Plazo]]=LISTAS!$J$3),1,0)</f>
        <v>0</v>
      </c>
      <c r="X531">
        <f ca="1">IF(AND(SCTR_Brokers[[#This Row],[Estado]]="FINALIZADO",SCTR_Brokers[[#This Row],[Plazo]]=LISTAS!$J$4),1,0)</f>
        <v>0</v>
      </c>
      <c r="Y531">
        <f ca="1">IF(AND(SCTR_Brokers[[#This Row],[Estado]]&lt;&gt;"FINALIZADO",SCTR_Brokers[[#This Row],[Plazo]]=LISTAS!$J$4),1,0)</f>
        <v>0</v>
      </c>
      <c r="Z531">
        <f>IF(SCTR_Brokers[[#This Row],[Fecha_Solic_Informe]]="",0,1)</f>
        <v>0</v>
      </c>
      <c r="AA531">
        <f>IF(SCTR_Brokers[[#This Row],[Fecha_Informe]]="",0,1)</f>
        <v>0</v>
      </c>
      <c r="AB531">
        <f>IF(AND(SCTR_Brokers[[#This Row],[Fecha_Solic_Informe]]&lt;&gt;"",SCTR_Brokers[[#This Row],[Fecha_Informe]]=""),1,0)</f>
        <v>0</v>
      </c>
      <c r="AC531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  <row r="532" spans="1:29">
      <c r="A532" t="s">
        <v>1140</v>
      </c>
      <c r="C532" t="str">
        <f>IF(SCTR_Brokers[[#This Row],[FechaRecepcion]]="","",SCTR_Brokers[[#This Row],[ConversationId]]&amp;"-"&amp;TEXT(SCTR_Brokers[[#This Row],[FechaRecepcion]],"aaaammddhhmmss"))</f>
        <v>AAQkADdkNThjNzFkLWM0ZmMtNDJhYS04MDVlLTIwNzE4ZDI1Mzg4YgAQAL3smq68Ov1HirmRaPJkxNM=-20261013102420</v>
      </c>
      <c r="D532" s="16" t="s">
        <v>1141</v>
      </c>
      <c r="E532" t="s">
        <v>8</v>
      </c>
      <c r="F532" s="3">
        <v>46308.433564814812</v>
      </c>
      <c r="G532" s="3">
        <v>46308.433564814812</v>
      </c>
      <c r="H532" t="s">
        <v>1107</v>
      </c>
      <c r="K532" t="s">
        <v>67</v>
      </c>
      <c r="L532" s="10"/>
      <c r="N532" s="17">
        <f ca="1">IF(SCTR_Brokers[[#This Row],[FechaRecepcion]]="","",IF(SCTR_Brokers[[#This Row],[Estado]]="FINALIZADO","",IF(SCTR_Brokers[[#This Row],[FechaUltimaRespuesta]]="","",_xlfn.LET(_xlpm.fer,LISTAS!$L$3:$L$40,_xlpm.ep,DATE(2000,1,1),_xlpm.ini,SCTR_Brokers[[#This Row],[FechaUltimaRespuesta]],_xlpm.fin,NOW(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ROUND(MAX(0,_xlpm.hfin-_xlpm.hini),1)))))</f>
        <v>0</v>
      </c>
      <c r="O532" s="3"/>
      <c r="P532" s="3"/>
      <c r="Q532" s="3"/>
      <c r="R532" s="17" t="str">
        <f ca="1">IF(SCTR_Brokers[[#This Row],[FechaRecepcion]]="","",_xlfn.LET(_xlpm.fer,LISTAS!$L$3:$L$100,_xlpm.ep,DATE(2000,1,1),_xlpm.ini,SCTR_Brokers[[#This Row],[FechaRecepcion]],_xlpm.fin,IF(SCTR_Brokers[[#This Row],[Fecha_Cierre]]&lt;&gt;"",SCTR_Brokers[[#This Row],[Fecha_Cierre]],NOW()),_xlpm.dini,INT(_xlpm.ini),_xlpm.dfin,INT(_xlpm.fin),_xlpm.hini,9.5*NETWORKDAYS.INTL(_xlpm.ep,_xlpm.dini-1,"0000111",_xlpm.fer)+6*NETWORKDAYS.INTL(_xlpm.ep,_xlpm.dini-1,"1111011",_xlpm.fer)+IF(OR(WEEKDAY(_xlpm.dini,2)&gt;5,COUNTIF(_xlpm.fer,_xlpm.dini)&gt;0),0,MAX(0,MIN(_xlpm.ini-_xlpm.dini,IF(WEEKDAY(_xlpm.dini,2)=5,14/24,17.5/24))-8/24)*24),_xlpm.hfin,9.5*NETWORKDAYS.INTL(_xlpm.ep,_xlpm.dfin-1,"0000111",_xlpm.fer)+6*NETWORKDAYS.INTL(_xlpm.ep,_xlpm.dfin-1,"1111011",_xlpm.fer)+IF(OR(WEEKDAY(_xlpm.dfin,2)&gt;5,COUNTIF(_xlpm.fer,_xlpm.dfin)&gt;0),0,MAX(0,MIN(_xlpm.fin-_xlpm.dfin,IF(WEEKDAY(_xlpm.dfin,2)=5,14/24,17.5/24))-8/24)*24),_xlpm.hrs,IF(SCTR_Brokers[[#This Row],[Estado]]="FINALIZADO",MAX(0,_xlpm.hfin-_xlpm.hini),IF(SCTR_Brokers[[#This Row],[Horas_Transcurridas]]="",MAX(0,_xlpm.hfin-_xlpm.hini),SCTR_Brokers[[#This Row],[Horas_Transcurridas]])),IF(_xlpm.hrs&lt;=LISTAS!$E$3,LISTAS!$J$3,LISTAS!$J$4)))</f>
        <v>Dentro</v>
      </c>
      <c r="T532" s="17" t="str">
        <f>IF(SCTR_Brokers[[#This Row],[FechaRecepcion]]="","",TEXT(SCTR_Brokers[[#This Row],[FechaRecepcion]],"mmmm")&amp;" "&amp;YEAR(SCTR_Brokers[[#This Row],[FechaRecepcion]]))</f>
        <v>octubre 2026</v>
      </c>
      <c r="U532" s="17">
        <f>IF(SCTR_Brokers[[#This Row],[Estado]]="FINALIZADO",1,0)</f>
        <v>0</v>
      </c>
      <c r="V532" s="17">
        <f>IF(SCTR_Brokers[[#This Row],[FechaRecepcion]]="","",IF(SCTR_Brokers[[#This Row],[Estado]]="FINALIZADO",0,1))</f>
        <v>1</v>
      </c>
      <c r="W532" s="17">
        <f ca="1">IF(AND(SCTR_Brokers[[#This Row],[Estado]]="FINALIZADO",SCTR_Brokers[[#This Row],[Plazo]]=LISTAS!$J$3),1,0)</f>
        <v>0</v>
      </c>
      <c r="X532" s="17">
        <f ca="1">IF(AND(SCTR_Brokers[[#This Row],[Estado]]="FINALIZADO",SCTR_Brokers[[#This Row],[Plazo]]=LISTAS!$J$4),1,0)</f>
        <v>0</v>
      </c>
      <c r="Y532" s="17">
        <f ca="1">IF(AND(SCTR_Brokers[[#This Row],[Estado]]&lt;&gt;"FINALIZADO",SCTR_Brokers[[#This Row],[Plazo]]=LISTAS!$J$4),1,0)</f>
        <v>0</v>
      </c>
      <c r="Z532" s="17">
        <f>IF(SCTR_Brokers[[#This Row],[Fecha_Solic_Informe]]="",0,1)</f>
        <v>0</v>
      </c>
      <c r="AA532" s="17">
        <f>IF(SCTR_Brokers[[#This Row],[Fecha_Informe]]="",0,1)</f>
        <v>0</v>
      </c>
      <c r="AB532" s="17">
        <f>IF(AND(SCTR_Brokers[[#This Row],[Fecha_Solic_Informe]]&lt;&gt;"",SCTR_Brokers[[#This Row],[Fecha_Informe]]=""),1,0)</f>
        <v>0</v>
      </c>
      <c r="AC532" s="17" t="str">
        <f>IF(AND(SCTR_Brokers[[#This Row],[Fecha_Solic_Informe]]&lt;&gt;"",SCTR_Brokers[[#This Row],[Fecha_Informe]]&lt;&gt;""),ROUND((SCTR_Brokers[[#This Row],[Fecha_Informe]]-SCTR_Brokers[[#This Row],[Fecha_Solic_Informe]])*24,1),"")</f>
        <v/>
      </c>
    </row>
  </sheetData>
  <hyperlinks>
    <hyperlink ref="H499" r:id="rId1" xr:uid="{01E8633E-1FE9-428C-BB1A-182CEB49EB7E}"/>
  </hyperlinks>
  <pageMargins left="0.75" right="0.75" top="1" bottom="1" header="0.5" footer="0.5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decita3 xmlns="b646f9de-3297-4c31-891b-b6cf74e8a20b" xsi:nil="true"/>
    <Horadecita4 xmlns="b646f9de-3297-4c31-891b-b6cf74e8a20b" xsi:nil="true"/>
    <Horadecita1_x0028_delproveedorB_x0029_ xmlns="b646f9de-3297-4c31-891b-b6cf74e8a20b" xsi:nil="true"/>
    <Horadecita2_x0028_delproveedorA_x0029_ xmlns="b646f9de-3297-4c31-891b-b6cf74e8a20b" xsi:nil="true"/>
    <CIMEDIC xmlns="b646f9de-3297-4c31-891b-b6cf74e8a20b" xsi:nil="true"/>
    <CIMEDIC3 xmlns="b646f9de-3297-4c31-891b-b6cf74e8a20b" xsi:nil="true"/>
    <Apellido_Materno xmlns="b646f9de-3297-4c31-891b-b6cf74e8a20b" xsi:nil="true"/>
    <DNI xmlns="b646f9de-3297-4c31-891b-b6cf74e8a20b" xsi:nil="true"/>
    <Diagnostico_3 xmlns="b646f9de-3297-4c31-891b-b6cf74e8a20b" xsi:nil="true"/>
    <Nro_Carta xmlns="b646f9de-3297-4c31-891b-b6cf74e8a20b" xsi:nil="true"/>
    <Detalle_Doc_Incumplimiento xmlns="b646f9de-3297-4c31-891b-b6cf74e8a20b" xsi:nil="true"/>
    <Asunto xmlns="b646f9de-3297-4c31-891b-b6cf74e8a20b" xsi:nil="true"/>
    <Correo xmlns="b646f9de-3297-4c31-891b-b6cf74e8a20b" xsi:nil="true"/>
    <Proveedor xmlns="b646f9de-3297-4c31-891b-b6cf74e8a20b" xsi:nil="true"/>
    <Fechadecita3_x0028_delproveedorE_x0029_ xmlns="b646f9de-3297-4c31-891b-b6cf74e8a20b" xsi:nil="true"/>
    <Fechadecita2_x0028_delproveedorD_x0029_ xmlns="b646f9de-3297-4c31-891b-b6cf74e8a20b" xsi:nil="true"/>
    <Horadecita1_x0028_delproveedorC_x0029_ xmlns="b646f9de-3297-4c31-891b-b6cf74e8a20b" xsi:nil="true"/>
    <Fechadecita1_x0028_delproveedorB_x0029_ xmlns="b646f9de-3297-4c31-891b-b6cf74e8a20b" xsi:nil="true"/>
    <Fechadecita4_x0028_delproveedorB_x0029_ xmlns="b646f9de-3297-4c31-891b-b6cf74e8a20b" xsi:nil="true"/>
    <Fechadecita2_x0028_delproveedorA_x0029_ xmlns="b646f9de-3297-4c31-891b-b6cf74e8a20b" xsi:nil="true"/>
    <Horadecita3_x0028_delproveedorA_x0029_ xmlns="b646f9de-3297-4c31-891b-b6cf74e8a20b" xsi:nil="true"/>
    <Montoaindemnizar xmlns="b646f9de-3297-4c31-891b-b6cf74e8a20b" xsi:nil="true"/>
    <Fechadesiniestro xmlns="b646f9de-3297-4c31-891b-b6cf74e8a20b" xsi:nil="true"/>
    <DICTINR1 xmlns="b646f9de-3297-4c31-891b-b6cf74e8a20b" xsi:nil="true"/>
    <POLITICASREEMBOLSO xmlns="b646f9de-3297-4c31-891b-b6cf74e8a20b" xsi:nil="true"/>
    <CUERPOREEMBOLSO xmlns="b646f9de-3297-4c31-891b-b6cf74e8a20b" xsi:nil="true"/>
    <Diagnostico_2 xmlns="b646f9de-3297-4c31-891b-b6cf74e8a20b" xsi:nil="true"/>
    <N_Permanente xmlns="b646f9de-3297-4c31-891b-b6cf74e8a20b" xsi:nil="true"/>
    <Msc_Comb xmlns="b646f9de-3297-4c31-891b-b6cf74e8a20b" xsi:nil="true"/>
    <Hora_Siniestro xmlns="b646f9de-3297-4c31-891b-b6cf74e8a20b" xsi:nil="true"/>
    <Hora_Emision_Constancia xmlns="b646f9de-3297-4c31-891b-b6cf74e8a20b" xsi:nil="true"/>
    <Tel_x00e9_fonodelproveedor xmlns="b646f9de-3297-4c31-891b-b6cf74e8a20b" xsi:nil="true"/>
    <Horadecita4_x0028_delproveedorE_x0029_ xmlns="b646f9de-3297-4c31-891b-b6cf74e8a20b" xsi:nil="true"/>
    <Horadecita2_x0028_delproveedorC_x0029_ xmlns="b646f9de-3297-4c31-891b-b6cf74e8a20b" xsi:nil="true"/>
    <Horadecita3_x0028_delproveedorB_x0029_ xmlns="b646f9de-3297-4c31-891b-b6cf74e8a20b" xsi:nil="true"/>
    <Diagnostico_1 xmlns="b646f9de-3297-4c31-891b-b6cf74e8a20b" xsi:nil="true"/>
    <FC_Grado xmlns="b646f9de-3297-4c31-891b-b6cf74e8a20b" xsi:nil="true"/>
    <Diagnosticos_Enfermedad xmlns="b646f9de-3297-4c31-891b-b6cf74e8a20b" xsi:nil="true"/>
    <cl xmlns="b646f9de-3297-4c31-891b-b6cf74e8a20b" xsi:nil="true"/>
    <Fechadeaccidente xmlns="b646f9de-3297-4c31-891b-b6cf74e8a20b" xsi:nil="true"/>
    <Horadecita4_x0028_delproveedorD_x0029_ xmlns="b646f9de-3297-4c31-891b-b6cf74e8a20b" xsi:nil="true"/>
    <Horadecita3_x0028_delproveedorC_x0029_ xmlns="b646f9de-3297-4c31-891b-b6cf74e8a20b" xsi:nil="true"/>
    <Horadecita2_x0028_delproveedorB_x0029_ xmlns="b646f9de-3297-4c31-891b-b6cf74e8a20b" xsi:nil="true"/>
    <Horadecita1_x0028_delproveedorA_x0029_ xmlns="b646f9de-3297-4c31-891b-b6cf74e8a20b" xsi:nil="true"/>
    <Nombredeasegurado xmlns="b646f9de-3297-4c31-891b-b6cf74e8a20b" xsi:nil="true"/>
    <PENSIONDEINVALIDEZ_x002f_INDEMNIZACION xmlns="b646f9de-3297-4c31-891b-b6cf74e8a20b" xsi:nil="true"/>
    <Nombres xmlns="b646f9de-3297-4c31-891b-b6cf74e8a20b" xsi:nil="true"/>
    <Empresa_Sede xmlns="b646f9de-3297-4c31-891b-b6cf74e8a20b" xsi:nil="true"/>
    <Periodo_Laboral xmlns="b646f9de-3297-4c31-891b-b6cf74e8a20b" xsi:nil="true"/>
    <N_NoIncapa xmlns="b646f9de-3297-4c31-891b-b6cf74e8a20b" xsi:nil="true"/>
    <Documentos_Incumplimiento xmlns="b646f9de-3297-4c31-891b-b6cf74e8a20b" xsi:nil="true"/>
    <bl xmlns="b646f9de-3297-4c31-891b-b6cf74e8a20b" xsi:nil="true"/>
    <Direcci_x00f3_ndeproveedorC xmlns="b646f9de-3297-4c31-891b-b6cf74e8a20b" xsi:nil="true"/>
    <Fechadesiniestroletras xmlns="b646f9de-3297-4c31-891b-b6cf74e8a20b" xsi:nil="true"/>
    <CIMEDIC2 xmlns="b646f9de-3297-4c31-891b-b6cf74e8a20b" xsi:nil="true"/>
    <Dia_Informe xmlns="b646f9de-3297-4c31-891b-b6cf74e8a20b" xsi:nil="true"/>
    <Distrito xmlns="b646f9de-3297-4c31-891b-b6cf74e8a20b" xsi:nil="true"/>
    <I_Total xmlns="b646f9de-3297-4c31-891b-b6cf74e8a20b" xsi:nil="true"/>
    <Sustento_Rechazo xmlns="b646f9de-3297-4c31-891b-b6cf74e8a20b" xsi:nil="true"/>
    <FECHA xmlns="b646f9de-3297-4c31-891b-b6cf74e8a20b" xsi:nil="true"/>
    <Fechadecita1_x0028_delproveedorD_x0029_ xmlns="b646f9de-3297-4c31-891b-b6cf74e8a20b" xsi:nil="true"/>
    <Fechadecita1_x0028_delproveedorC_x0029_ xmlns="b646f9de-3297-4c31-891b-b6cf74e8a20b" xsi:nil="true"/>
    <Direcci_x00f3_ndeproveedorB xmlns="b646f9de-3297-4c31-891b-b6cf74e8a20b" xsi:nil="true"/>
    <Fechadecita3_x0028_delproveedorA_x0029_ xmlns="b646f9de-3297-4c31-891b-b6cf74e8a20b" xsi:nil="true"/>
    <Fechadecita4_x0028_delproveedorA_x0029_ xmlns="b646f9de-3297-4c31-891b-b6cf74e8a20b" xsi:nil="true"/>
    <P_x00f3_lizadelaempresa xmlns="b646f9de-3297-4c31-891b-b6cf74e8a20b" xsi:nil="true"/>
    <Nombredebeneficiario xmlns="b646f9de-3297-4c31-891b-b6cf74e8a20b" xsi:nil="true"/>
    <encumplimientolegal xmlns="b646f9de-3297-4c31-891b-b6cf74e8a20b" xsi:nil="true"/>
    <CONDIC_NATCLAR xmlns="b646f9de-3297-4c31-891b-b6cf74e8a20b" xsi:nil="true"/>
    <Edad xmlns="b646f9de-3297-4c31-891b-b6cf74e8a20b" xsi:nil="true"/>
    <Ocupacion xmlns="b646f9de-3297-4c31-891b-b6cf74e8a20b" xsi:nil="true"/>
    <Fecha_Carta xmlns="b646f9de-3297-4c31-891b-b6cf74e8a20b" xsi:nil="true"/>
    <Nombre_Asegurado xmlns="b646f9de-3297-4c31-891b-b6cf74e8a20b" xsi:nil="true"/>
    <Labor_Riesgo xmlns="b646f9de-3297-4c31-891b-b6cf74e8a20b" xsi:nil="true"/>
    <Direcci_x00f3_ndeproveedorA xmlns="b646f9de-3297-4c31-891b-b6cf74e8a20b" xsi:nil="true"/>
    <Fechadepago xmlns="b646f9de-3297-4c31-891b-b6cf74e8a20b" xsi:nil="true"/>
    <Fechadesiniestrolarga xmlns="b646f9de-3297-4c31-891b-b6cf74e8a20b" xsi:nil="true"/>
    <EXPEDIENTELEGAL xmlns="b646f9de-3297-4c31-891b-b6cf74e8a20b" xsi:nil="true"/>
    <Direcci_x00f3_ndelasegurado xmlns="b646f9de-3297-4c31-891b-b6cf74e8a20b" xsi:nil="true"/>
    <ANEXOCONSTANCIAINDEMNIZACION xmlns="b646f9de-3297-4c31-891b-b6cf74e8a20b" xsi:nil="true"/>
    <Fechadeiniciodepension xmlns="b646f9de-3297-4c31-891b-b6cf74e8a20b" xsi:nil="true"/>
    <PROV4 xmlns="b646f9de-3297-4c31-891b-b6cf74e8a20b" xsi:nil="true"/>
    <LISTA_x0025_ xmlns="b646f9de-3297-4c31-891b-b6cf74e8a20b" xsi:nil="true"/>
    <LISTAACREDITADO xmlns="b646f9de-3297-4c31-891b-b6cf74e8a20b" xsi:nil="true"/>
    <Actividad xmlns="b646f9de-3297-4c31-891b-b6cf74e8a20b" xsi:nil="true"/>
    <Codigo_3 xmlns="b646f9de-3297-4c31-891b-b6cf74e8a20b" xsi:nil="true"/>
    <Menoscabo xmlns="b646f9de-3297-4c31-891b-b6cf74e8a20b" xsi:nil="true"/>
    <Numerodecelulardelasegurado xmlns="b646f9de-3297-4c31-891b-b6cf74e8a20b" xsi:nil="true"/>
    <PROV5 xmlns="b646f9de-3297-4c31-891b-b6cf74e8a20b" xsi:nil="true"/>
    <Documentos_Incumplimiento2 xmlns="b646f9de-3297-4c31-891b-b6cf74e8a20b" xsi:nil="true"/>
    <Nombredeltrabajador xmlns="b646f9de-3297-4c31-891b-b6cf74e8a20b" xsi:nil="true"/>
    <TaxCatchAll xmlns="b8c6fdf2-8adc-4820-9c71-468ba955765c" xsi:nil="true"/>
    <TIPOTRAMITE xmlns="b646f9de-3297-4c31-891b-b6cf74e8a20b" xsi:nil="true"/>
    <PROV2 xmlns="b646f9de-3297-4c31-891b-b6cf74e8a20b" xsi:nil="true"/>
    <I_GIncap xmlns="b646f9de-3297-4c31-891b-b6cf74e8a20b" xsi:nil="true"/>
    <Fechadecita1_x0028_delproveedorE_x0029_ xmlns="b646f9de-3297-4c31-891b-b6cf74e8a20b" xsi:nil="true"/>
    <Fechadecita4_x0028_delproveedorE_x0029_ xmlns="b646f9de-3297-4c31-891b-b6cf74e8a20b" xsi:nil="true"/>
    <ProveedorD xmlns="b646f9de-3297-4c31-891b-b6cf74e8a20b" xsi:nil="true"/>
    <Fechadecita2_x0028_delproveedorC_x0029_ xmlns="b646f9de-3297-4c31-891b-b6cf74e8a20b" xsi:nil="true"/>
    <Fechadecita3_x0028_delproveedorB_x0029_ xmlns="b646f9de-3297-4c31-891b-b6cf74e8a20b" xsi:nil="true"/>
    <ProveedorA xmlns="b646f9de-3297-4c31-891b-b6cf74e8a20b" xsi:nil="true"/>
    <BROKER xmlns="b646f9de-3297-4c31-891b-b6cf74e8a20b" xsi:nil="true"/>
    <PROV3 xmlns="b646f9de-3297-4c31-891b-b6cf74e8a20b" xsi:nil="true"/>
    <NOTAREEMBOLSO xmlns="b646f9de-3297-4c31-891b-b6cf74e8a20b" xsi:nil="true"/>
    <Provincia xmlns="b646f9de-3297-4c31-891b-b6cf74e8a20b" xsi:nil="true"/>
    <Detalle_Doc_Incumplimiento1 xmlns="b646f9de-3297-4c31-891b-b6cf74e8a20b" xsi:nil="true"/>
    <lcf76f155ced4ddcb4097134ff3c332f xmlns="b646f9de-3297-4c31-891b-b6cf74e8a20b">
      <Terms xmlns="http://schemas.microsoft.com/office/infopath/2007/PartnerControls"/>
    </lcf76f155ced4ddcb4097134ff3c332f>
    <Direcci_x00f3_ndeproveedorE xmlns="b646f9de-3297-4c31-891b-b6cf74e8a20b" xsi:nil="true"/>
    <Causa xmlns="b646f9de-3297-4c31-891b-b6cf74e8a20b" xsi:nil="true"/>
    <DNIdelasegurado xmlns="b646f9de-3297-4c31-891b-b6cf74e8a20b" xsi:nil="true"/>
    <tipodedocumentodebeneficiario xmlns="b646f9de-3297-4c31-891b-b6cf74e8a20b" xsi:nil="true"/>
    <Documentospendientes xmlns="b646f9de-3297-4c31-891b-b6cf74e8a20b" xsi:nil="true"/>
    <SEDEJUDICIAL xmlns="b646f9de-3297-4c31-891b-b6cf74e8a20b" xsi:nil="true"/>
    <Sexo xmlns="b646f9de-3297-4c31-891b-b6cf74e8a20b" xsi:nil="true"/>
    <Codigo_2 xmlns="b646f9de-3297-4c31-891b-b6cf74e8a20b" xsi:nil="true"/>
    <Msc_Global xmlns="b646f9de-3297-4c31-891b-b6cf74e8a20b" xsi:nil="true"/>
    <Detalle_Doc_Incumplimiento2 xmlns="b646f9de-3297-4c31-891b-b6cf74e8a20b" xsi:nil="true"/>
    <Direcci_x00f3_ndeproveedor xmlns="b646f9de-3297-4c31-891b-b6cf74e8a20b" xsi:nil="true"/>
    <Direcci_x00f3_ndeproveedorD xmlns="b646f9de-3297-4c31-891b-b6cf74e8a20b" xsi:nil="true"/>
    <DIAGNOSTICOS_x002f_ENFERMEDAD xmlns="b646f9de-3297-4c31-891b-b6cf74e8a20b" xsi:nil="true"/>
    <Tipodedocdeidentidaddelasegurado xmlns="b646f9de-3297-4c31-891b-b6cf74e8a20b" xsi:nil="true"/>
    <ANEXO2DEPENSION xmlns="b646f9de-3297-4c31-891b-b6cf74e8a20b" xsi:nil="true"/>
    <EncasodeATESSALUD xmlns="b646f9de-3297-4c31-891b-b6cf74e8a20b" xsi:nil="true"/>
    <PROV1 xmlns="b646f9de-3297-4c31-891b-b6cf74e8a20b" xsi:nil="true"/>
    <Mes_Informe xmlns="b646f9de-3297-4c31-891b-b6cf74e8a20b" xsi:nil="true"/>
    <Calle xmlns="b646f9de-3297-4c31-891b-b6cf74e8a20b" xsi:nil="true"/>
    <Departamento xmlns="b646f9de-3297-4c31-891b-b6cf74e8a20b" xsi:nil="true"/>
    <Fech_I xmlns="b646f9de-3297-4c31-891b-b6cf74e8a20b" xsi:nil="true"/>
    <Nombredeprocurador xmlns="b646f9de-3297-4c31-891b-b6cf74e8a20b" xsi:nil="true"/>
    <Fechadecita1 xmlns="b646f9de-3297-4c31-891b-b6cf74e8a20b" xsi:nil="true"/>
    <Fechadecita4 xmlns="b646f9de-3297-4c31-891b-b6cf74e8a20b" xsi:nil="true"/>
    <Remunpromedio xmlns="b646f9de-3297-4c31-891b-b6cf74e8a20b" xsi:nil="true"/>
    <Montoaindemnizarletras xmlns="b646f9de-3297-4c31-891b-b6cf74e8a20b" xsi:nil="true"/>
    <cuandooconsecuencia xmlns="b646f9de-3297-4c31-891b-b6cf74e8a20b" xsi:nil="true"/>
    <CIMEDIC5 xmlns="b646f9de-3297-4c31-891b-b6cf74e8a20b" xsi:nil="true"/>
    <Fecha_Nacimiento xmlns="b646f9de-3297-4c31-891b-b6cf74e8a20b" xsi:nil="true"/>
    <N_Temporal xmlns="b646f9de-3297-4c31-891b-b6cf74e8a20b" xsi:nil="true"/>
    <Correo_Asegurado xmlns="b646f9de-3297-4c31-891b-b6cf74e8a20b" xsi:nil="true"/>
    <Empresa xmlns="b646f9de-3297-4c31-891b-b6cf74e8a20b" xsi:nil="true"/>
    <Fecha_Emision_Constancia xmlns="b646f9de-3297-4c31-891b-b6cf74e8a20b" xsi:nil="true"/>
    <Dnidelprocurador xmlns="b646f9de-3297-4c31-891b-b6cf74e8a20b" xsi:nil="true"/>
    <ProveedorE xmlns="b646f9de-3297-4c31-891b-b6cf74e8a20b" xsi:nil="true"/>
    <Fechadecita4_x0028_delproveedorD_x0029_ xmlns="b646f9de-3297-4c31-891b-b6cf74e8a20b" xsi:nil="true"/>
    <Fechadecita3_x0028_delproveedorC_x0029_ xmlns="b646f9de-3297-4c31-891b-b6cf74e8a20b" xsi:nil="true"/>
    <ProveedorB xmlns="b646f9de-3297-4c31-891b-b6cf74e8a20b" xsi:nil="true"/>
    <Fechadecita2_x0028_delproveedorB_x0029_ xmlns="b646f9de-3297-4c31-891b-b6cf74e8a20b" xsi:nil="true"/>
    <Fechadecita1_x0028_delproveedorA_x0029_ xmlns="b646f9de-3297-4c31-891b-b6cf74e8a20b" xsi:nil="true"/>
    <Prestaci_x00f3_ny_x002f_oCobertura xmlns="b646f9de-3297-4c31-891b-b6cf74e8a20b" xsi:nil="true"/>
    <DICTINR2 xmlns="b646f9de-3297-4c31-891b-b6cf74e8a20b" xsi:nil="true"/>
    <CORREOBROKER xmlns="b646f9de-3297-4c31-891b-b6cf74e8a20b" xsi:nil="true"/>
    <FECH_RESOL xmlns="b646f9de-3297-4c31-891b-b6cf74e8a20b" xsi:nil="true"/>
    <Estipula1 xmlns="b646f9de-3297-4c31-891b-b6cf74e8a20b" xsi:nil="true"/>
    <Tel_x00e9_fonodelproveedorD xmlns="b646f9de-3297-4c31-891b-b6cf74e8a20b" xsi:nil="true"/>
    <N_x00fa_merodesiniestro xmlns="b646f9de-3297-4c31-891b-b6cf74e8a20b" xsi:nil="true"/>
    <LISTAPARENTEZCO xmlns="b646f9de-3297-4c31-891b-b6cf74e8a20b" xsi:nil="true"/>
    <Codigo_1 xmlns="b646f9de-3297-4c31-891b-b6cf74e8a20b" xsi:nil="true"/>
    <Nro_Poliza xmlns="b646f9de-3297-4c31-891b-b6cf74e8a20b" xsi:nil="true"/>
    <Nro_Constancia xmlns="b646f9de-3297-4c31-891b-b6cf74e8a20b" xsi:nil="true"/>
    <Descripcion_Accidente xmlns="b646f9de-3297-4c31-891b-b6cf74e8a20b" xsi:nil="true"/>
    <Estipula2 xmlns="b646f9de-3297-4c31-891b-b6cf74e8a20b" xsi:nil="true"/>
    <Tel_x00e9_fonodelproveedorE xmlns="b646f9de-3297-4c31-891b-b6cf74e8a20b" xsi:nil="true"/>
    <CorreodelAsegurado xmlns="b646f9de-3297-4c31-891b-b6cf74e8a20b" xsi:nil="true"/>
    <MENOSCABO_x002a_70_x0025_ xmlns="b646f9de-3297-4c31-891b-b6cf74e8a20b" xsi:nil="true"/>
    <Nro_Certificado xmlns="b646f9de-3297-4c31-891b-b6cf74e8a20b" xsi:nil="true"/>
    <Resultado_AT xmlns="b646f9de-3297-4c31-891b-b6cf74e8a20b" xsi:nil="true"/>
    <I_Parcial xmlns="b646f9de-3297-4c31-891b-b6cf74e8a20b" xsi:nil="true"/>
    <Documentos_Incumplimiento1 xmlns="b646f9de-3297-4c31-891b-b6cf74e8a20b" xsi:nil="true"/>
    <Fechadecita2 xmlns="b646f9de-3297-4c31-891b-b6cf74e8a20b" xsi:nil="true"/>
    <Horadecita2_x0028_delproveedorE_x0029_ xmlns="b646f9de-3297-4c31-891b-b6cf74e8a20b" xsi:nil="true"/>
    <Horadecita3_x0028_delproveedorD_x0029_ xmlns="b646f9de-3297-4c31-891b-b6cf74e8a20b" xsi:nil="true"/>
    <Horadecita4_x0028_delproveedorC_x0029_ xmlns="b646f9de-3297-4c31-891b-b6cf74e8a20b" xsi:nil="true"/>
    <Tel_x00e9_fonodelproveedorB xmlns="b646f9de-3297-4c31-891b-b6cf74e8a20b" xsi:nil="true"/>
    <Fechadeultimapensi_x00f3_n xmlns="b646f9de-3297-4c31-891b-b6cf74e8a20b" xsi:nil="true"/>
    <DICTMAPFRE1 xmlns="b646f9de-3297-4c31-891b-b6cf74e8a20b" xsi:nil="true"/>
    <CORREOEMPRESA xmlns="b646f9de-3297-4c31-891b-b6cf74e8a20b" xsi:nil="true"/>
    <CIMEDIC4 xmlns="b646f9de-3297-4c31-891b-b6cf74e8a20b" xsi:nil="true"/>
    <Apellido_Paterno xmlns="b646f9de-3297-4c31-891b-b6cf74e8a20b" xsi:nil="true"/>
    <FC_Edad xmlns="b646f9de-3297-4c31-891b-b6cf74e8a20b" xsi:nil="true"/>
    <Nombre_x0020_de_x0020_la_x0020_empresa xmlns="b646f9de-3297-4c31-891b-b6cf74e8a20b" xsi:nil="true"/>
    <Horadecita1 xmlns="b646f9de-3297-4c31-891b-b6cf74e8a20b" xsi:nil="true"/>
    <Fechadecita2_x0028_delproveedorE_x0029_ xmlns="b646f9de-3297-4c31-891b-b6cf74e8a20b" xsi:nil="true"/>
    <Horadecita3_x0028_delproveedorE_x0029_ xmlns="b646f9de-3297-4c31-891b-b6cf74e8a20b" xsi:nil="true"/>
    <Fechadecita3_x0028_delproveedorD_x0029_ xmlns="b646f9de-3297-4c31-891b-b6cf74e8a20b" xsi:nil="true"/>
    <Horadecita2_x0028_delproveedorD_x0029_ xmlns="b646f9de-3297-4c31-891b-b6cf74e8a20b" xsi:nil="true"/>
    <ProveedorC xmlns="b646f9de-3297-4c31-891b-b6cf74e8a20b" xsi:nil="true"/>
    <Tel_x00e9_fonodelproveedorC xmlns="b646f9de-3297-4c31-891b-b6cf74e8a20b" xsi:nil="true"/>
    <Fechadecita4_x0028_delproveedorC_x0029_ xmlns="b646f9de-3297-4c31-891b-b6cf74e8a20b" xsi:nil="true"/>
    <Horadecita4_x0028_delproveedorB_x0029_ xmlns="b646f9de-3297-4c31-891b-b6cf74e8a20b" xsi:nil="true"/>
    <Tipodeconfi xmlns="b646f9de-3297-4c31-891b-b6cf74e8a20b" xsi:nil="true"/>
    <Motivo_NoRelacion xmlns="b646f9de-3297-4c31-891b-b6cf74e8a20b" xsi:nil="true"/>
    <Compa_x00f1_ia xmlns="b646f9de-3297-4c31-891b-b6cf74e8a20b" xsi:nil="true"/>
    <Horadecita2 xmlns="b646f9de-3297-4c31-891b-b6cf74e8a20b" xsi:nil="true"/>
    <Horadecita1_x0028_delproveedorD_x0029_ xmlns="b646f9de-3297-4c31-891b-b6cf74e8a20b" xsi:nil="true"/>
    <Horadecita4_x0028_delproveedorA_x0029_ xmlns="b646f9de-3297-4c31-891b-b6cf74e8a20b" xsi:nil="true"/>
    <Asunto_x002d_carta xmlns="b646f9de-3297-4c31-891b-b6cf74e8a20b" xsi:nil="true"/>
    <Anio_Informe xmlns="b646f9de-3297-4c31-891b-b6cf74e8a20b" xsi:nil="true"/>
    <Resultado_Informe xmlns="b646f9de-3297-4c31-891b-b6cf74e8a20b" xsi:nil="true"/>
    <Fecha_Siniestro xmlns="b646f9de-3297-4c31-891b-b6cf74e8a20b" xsi:nil="true"/>
    <Fecha_Siniestro1 xmlns="b646f9de-3297-4c31-891b-b6cf74e8a20b" xsi:nil="true"/>
    <Estadodedocumento xmlns="b646f9de-3297-4c31-891b-b6cf74e8a20b">Pendiente</Estadodedocumento>
    <Horadecita3 xmlns="b646f9de-3297-4c31-891b-b6cf74e8a20b" xsi:nil="true"/>
    <Horadecita1_x0028_delproveedorE_x0029_ xmlns="b646f9de-3297-4c31-891b-b6cf74e8a20b" xsi:nil="true"/>
    <Tel_x00e9_fonodelproveedorA xmlns="b646f9de-3297-4c31-891b-b6cf74e8a20b" xsi:nil="true"/>
    <Consecuencia xmlns="b646f9de-3297-4c31-891b-b6cf74e8a20b" xsi:nil="true"/>
    <Montodeintereseslegalesletras xmlns="b646f9de-3297-4c31-891b-b6cf74e8a20b" xsi:nil="true"/>
    <nrodedocumentodebeneficiario xmlns="b646f9de-3297-4c31-891b-b6cf74e8a20b" xsi:nil="true"/>
    <DICTMAPFRE2 xmlns="b646f9de-3297-4c31-891b-b6cf74e8a20b" xsi:nil="true"/>
    <LISTADEBENEFICIARIOS xmlns="b646f9de-3297-4c31-891b-b6cf74e8a20b" xsi:nil="true"/>
    <Empleador xmlns="b646f9de-3297-4c31-891b-b6cf74e8a20b" xsi:nil="true"/>
    <Fech_A xmlns="b646f9de-3297-4c31-891b-b6cf74e8a20b" xsi:nil="true"/>
    <FC_Laboral xmlns="b646f9de-3297-4c31-891b-b6cf74e8a20b" xsi:nil="true"/>
    <Vigencia_Constancia xmlns="b646f9de-3297-4c31-891b-b6cf74e8a20b" xsi:nil="true"/>
    <Detalle_Doc_6 xmlns="b646f9de-3297-4c31-891b-b6cf74e8a20b" xsi:nil="true"/>
    <Detalle_Doc_5 xmlns="b646f9de-3297-4c31-891b-b6cf74e8a20b" xsi:nil="true"/>
    <Sustento_Rechazo_3 xmlns="b646f9de-3297-4c31-891b-b6cf74e8a20b" xsi:nil="true"/>
    <Sustento_Rechazo_4 xmlns="b646f9de-3297-4c31-891b-b6cf74e8a20b" xsi:nil="true"/>
    <Detalle_Doc_4 xmlns="b646f9de-3297-4c31-891b-b6cf74e8a20b" xsi:nil="true"/>
    <Diagnosticos_3 xmlns="b646f9de-3297-4c31-891b-b6cf74e8a20b" xsi:nil="true"/>
    <Detalle_Doc_3 xmlns="b646f9de-3297-4c31-891b-b6cf74e8a20b" xsi:nil="true"/>
    <Detalle_Doc_2 xmlns="b646f9de-3297-4c31-891b-b6cf74e8a20b" xsi:nil="true"/>
    <Sustento_Rechazo_2 xmlns="b646f9de-3297-4c31-891b-b6cf74e8a20b" xsi:nil="true"/>
    <Diagnosticos_2 xmlns="b646f9de-3297-4c31-891b-b6cf74e8a20b" xsi:nil="true"/>
    <Descripcion_Accidente_2 xmlns="b646f9de-3297-4c31-891b-b6cf74e8a2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scriptIds xmlns="http://schemas.microsoft.com/office/extensibility/maker/v1.0" id="script-ids-node-id">
  <scriptId id="ms-officescript%3A%2F%2Fonedrive_business_itemlink%2F0156OTKCLO2MM3FDVCO5FY7IV2MA2PTZA3:ms-officescript%3A%2F%2Fonedrive_business_sharinglink%2Fu!aHR0cHM6Ly9tYXBmcmVjb3JwLW15LnNoYXJlcG9pbnQuY29tLzp1Oi9nL3BlcnNvbmFsL3NjdHJzYWx1ZF9tYXBmcmVfY29tX3BlL0lRQnUweG15anFKM1M0LWl1bUEwLWVRYkFlRXBfQkhfdXp6R2QxRGRZdldhdkFF"/>
</scriptId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5F873CD8E35B46AA94A8258DDC3D10" ma:contentTypeVersion="240" ma:contentTypeDescription="Crear nuevo documento." ma:contentTypeScope="" ma:versionID="410325fcb9ebf8b3e8a2b89187c6e908">
  <xsd:schema xmlns:xsd="http://www.w3.org/2001/XMLSchema" xmlns:xs="http://www.w3.org/2001/XMLSchema" xmlns:p="http://schemas.microsoft.com/office/2006/metadata/properties" xmlns:ns2="b646f9de-3297-4c31-891b-b6cf74e8a20b" xmlns:ns3="b8c6fdf2-8adc-4820-9c71-468ba955765c" targetNamespace="http://schemas.microsoft.com/office/2006/metadata/properties" ma:root="true" ma:fieldsID="ad2ef1ce68078636e712f5710566495b" ns2:_="" ns3:_="">
    <xsd:import namespace="b646f9de-3297-4c31-891b-b6cf74e8a20b"/>
    <xsd:import namespace="b8c6fdf2-8adc-4820-9c71-468ba95576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dedocumento"/>
                <xsd:element ref="ns2:MediaServiceDateTaken" minOccurs="0"/>
                <xsd:element ref="ns2:MediaLengthInSeconds" minOccurs="0"/>
                <xsd:element ref="ns2:FECHA" minOccurs="0"/>
                <xsd:element ref="ns2:Nombre_x0020_de_x0020_la_x0020_empresa" minOccurs="0"/>
                <xsd:element ref="ns2:Nombredeltrabajador" minOccurs="0"/>
                <xsd:element ref="ns2:Fechadeaccidente" minOccurs="0"/>
                <xsd:element ref="ns2:Nombredeprocurador" minOccurs="0"/>
                <xsd:element ref="ns2:Dnidelprocurador" minOccurs="0"/>
                <xsd:element ref="ns2:Asunto" minOccurs="0"/>
                <xsd:element ref="ns2:Compa_x00f1_ia" minOccurs="0"/>
                <xsd:element ref="ns2:lcf76f155ced4ddcb4097134ff3c332f" minOccurs="0"/>
                <xsd:element ref="ns3:TaxCatchAll" minOccurs="0"/>
                <xsd:element ref="ns2:Correo" minOccurs="0"/>
                <xsd:element ref="ns2:Proveedor" minOccurs="0"/>
                <xsd:element ref="ns2:Direcci_x00f3_ndeproveedor" minOccurs="0"/>
                <xsd:element ref="ns2:Fechadecita1" minOccurs="0"/>
                <xsd:element ref="ns2:Fechadecita2" minOccurs="0"/>
                <xsd:element ref="ns2:Fechadecita3" minOccurs="0"/>
                <xsd:element ref="ns2:Horadecita1" minOccurs="0"/>
                <xsd:element ref="ns2:Horadecita2" minOccurs="0"/>
                <xsd:element ref="ns2:Horadecita3" minOccurs="0"/>
                <xsd:element ref="ns2:Fechadecita4" minOccurs="0"/>
                <xsd:element ref="ns2:Horadecita4" minOccurs="0"/>
                <xsd:element ref="ns2:Tel_x00e9_fonodelproveedor" minOccurs="0"/>
                <xsd:element ref="ns2:ProveedorE" minOccurs="0"/>
                <xsd:element ref="ns2:Direcci_x00f3_ndeproveedorE" minOccurs="0"/>
                <xsd:element ref="ns2:Tel_x00e9_fonodelproveedorE" minOccurs="0"/>
                <xsd:element ref="ns2:Fechadecita1_x0028_delproveedorE_x0029_" minOccurs="0"/>
                <xsd:element ref="ns2:Fechadecita2_x0028_delproveedorE_x0029_" minOccurs="0"/>
                <xsd:element ref="ns2:Fechadecita3_x0028_delproveedorE_x0029_" minOccurs="0"/>
                <xsd:element ref="ns2:Fechadecita4_x0028_delproveedorE_x0029_" minOccurs="0"/>
                <xsd:element ref="ns2:Horadecita1_x0028_delproveedorE_x0029_" minOccurs="0"/>
                <xsd:element ref="ns2:Horadecita2_x0028_delproveedorE_x0029_" minOccurs="0"/>
                <xsd:element ref="ns2:Horadecita3_x0028_delproveedorE_x0029_" minOccurs="0"/>
                <xsd:element ref="ns2:Horadecita4_x0028_delproveedorE_x0029_" minOccurs="0"/>
                <xsd:element ref="ns2:ProveedorD" minOccurs="0"/>
                <xsd:element ref="ns2:Direcci_x00f3_ndeproveedorD" minOccurs="0"/>
                <xsd:element ref="ns2:Tel_x00e9_fonodelproveedorD" minOccurs="0"/>
                <xsd:element ref="ns2:Fechadecita1_x0028_delproveedorD_x0029_" minOccurs="0"/>
                <xsd:element ref="ns2:Fechadecita2_x0028_delproveedorD_x0029_" minOccurs="0"/>
                <xsd:element ref="ns2:Fechadecita3_x0028_delproveedorD_x0029_" minOccurs="0"/>
                <xsd:element ref="ns2:Fechadecita4_x0028_delproveedorD_x0029_" minOccurs="0"/>
                <xsd:element ref="ns2:Horadecita1_x0028_delproveedorD_x0029_" minOccurs="0"/>
                <xsd:element ref="ns2:Horadecita2_x0028_delproveedorD_x0029_" minOccurs="0"/>
                <xsd:element ref="ns2:Horadecita3_x0028_delproveedorD_x0029_" minOccurs="0"/>
                <xsd:element ref="ns2:Horadecita4_x0028_delproveedorD_x0029_" minOccurs="0"/>
                <xsd:element ref="ns2:ProveedorC" minOccurs="0"/>
                <xsd:element ref="ns2:Direcci_x00f3_ndeproveedorC" minOccurs="0"/>
                <xsd:element ref="ns2:Tel_x00e9_fonodelproveedorC" minOccurs="0"/>
                <xsd:element ref="ns2:Fechadecita1_x0028_delproveedorC_x0029_" minOccurs="0"/>
                <xsd:element ref="ns2:Fechadecita2_x0028_delproveedorC_x0029_" minOccurs="0"/>
                <xsd:element ref="ns2:Fechadecita3_x0028_delproveedorC_x0029_" minOccurs="0"/>
                <xsd:element ref="ns2:Fechadecita4_x0028_delproveedorC_x0029_" minOccurs="0"/>
                <xsd:element ref="ns2:Horadecita1_x0028_delproveedorC_x0029_" minOccurs="0"/>
                <xsd:element ref="ns2:Horadecita2_x0028_delproveedorC_x0029_" minOccurs="0"/>
                <xsd:element ref="ns2:Horadecita3_x0028_delproveedorC_x0029_" minOccurs="0"/>
                <xsd:element ref="ns2:Horadecita4_x0028_delproveedorC_x0029_" minOccurs="0"/>
                <xsd:element ref="ns2:ProveedorB" minOccurs="0"/>
                <xsd:element ref="ns2:Direcci_x00f3_ndeproveedorB" minOccurs="0"/>
                <xsd:element ref="ns2:Tel_x00e9_fonodelproveedorB" minOccurs="0"/>
                <xsd:element ref="ns2:Fechadecita1_x0028_delproveedorB_x0029_" minOccurs="0"/>
                <xsd:element ref="ns2:Fechadecita2_x0028_delproveedorB_x0029_" minOccurs="0"/>
                <xsd:element ref="ns2:Fechadecita3_x0028_delproveedorB_x0029_" minOccurs="0"/>
                <xsd:element ref="ns2:Fechadecita4_x0028_delproveedorB_x0029_" minOccurs="0"/>
                <xsd:element ref="ns2:Horadecita1_x0028_delproveedorB_x0029_" minOccurs="0"/>
                <xsd:element ref="ns2:Horadecita2_x0028_delproveedorB_x0029_" minOccurs="0"/>
                <xsd:element ref="ns2:Horadecita3_x0028_delproveedorB_x0029_" minOccurs="0"/>
                <xsd:element ref="ns2:Horadecita4_x0028_delproveedorB_x0029_" minOccurs="0"/>
                <xsd:element ref="ns2:ProveedorA" minOccurs="0"/>
                <xsd:element ref="ns2:Direcci_x00f3_ndeproveedorA" minOccurs="0"/>
                <xsd:element ref="ns2:Tel_x00e9_fonodelproveedorA" minOccurs="0"/>
                <xsd:element ref="ns2:Fechadecita1_x0028_delproveedorA_x0029_" minOccurs="0"/>
                <xsd:element ref="ns2:Fechadecita2_x0028_delproveedorA_x0029_" minOccurs="0"/>
                <xsd:element ref="ns2:Fechadecita3_x0028_delproveedorA_x0029_" minOccurs="0"/>
                <xsd:element ref="ns2:Fechadecita4_x0028_delproveedorA_x0029_" minOccurs="0"/>
                <xsd:element ref="ns2:Horadecita1_x0028_delproveedorA_x0029_" minOccurs="0"/>
                <xsd:element ref="ns2:Horadecita2_x0028_delproveedorA_x0029_" minOccurs="0"/>
                <xsd:element ref="ns2:Horadecita3_x0028_delproveedorA_x0029_" minOccurs="0"/>
                <xsd:element ref="ns2:Horadecita4_x0028_delproveedorA_x0029_" minOccurs="0"/>
                <xsd:element ref="ns2:Nombredeasegurado" minOccurs="0"/>
                <xsd:element ref="ns2:CorreodelAsegurado" minOccurs="0"/>
                <xsd:element ref="ns2:P_x00f3_lizadelaempresa" minOccurs="0"/>
                <xsd:element ref="ns2:N_x00fa_merodesiniestro" minOccurs="0"/>
                <xsd:element ref="ns2:Causa" minOccurs="0"/>
                <xsd:element ref="ns2:Consecuencia" minOccurs="0"/>
                <xsd:element ref="ns2:Fechadepago" minOccurs="0"/>
                <xsd:element ref="ns2:Montoaindemnizar" minOccurs="0"/>
                <xsd:element ref="ns2:DIAGNOSTICOS_x002f_ENFERMEDAD" minOccurs="0"/>
                <xsd:element ref="ns2:Fechadesiniestro" minOccurs="0"/>
                <xsd:element ref="ns2:Menoscabo" minOccurs="0"/>
                <xsd:element ref="ns2:Remunpromedio" minOccurs="0"/>
                <xsd:element ref="ns2:DNIdelasegurado" minOccurs="0"/>
                <xsd:element ref="ns2:Tipodedocdeidentidaddelasegurado" minOccurs="0"/>
                <xsd:element ref="ns2:MENOSCABO_x002a_70_x0025_" minOccurs="0"/>
                <xsd:element ref="ns2:Montoaindemnizarletras" minOccurs="0"/>
                <xsd:element ref="ns2:Fechadesiniestroletras" minOccurs="0"/>
                <xsd:element ref="ns2:Fechadesiniestrolarga" minOccurs="0"/>
                <xsd:element ref="ns2:Montodeintereseslegalesletras" minOccurs="0"/>
                <xsd:element ref="ns2:Prestaci_x00f3_ny_x002f_oCobertura" minOccurs="0"/>
                <xsd:element ref="ns2:Nombredebeneficiario" minOccurs="0"/>
                <xsd:element ref="ns2:nrodedocumentodebeneficiario" minOccurs="0"/>
                <xsd:element ref="ns2:tipodedocumentodebeneficiario" minOccurs="0"/>
                <xsd:element ref="ns2:EXPEDIENTELEGAL" minOccurs="0"/>
                <xsd:element ref="ns2:Asunto_x002d_carta" minOccurs="0"/>
                <xsd:element ref="ns2:Numerodecelulardelasegurado" minOccurs="0"/>
                <xsd:element ref="ns2:Direcci_x00f3_ndelasegurado" minOccurs="0"/>
                <xsd:element ref="ns2:Documentospendientes" minOccurs="0"/>
                <xsd:element ref="ns2:PENSIONDEINVALIDEZ_x002f_INDEMNIZACION" minOccurs="0"/>
                <xsd:element ref="ns2:ANEXOCONSTANCIAINDEMNIZACION" minOccurs="0"/>
                <xsd:element ref="ns2:TIPOTRAMITE" minOccurs="0"/>
                <xsd:element ref="ns2:cuandooconsecuencia" minOccurs="0"/>
                <xsd:element ref="ns2:SEDEJUDICIAL" minOccurs="0"/>
                <xsd:element ref="ns2:Fechadeiniciodepension" minOccurs="0"/>
                <xsd:element ref="ns2:encumplimientolegal" minOccurs="0"/>
                <xsd:element ref="ns2:Fechadeultimapensi_x00f3_n" minOccurs="0"/>
                <xsd:element ref="ns2:ANEXO2DEPENSION" minOccurs="0"/>
                <xsd:element ref="ns2:MediaServiceObjectDetectorVersions" minOccurs="0"/>
                <xsd:element ref="ns2:EncasodeATESSALUD" minOccurs="0"/>
                <xsd:element ref="ns2:DICTMAPFRE1" minOccurs="0"/>
                <xsd:element ref="ns2:DICTINR1" minOccurs="0"/>
                <xsd:element ref="ns2:DICTMAPFRE2" minOccurs="0"/>
                <xsd:element ref="ns2:DICTINR2" minOccurs="0"/>
                <xsd:element ref="ns2:Tipodeconfi" minOccurs="0"/>
                <xsd:element ref="ns2:BROKER" minOccurs="0"/>
                <xsd:element ref="ns2:CORREOBROKER" minOccurs="0"/>
                <xsd:element ref="ns2:CORREOEMPRESA" minOccurs="0"/>
                <xsd:element ref="ns2:MediaServiceSearchProperties" minOccurs="0"/>
                <xsd:element ref="ns2:PROV1" minOccurs="0"/>
                <xsd:element ref="ns2:PROV2" minOccurs="0"/>
                <xsd:element ref="ns2:PROV3" minOccurs="0"/>
                <xsd:element ref="ns2:PROV4" minOccurs="0"/>
                <xsd:element ref="ns2:PROV5" minOccurs="0"/>
                <xsd:element ref="ns2:POLITICASREEMBOLSO" minOccurs="0"/>
                <xsd:element ref="ns2:CUERPOREEMBOLSO" minOccurs="0"/>
                <xsd:element ref="ns2:NOTAREEMBOLSO" minOccurs="0"/>
                <xsd:element ref="ns2:CONDIC_NATCLAR" minOccurs="0"/>
                <xsd:element ref="ns2:CIMEDIC" minOccurs="0"/>
                <xsd:element ref="ns2:CIMEDIC2" minOccurs="0"/>
                <xsd:element ref="ns2:CIMEDIC3" minOccurs="0"/>
                <xsd:element ref="ns2:CIMEDIC4" minOccurs="0"/>
                <xsd:element ref="ns2:CIMEDIC5" minOccurs="0"/>
                <xsd:element ref="ns2:FECH_RESOL" minOccurs="0"/>
                <xsd:element ref="ns2:LISTADEBENEFICIARIOS" minOccurs="0"/>
                <xsd:element ref="ns2:LISTAPARENTEZCO" minOccurs="0"/>
                <xsd:element ref="ns2:LISTA_x0025_" minOccurs="0"/>
                <xsd:element ref="ns2:LISTAACREDITADO" minOccurs="0"/>
                <xsd:element ref="ns2:Nro_Certificado" minOccurs="0"/>
                <xsd:element ref="ns2:Dia_Informe" minOccurs="0"/>
                <xsd:element ref="ns2:Mes_Informe" minOccurs="0"/>
                <xsd:element ref="ns2:Anio_Informe" minOccurs="0"/>
                <xsd:element ref="ns2:Apellido_Paterno" minOccurs="0"/>
                <xsd:element ref="ns2:Apellido_Materno" minOccurs="0"/>
                <xsd:element ref="ns2:Nombres" minOccurs="0"/>
                <xsd:element ref="ns2:DNI" minOccurs="0"/>
                <xsd:element ref="ns2:Sexo" minOccurs="0"/>
                <xsd:element ref="ns2:Edad" minOccurs="0"/>
                <xsd:element ref="ns2:Fecha_Nacimiento" minOccurs="0"/>
                <xsd:element ref="ns2:Calle" minOccurs="0"/>
                <xsd:element ref="ns2:Distrito" minOccurs="0"/>
                <xsd:element ref="ns2:Provincia" minOccurs="0"/>
                <xsd:element ref="ns2:Departamento" minOccurs="0"/>
                <xsd:element ref="ns2:Empleador" minOccurs="0"/>
                <xsd:element ref="ns2:Empresa_Sede" minOccurs="0"/>
                <xsd:element ref="ns2:Actividad" minOccurs="0"/>
                <xsd:element ref="ns2:Periodo_Laboral" minOccurs="0"/>
                <xsd:element ref="ns2:Ocupacion" minOccurs="0"/>
                <xsd:element ref="ns2:Fech_I" minOccurs="0"/>
                <xsd:element ref="ns2:Resultado_Informe" minOccurs="0"/>
                <xsd:element ref="ns2:Fech_A" minOccurs="0"/>
                <xsd:element ref="ns2:Resultado_AT" minOccurs="0"/>
                <xsd:element ref="ns2:Diagnostico_1" minOccurs="0"/>
                <xsd:element ref="ns2:Diagnostico_2" minOccurs="0"/>
                <xsd:element ref="ns2:Diagnostico_3" minOccurs="0"/>
                <xsd:element ref="ns2:Codigo_1" minOccurs="0"/>
                <xsd:element ref="ns2:Codigo_2" minOccurs="0"/>
                <xsd:element ref="ns2:Codigo_3" minOccurs="0"/>
                <xsd:element ref="ns2:N_Temporal" minOccurs="0"/>
                <xsd:element ref="ns2:N_Permanente" minOccurs="0"/>
                <xsd:element ref="ns2:N_NoIncapa" minOccurs="0"/>
                <xsd:element ref="ns2:I_Parcial" minOccurs="0"/>
                <xsd:element ref="ns2:I_Total" minOccurs="0"/>
                <xsd:element ref="ns2:I_GIncap" minOccurs="0"/>
                <xsd:element ref="ns2:Msc_Comb" minOccurs="0"/>
                <xsd:element ref="ns2:FC_Edad" minOccurs="0"/>
                <xsd:element ref="ns2:FC_Grado" minOccurs="0"/>
                <xsd:element ref="ns2:FC_Laboral" minOccurs="0"/>
                <xsd:element ref="ns2:Msc_Global" minOccurs="0"/>
                <xsd:element ref="ns2:Nro_Carta" minOccurs="0"/>
                <xsd:element ref="ns2:Fecha_Carta" minOccurs="0"/>
                <xsd:element ref="ns2:Nombre_Asegurado" minOccurs="0"/>
                <xsd:element ref="ns2:Correo_Asegurado" minOccurs="0"/>
                <xsd:element ref="ns2:Nro_Poliza" minOccurs="0"/>
                <xsd:element ref="ns2:Empresa" minOccurs="0"/>
                <xsd:element ref="ns2:Fecha_Siniestro" minOccurs="0"/>
                <xsd:element ref="ns2:Hora_Siniestro" minOccurs="0"/>
                <xsd:element ref="ns2:Sustento_Rechazo" minOccurs="0"/>
                <xsd:element ref="ns2:Fecha_Emision_Constancia" minOccurs="0"/>
                <xsd:element ref="ns2:Hora_Emision_Constancia" minOccurs="0"/>
                <xsd:element ref="ns2:Nro_Constancia" minOccurs="0"/>
                <xsd:element ref="ns2:Vigencia_Constancia" minOccurs="0"/>
                <xsd:element ref="ns2:Diagnosticos_Enfermedad" minOccurs="0"/>
                <xsd:element ref="ns2:Descripcion_Accidente" minOccurs="0"/>
                <xsd:element ref="ns2:Motivo_NoRelacion" minOccurs="0"/>
                <xsd:element ref="ns2:Labor_Riesgo" minOccurs="0"/>
                <xsd:element ref="ns2:Documentos_Incumplimiento" minOccurs="0"/>
                <xsd:element ref="ns2:Detalle_Doc_Incumplimiento" minOccurs="0"/>
                <xsd:element ref="ns2:Fecha_Siniestro1" minOccurs="0"/>
                <xsd:element ref="ns2:Documentos_Incumplimiento1" minOccurs="0"/>
                <xsd:element ref="ns2:Estipula1" minOccurs="0"/>
                <xsd:element ref="ns2:Detalle_Doc_Incumplimiento1" minOccurs="0"/>
                <xsd:element ref="ns2:Documentos_Incumplimiento2" minOccurs="0"/>
                <xsd:element ref="ns2:Estipula2" minOccurs="0"/>
                <xsd:element ref="ns2:Detalle_Doc_Incumplimiento2" minOccurs="0"/>
                <xsd:element ref="ns2:bl" minOccurs="0"/>
                <xsd:element ref="ns2:cl" minOccurs="0"/>
                <xsd:element ref="ns2:MediaServiceBillingMetadata" minOccurs="0"/>
                <xsd:element ref="ns2:Sustento_Rechazo_2" minOccurs="0"/>
                <xsd:element ref="ns2:Sustento_Rechazo_3" minOccurs="0"/>
                <xsd:element ref="ns2:Sustento_Rechazo_4" minOccurs="0"/>
                <xsd:element ref="ns2:Diagnosticos_2" minOccurs="0"/>
                <xsd:element ref="ns2:Diagnosticos_3" minOccurs="0"/>
                <xsd:element ref="ns2:Descripcion_Accidente_2" minOccurs="0"/>
                <xsd:element ref="ns2:Detalle_Doc_2" minOccurs="0"/>
                <xsd:element ref="ns2:Detalle_Doc_3" minOccurs="0"/>
                <xsd:element ref="ns2:Detalle_Doc_4" minOccurs="0"/>
                <xsd:element ref="ns2:Detalle_Doc_5" minOccurs="0"/>
                <xsd:element ref="ns2:Detalle_Doc_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6f9de-3297-4c31-891b-b6cf74e8a2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dedocumento" ma:index="18" ma:displayName="Estado de documento" ma:default="Pendiente" ma:description="Indica si el documento ya fue procesado y enviado a expediente digital o si aun esta pendiente." ma:format="RadioButtons" ma:indexed="true" ma:internalName="Estadodedocumento">
      <xsd:simpleType>
        <xsd:restriction base="dms:Choice">
          <xsd:enumeration value="Procesado"/>
          <xsd:enumeration value="Pendiente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FECHA" ma:index="21" nillable="true" ma:displayName="FECHA" ma:format="DateOnly" ma:internalName="FECHA">
      <xsd:simpleType>
        <xsd:restriction base="dms:DateTime"/>
      </xsd:simpleType>
    </xsd:element>
    <xsd:element name="Nombre_x0020_de_x0020_la_x0020_empresa" ma:index="22" nillable="true" ma:displayName="Nombre de la empresa" ma:internalName="Nombre_x0020_de_x0020_la_x0020_empresa">
      <xsd:simpleType>
        <xsd:restriction base="dms:Text">
          <xsd:maxLength value="255"/>
        </xsd:restriction>
      </xsd:simpleType>
    </xsd:element>
    <xsd:element name="Nombredeltrabajador" ma:index="23" nillable="true" ma:displayName="Nombre de accidentado" ma:format="Dropdown" ma:internalName="Nombredeltrabajador">
      <xsd:simpleType>
        <xsd:restriction base="dms:Text">
          <xsd:maxLength value="255"/>
        </xsd:restriction>
      </xsd:simpleType>
    </xsd:element>
    <xsd:element name="Fechadeaccidente" ma:index="24" nillable="true" ma:displayName="Fecha de accidente" ma:format="Dropdown" ma:internalName="Fechadeaccidente">
      <xsd:simpleType>
        <xsd:restriction base="dms:Text">
          <xsd:maxLength value="255"/>
        </xsd:restriction>
      </xsd:simpleType>
    </xsd:element>
    <xsd:element name="Nombredeprocurador" ma:index="25" nillable="true" ma:displayName="Nombre procurador" ma:format="Dropdown" ma:internalName="Nombredeprocurador">
      <xsd:simpleType>
        <xsd:restriction base="dms:Text">
          <xsd:maxLength value="255"/>
        </xsd:restriction>
      </xsd:simpleType>
    </xsd:element>
    <xsd:element name="Dnidelprocurador" ma:index="26" nillable="true" ma:displayName="Dni procurador" ma:format="Dropdown" ma:internalName="Dnidelprocurador">
      <xsd:simpleType>
        <xsd:restriction base="dms:Text">
          <xsd:maxLength value="255"/>
        </xsd:restriction>
      </xsd:simpleType>
    </xsd:element>
    <xsd:element name="Asunto" ma:index="27" nillable="true" ma:displayName="Fecha de carta" ma:format="Dropdown" ma:internalName="Asunto">
      <xsd:simpleType>
        <xsd:restriction base="dms:Text">
          <xsd:maxLength value="255"/>
        </xsd:restriction>
      </xsd:simpleType>
    </xsd:element>
    <xsd:element name="Compa_x00f1_ia" ma:index="28" nillable="true" ma:displayName="Nombre de empresa" ma:format="Dropdown" ma:internalName="Compa_x00f1_ia">
      <xsd:simpleType>
        <xsd:restriction base="dms:Text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rreo" ma:index="32" nillable="true" ma:displayName="Correo" ma:format="Dropdown" ma:internalName="Correo">
      <xsd:simpleType>
        <xsd:restriction base="dms:Text">
          <xsd:maxLength value="255"/>
        </xsd:restriction>
      </xsd:simpleType>
    </xsd:element>
    <xsd:element name="Proveedor" ma:index="33" nillable="true" ma:displayName="Proveedor F" ma:format="Dropdown" ma:internalName="Proveedor">
      <xsd:simpleType>
        <xsd:restriction base="dms:Text">
          <xsd:maxLength value="255"/>
        </xsd:restriction>
      </xsd:simpleType>
    </xsd:element>
    <xsd:element name="Direcci_x00f3_ndeproveedor" ma:index="34" nillable="true" ma:displayName="Dirección de proveedor F" ma:format="Dropdown" ma:internalName="Direcci_x00f3_ndeproveedor">
      <xsd:simpleType>
        <xsd:restriction base="dms:Text">
          <xsd:maxLength value="255"/>
        </xsd:restriction>
      </xsd:simpleType>
    </xsd:element>
    <xsd:element name="Fechadecita1" ma:index="35" nillable="true" ma:displayName="Fecha de cita 1 (del proveedor F)" ma:format="Dropdown" ma:internalName="Fechadecita1">
      <xsd:simpleType>
        <xsd:restriction base="dms:Text">
          <xsd:maxLength value="255"/>
        </xsd:restriction>
      </xsd:simpleType>
    </xsd:element>
    <xsd:element name="Fechadecita2" ma:index="36" nillable="true" ma:displayName="Fecha de cita 2 (del proveedor F)" ma:format="Dropdown" ma:internalName="Fechadecita2">
      <xsd:simpleType>
        <xsd:restriction base="dms:Text">
          <xsd:maxLength value="255"/>
        </xsd:restriction>
      </xsd:simpleType>
    </xsd:element>
    <xsd:element name="Fechadecita3" ma:index="37" nillable="true" ma:displayName="Fecha de cita 3 (del proveedor F)" ma:format="Dropdown" ma:internalName="Fechadecita3">
      <xsd:simpleType>
        <xsd:restriction base="dms:Text">
          <xsd:maxLength value="255"/>
        </xsd:restriction>
      </xsd:simpleType>
    </xsd:element>
    <xsd:element name="Horadecita1" ma:index="38" nillable="true" ma:displayName="Hora de cita 1 (del proveedor F)" ma:format="Dropdown" ma:internalName="Horadecita1">
      <xsd:simpleType>
        <xsd:restriction base="dms:Text">
          <xsd:maxLength value="255"/>
        </xsd:restriction>
      </xsd:simpleType>
    </xsd:element>
    <xsd:element name="Horadecita2" ma:index="39" nillable="true" ma:displayName="Hora de cita 2 (del proveedor F)" ma:format="Dropdown" ma:internalName="Horadecita2">
      <xsd:simpleType>
        <xsd:restriction base="dms:Text">
          <xsd:maxLength value="255"/>
        </xsd:restriction>
      </xsd:simpleType>
    </xsd:element>
    <xsd:element name="Horadecita3" ma:index="40" nillable="true" ma:displayName="Hora de cita 3 (del proveedor F)" ma:format="Dropdown" ma:internalName="Horadecita3">
      <xsd:simpleType>
        <xsd:restriction base="dms:Text">
          <xsd:maxLength value="255"/>
        </xsd:restriction>
      </xsd:simpleType>
    </xsd:element>
    <xsd:element name="Fechadecita4" ma:index="41" nillable="true" ma:displayName="Fecha de cita 4 (del proveedor F)" ma:format="Dropdown" ma:internalName="Fechadecita4">
      <xsd:simpleType>
        <xsd:restriction base="dms:Text">
          <xsd:maxLength value="255"/>
        </xsd:restriction>
      </xsd:simpleType>
    </xsd:element>
    <xsd:element name="Horadecita4" ma:index="42" nillable="true" ma:displayName="Hora de cita 4 (del proveedor F)" ma:format="Dropdown" ma:internalName="Horadecita4">
      <xsd:simpleType>
        <xsd:restriction base="dms:Text">
          <xsd:maxLength value="255"/>
        </xsd:restriction>
      </xsd:simpleType>
    </xsd:element>
    <xsd:element name="Tel_x00e9_fonodelproveedor" ma:index="43" nillable="true" ma:displayName="Teléfono del proveedor F" ma:format="Dropdown" ma:internalName="Tel_x00e9_fonodelproveedor">
      <xsd:simpleType>
        <xsd:restriction base="dms:Text">
          <xsd:maxLength value="255"/>
        </xsd:restriction>
      </xsd:simpleType>
    </xsd:element>
    <xsd:element name="ProveedorE" ma:index="44" nillable="true" ma:displayName="Proveedor E" ma:format="Dropdown" ma:internalName="ProveedorE">
      <xsd:simpleType>
        <xsd:restriction base="dms:Text">
          <xsd:maxLength value="255"/>
        </xsd:restriction>
      </xsd:simpleType>
    </xsd:element>
    <xsd:element name="Direcci_x00f3_ndeproveedorE" ma:index="45" nillable="true" ma:displayName="Dirección de proveedor E" ma:format="Dropdown" ma:internalName="Direcci_x00f3_ndeproveedorE">
      <xsd:simpleType>
        <xsd:restriction base="dms:Text">
          <xsd:maxLength value="255"/>
        </xsd:restriction>
      </xsd:simpleType>
    </xsd:element>
    <xsd:element name="Tel_x00e9_fonodelproveedorE" ma:index="46" nillable="true" ma:displayName="Teléfono del proveedor E" ma:format="Dropdown" ma:internalName="Tel_x00e9_fonodelproveedorE">
      <xsd:simpleType>
        <xsd:restriction base="dms:Text">
          <xsd:maxLength value="255"/>
        </xsd:restriction>
      </xsd:simpleType>
    </xsd:element>
    <xsd:element name="Fechadecita1_x0028_delproveedorE_x0029_" ma:index="47" nillable="true" ma:displayName="Fecha de cita 1 (del proveedor E)" ma:format="Dropdown" ma:internalName="Fechadecita1_x0028_delproveedorE_x0029_">
      <xsd:simpleType>
        <xsd:restriction base="dms:Text">
          <xsd:maxLength value="255"/>
        </xsd:restriction>
      </xsd:simpleType>
    </xsd:element>
    <xsd:element name="Fechadecita2_x0028_delproveedorE_x0029_" ma:index="48" nillable="true" ma:displayName="Fecha de cita 2 (del proveedor E)" ma:format="Dropdown" ma:internalName="Fechadecita2_x0028_delproveedorE_x0029_">
      <xsd:simpleType>
        <xsd:restriction base="dms:Text">
          <xsd:maxLength value="255"/>
        </xsd:restriction>
      </xsd:simpleType>
    </xsd:element>
    <xsd:element name="Fechadecita3_x0028_delproveedorE_x0029_" ma:index="49" nillable="true" ma:displayName="Fecha de cita 3 (del proveedor E)" ma:format="Dropdown" ma:internalName="Fechadecita3_x0028_delproveedorE_x0029_">
      <xsd:simpleType>
        <xsd:restriction base="dms:Text">
          <xsd:maxLength value="255"/>
        </xsd:restriction>
      </xsd:simpleType>
    </xsd:element>
    <xsd:element name="Fechadecita4_x0028_delproveedorE_x0029_" ma:index="50" nillable="true" ma:displayName="Fecha de cita 4 (del proveedor E)" ma:format="Dropdown" ma:internalName="Fechadecita4_x0028_delproveedorE_x0029_">
      <xsd:simpleType>
        <xsd:restriction base="dms:Text">
          <xsd:maxLength value="255"/>
        </xsd:restriction>
      </xsd:simpleType>
    </xsd:element>
    <xsd:element name="Horadecita1_x0028_delproveedorE_x0029_" ma:index="51" nillable="true" ma:displayName="Hora de cita 1 (del proveedor E)" ma:format="Dropdown" ma:internalName="Horadecita1_x0028_delproveedorE_x0029_">
      <xsd:simpleType>
        <xsd:restriction base="dms:Text">
          <xsd:maxLength value="255"/>
        </xsd:restriction>
      </xsd:simpleType>
    </xsd:element>
    <xsd:element name="Horadecita2_x0028_delproveedorE_x0029_" ma:index="52" nillable="true" ma:displayName="Hora de cita 2 (del proveedor E)" ma:format="Dropdown" ma:internalName="Horadecita2_x0028_delproveedorE_x0029_">
      <xsd:simpleType>
        <xsd:restriction base="dms:Text">
          <xsd:maxLength value="255"/>
        </xsd:restriction>
      </xsd:simpleType>
    </xsd:element>
    <xsd:element name="Horadecita3_x0028_delproveedorE_x0029_" ma:index="53" nillable="true" ma:displayName="Hora de cita 3 (del proveedor E)" ma:format="Dropdown" ma:internalName="Horadecita3_x0028_delproveedorE_x0029_">
      <xsd:simpleType>
        <xsd:restriction base="dms:Text">
          <xsd:maxLength value="255"/>
        </xsd:restriction>
      </xsd:simpleType>
    </xsd:element>
    <xsd:element name="Horadecita4_x0028_delproveedorE_x0029_" ma:index="54" nillable="true" ma:displayName="Hora de cita 4 (del proveedor E)" ma:format="Dropdown" ma:internalName="Horadecita4_x0028_delproveedorE_x0029_">
      <xsd:simpleType>
        <xsd:restriction base="dms:Text">
          <xsd:maxLength value="255"/>
        </xsd:restriction>
      </xsd:simpleType>
    </xsd:element>
    <xsd:element name="ProveedorD" ma:index="55" nillable="true" ma:displayName="Proveedor D" ma:format="Dropdown" ma:internalName="ProveedorD">
      <xsd:simpleType>
        <xsd:restriction base="dms:Text">
          <xsd:maxLength value="255"/>
        </xsd:restriction>
      </xsd:simpleType>
    </xsd:element>
    <xsd:element name="Direcci_x00f3_ndeproveedorD" ma:index="56" nillable="true" ma:displayName="Dirección de proveedor D" ma:format="Dropdown" ma:internalName="Direcci_x00f3_ndeproveedorD">
      <xsd:simpleType>
        <xsd:restriction base="dms:Text">
          <xsd:maxLength value="255"/>
        </xsd:restriction>
      </xsd:simpleType>
    </xsd:element>
    <xsd:element name="Tel_x00e9_fonodelproveedorD" ma:index="57" nillable="true" ma:displayName="Teléfono del proveedor D" ma:format="Dropdown" ma:internalName="Tel_x00e9_fonodelproveedorD">
      <xsd:simpleType>
        <xsd:restriction base="dms:Text">
          <xsd:maxLength value="255"/>
        </xsd:restriction>
      </xsd:simpleType>
    </xsd:element>
    <xsd:element name="Fechadecita1_x0028_delproveedorD_x0029_" ma:index="58" nillable="true" ma:displayName="Fecha de cita 1 (del proveedor D)" ma:format="Dropdown" ma:internalName="Fechadecita1_x0028_delproveedorD_x0029_">
      <xsd:simpleType>
        <xsd:restriction base="dms:Text">
          <xsd:maxLength value="255"/>
        </xsd:restriction>
      </xsd:simpleType>
    </xsd:element>
    <xsd:element name="Fechadecita2_x0028_delproveedorD_x0029_" ma:index="59" nillable="true" ma:displayName="Fecha de cita 2 (del proveedor D)" ma:format="Dropdown" ma:internalName="Fechadecita2_x0028_delproveedorD_x0029_">
      <xsd:simpleType>
        <xsd:restriction base="dms:Text">
          <xsd:maxLength value="255"/>
        </xsd:restriction>
      </xsd:simpleType>
    </xsd:element>
    <xsd:element name="Fechadecita3_x0028_delproveedorD_x0029_" ma:index="60" nillable="true" ma:displayName="Fecha de cita 3 (del proveedor D)" ma:format="Dropdown" ma:internalName="Fechadecita3_x0028_delproveedorD_x0029_">
      <xsd:simpleType>
        <xsd:restriction base="dms:Text">
          <xsd:maxLength value="255"/>
        </xsd:restriction>
      </xsd:simpleType>
    </xsd:element>
    <xsd:element name="Fechadecita4_x0028_delproveedorD_x0029_" ma:index="61" nillable="true" ma:displayName="Fecha de cita 4 (del proveedor D)" ma:format="Dropdown" ma:internalName="Fechadecita4_x0028_delproveedorD_x0029_">
      <xsd:simpleType>
        <xsd:restriction base="dms:Text">
          <xsd:maxLength value="255"/>
        </xsd:restriction>
      </xsd:simpleType>
    </xsd:element>
    <xsd:element name="Horadecita1_x0028_delproveedorD_x0029_" ma:index="62" nillable="true" ma:displayName="Hora de cita 1 (del proveedor D)" ma:format="Dropdown" ma:internalName="Horadecita1_x0028_delproveedorD_x0029_">
      <xsd:simpleType>
        <xsd:restriction base="dms:Text">
          <xsd:maxLength value="255"/>
        </xsd:restriction>
      </xsd:simpleType>
    </xsd:element>
    <xsd:element name="Horadecita2_x0028_delproveedorD_x0029_" ma:index="63" nillable="true" ma:displayName="Hora de cita 2 (del proveedor D)" ma:format="Dropdown" ma:internalName="Horadecita2_x0028_delproveedorD_x0029_">
      <xsd:simpleType>
        <xsd:restriction base="dms:Text">
          <xsd:maxLength value="255"/>
        </xsd:restriction>
      </xsd:simpleType>
    </xsd:element>
    <xsd:element name="Horadecita3_x0028_delproveedorD_x0029_" ma:index="64" nillable="true" ma:displayName="Hora de cita 3 (del proveedor D)" ma:format="Dropdown" ma:internalName="Horadecita3_x0028_delproveedorD_x0029_">
      <xsd:simpleType>
        <xsd:restriction base="dms:Text">
          <xsd:maxLength value="255"/>
        </xsd:restriction>
      </xsd:simpleType>
    </xsd:element>
    <xsd:element name="Horadecita4_x0028_delproveedorD_x0029_" ma:index="65" nillable="true" ma:displayName="Hora de cita 4 (del proveedor D)" ma:format="Dropdown" ma:internalName="Horadecita4_x0028_delproveedorD_x0029_">
      <xsd:simpleType>
        <xsd:restriction base="dms:Text">
          <xsd:maxLength value="255"/>
        </xsd:restriction>
      </xsd:simpleType>
    </xsd:element>
    <xsd:element name="ProveedorC" ma:index="66" nillable="true" ma:displayName="Proveedor C" ma:format="Dropdown" ma:internalName="ProveedorC">
      <xsd:simpleType>
        <xsd:restriction base="dms:Text">
          <xsd:maxLength value="255"/>
        </xsd:restriction>
      </xsd:simpleType>
    </xsd:element>
    <xsd:element name="Direcci_x00f3_ndeproveedorC" ma:index="67" nillable="true" ma:displayName="Dirección de proveedor C" ma:format="Dropdown" ma:internalName="Direcci_x00f3_ndeproveedorC">
      <xsd:simpleType>
        <xsd:restriction base="dms:Text">
          <xsd:maxLength value="255"/>
        </xsd:restriction>
      </xsd:simpleType>
    </xsd:element>
    <xsd:element name="Tel_x00e9_fonodelproveedorC" ma:index="68" nillable="true" ma:displayName="Teléfono del proveedor C" ma:format="Dropdown" ma:internalName="Tel_x00e9_fonodelproveedorC">
      <xsd:simpleType>
        <xsd:restriction base="dms:Text">
          <xsd:maxLength value="255"/>
        </xsd:restriction>
      </xsd:simpleType>
    </xsd:element>
    <xsd:element name="Fechadecita1_x0028_delproveedorC_x0029_" ma:index="69" nillable="true" ma:displayName="Fecha de cita 1 (del proveedor C)" ma:format="Dropdown" ma:internalName="Fechadecita1_x0028_delproveedorC_x0029_">
      <xsd:simpleType>
        <xsd:restriction base="dms:Text">
          <xsd:maxLength value="255"/>
        </xsd:restriction>
      </xsd:simpleType>
    </xsd:element>
    <xsd:element name="Fechadecita2_x0028_delproveedorC_x0029_" ma:index="70" nillable="true" ma:displayName="Fecha de cita 2 (del proveedor C)" ma:format="Dropdown" ma:internalName="Fechadecita2_x0028_delproveedorC_x0029_">
      <xsd:simpleType>
        <xsd:restriction base="dms:Text">
          <xsd:maxLength value="255"/>
        </xsd:restriction>
      </xsd:simpleType>
    </xsd:element>
    <xsd:element name="Fechadecita3_x0028_delproveedorC_x0029_" ma:index="71" nillable="true" ma:displayName="Fecha de cita 3 (del proveedor C)" ma:format="Dropdown" ma:internalName="Fechadecita3_x0028_delproveedorC_x0029_">
      <xsd:simpleType>
        <xsd:restriction base="dms:Text">
          <xsd:maxLength value="255"/>
        </xsd:restriction>
      </xsd:simpleType>
    </xsd:element>
    <xsd:element name="Fechadecita4_x0028_delproveedorC_x0029_" ma:index="72" nillable="true" ma:displayName="Fecha de cita 4 (del proveedor C)" ma:format="Dropdown" ma:internalName="Fechadecita4_x0028_delproveedorC_x0029_">
      <xsd:simpleType>
        <xsd:restriction base="dms:Text">
          <xsd:maxLength value="255"/>
        </xsd:restriction>
      </xsd:simpleType>
    </xsd:element>
    <xsd:element name="Horadecita1_x0028_delproveedorC_x0029_" ma:index="73" nillable="true" ma:displayName="Hora de cita 1 (del proveedor C)" ma:format="Dropdown" ma:internalName="Horadecita1_x0028_delproveedorC_x0029_">
      <xsd:simpleType>
        <xsd:restriction base="dms:Text">
          <xsd:maxLength value="255"/>
        </xsd:restriction>
      </xsd:simpleType>
    </xsd:element>
    <xsd:element name="Horadecita2_x0028_delproveedorC_x0029_" ma:index="74" nillable="true" ma:displayName="Hora de cita 2 (del proveedor C)" ma:format="Dropdown" ma:internalName="Horadecita2_x0028_delproveedorC_x0029_">
      <xsd:simpleType>
        <xsd:restriction base="dms:Text">
          <xsd:maxLength value="255"/>
        </xsd:restriction>
      </xsd:simpleType>
    </xsd:element>
    <xsd:element name="Horadecita3_x0028_delproveedorC_x0029_" ma:index="75" nillable="true" ma:displayName="Hora de cita 3 (del proveedor C)" ma:format="Dropdown" ma:internalName="Horadecita3_x0028_delproveedorC_x0029_">
      <xsd:simpleType>
        <xsd:restriction base="dms:Text">
          <xsd:maxLength value="255"/>
        </xsd:restriction>
      </xsd:simpleType>
    </xsd:element>
    <xsd:element name="Horadecita4_x0028_delproveedorC_x0029_" ma:index="76" nillable="true" ma:displayName="Hora de cita 4 (del proveedor C)" ma:format="Dropdown" ma:internalName="Horadecita4_x0028_delproveedorC_x0029_">
      <xsd:simpleType>
        <xsd:restriction base="dms:Text">
          <xsd:maxLength value="255"/>
        </xsd:restriction>
      </xsd:simpleType>
    </xsd:element>
    <xsd:element name="ProveedorB" ma:index="77" nillable="true" ma:displayName="Proveedor B" ma:format="Dropdown" ma:internalName="ProveedorB">
      <xsd:simpleType>
        <xsd:restriction base="dms:Text">
          <xsd:maxLength value="255"/>
        </xsd:restriction>
      </xsd:simpleType>
    </xsd:element>
    <xsd:element name="Direcci_x00f3_ndeproveedorB" ma:index="78" nillable="true" ma:displayName="Dirección de proveedor B" ma:format="Dropdown" ma:internalName="Direcci_x00f3_ndeproveedorB">
      <xsd:simpleType>
        <xsd:restriction base="dms:Text">
          <xsd:maxLength value="255"/>
        </xsd:restriction>
      </xsd:simpleType>
    </xsd:element>
    <xsd:element name="Tel_x00e9_fonodelproveedorB" ma:index="79" nillable="true" ma:displayName="Teléfono del proveedor B" ma:format="Dropdown" ma:internalName="Tel_x00e9_fonodelproveedorB">
      <xsd:simpleType>
        <xsd:restriction base="dms:Text">
          <xsd:maxLength value="255"/>
        </xsd:restriction>
      </xsd:simpleType>
    </xsd:element>
    <xsd:element name="Fechadecita1_x0028_delproveedorB_x0029_" ma:index="80" nillable="true" ma:displayName="Fecha de cita 1 (del proveedor B)" ma:format="Dropdown" ma:internalName="Fechadecita1_x0028_delproveedorB_x0029_">
      <xsd:simpleType>
        <xsd:restriction base="dms:Text">
          <xsd:maxLength value="255"/>
        </xsd:restriction>
      </xsd:simpleType>
    </xsd:element>
    <xsd:element name="Fechadecita2_x0028_delproveedorB_x0029_" ma:index="81" nillable="true" ma:displayName="Fecha de cita 2 (del proveedor B)" ma:format="Dropdown" ma:internalName="Fechadecita2_x0028_delproveedorB_x0029_">
      <xsd:simpleType>
        <xsd:restriction base="dms:Text">
          <xsd:maxLength value="255"/>
        </xsd:restriction>
      </xsd:simpleType>
    </xsd:element>
    <xsd:element name="Fechadecita3_x0028_delproveedorB_x0029_" ma:index="82" nillable="true" ma:displayName="Fecha de cita 3 (del proveedor B)" ma:format="Dropdown" ma:internalName="Fechadecita3_x0028_delproveedorB_x0029_">
      <xsd:simpleType>
        <xsd:restriction base="dms:Text">
          <xsd:maxLength value="255"/>
        </xsd:restriction>
      </xsd:simpleType>
    </xsd:element>
    <xsd:element name="Fechadecita4_x0028_delproveedorB_x0029_" ma:index="83" nillable="true" ma:displayName="Fecha de cita 4 (del proveedor B)" ma:format="Dropdown" ma:internalName="Fechadecita4_x0028_delproveedorB_x0029_">
      <xsd:simpleType>
        <xsd:restriction base="dms:Text">
          <xsd:maxLength value="255"/>
        </xsd:restriction>
      </xsd:simpleType>
    </xsd:element>
    <xsd:element name="Horadecita1_x0028_delproveedorB_x0029_" ma:index="84" nillable="true" ma:displayName="Hora de cita 1 (del proveedor B)" ma:format="Dropdown" ma:internalName="Horadecita1_x0028_delproveedorB_x0029_">
      <xsd:simpleType>
        <xsd:restriction base="dms:Text">
          <xsd:maxLength value="255"/>
        </xsd:restriction>
      </xsd:simpleType>
    </xsd:element>
    <xsd:element name="Horadecita2_x0028_delproveedorB_x0029_" ma:index="85" nillable="true" ma:displayName="Hora de cita 2 (del proveedor B)" ma:format="Dropdown" ma:internalName="Horadecita2_x0028_delproveedorB_x0029_">
      <xsd:simpleType>
        <xsd:restriction base="dms:Text">
          <xsd:maxLength value="255"/>
        </xsd:restriction>
      </xsd:simpleType>
    </xsd:element>
    <xsd:element name="Horadecita3_x0028_delproveedorB_x0029_" ma:index="86" nillable="true" ma:displayName="Hora de cita 3 (del proveedor B)" ma:format="Dropdown" ma:internalName="Horadecita3_x0028_delproveedorB_x0029_">
      <xsd:simpleType>
        <xsd:restriction base="dms:Text">
          <xsd:maxLength value="255"/>
        </xsd:restriction>
      </xsd:simpleType>
    </xsd:element>
    <xsd:element name="Horadecita4_x0028_delproveedorB_x0029_" ma:index="87" nillable="true" ma:displayName="Hora de cita 4 (del proveedor B)" ma:format="Dropdown" ma:internalName="Horadecita4_x0028_delproveedorB_x0029_">
      <xsd:simpleType>
        <xsd:restriction base="dms:Text">
          <xsd:maxLength value="255"/>
        </xsd:restriction>
      </xsd:simpleType>
    </xsd:element>
    <xsd:element name="ProveedorA" ma:index="88" nillable="true" ma:displayName="Proveedor A" ma:format="Dropdown" ma:internalName="ProveedorA">
      <xsd:simpleType>
        <xsd:restriction base="dms:Text">
          <xsd:maxLength value="255"/>
        </xsd:restriction>
      </xsd:simpleType>
    </xsd:element>
    <xsd:element name="Direcci_x00f3_ndeproveedorA" ma:index="89" nillable="true" ma:displayName="Dirección de proveedor A" ma:format="Dropdown" ma:internalName="Direcci_x00f3_ndeproveedorA">
      <xsd:simpleType>
        <xsd:restriction base="dms:Text">
          <xsd:maxLength value="255"/>
        </xsd:restriction>
      </xsd:simpleType>
    </xsd:element>
    <xsd:element name="Tel_x00e9_fonodelproveedorA" ma:index="90" nillable="true" ma:displayName="Teléfono del proveedor A" ma:format="Dropdown" ma:internalName="Tel_x00e9_fonodelproveedorA">
      <xsd:simpleType>
        <xsd:restriction base="dms:Text">
          <xsd:maxLength value="255"/>
        </xsd:restriction>
      </xsd:simpleType>
    </xsd:element>
    <xsd:element name="Fechadecita1_x0028_delproveedorA_x0029_" ma:index="91" nillable="true" ma:displayName="Fecha de cita 1 (del proveedor A)" ma:format="Dropdown" ma:internalName="Fechadecita1_x0028_delproveedorA_x0029_">
      <xsd:simpleType>
        <xsd:restriction base="dms:Text">
          <xsd:maxLength value="255"/>
        </xsd:restriction>
      </xsd:simpleType>
    </xsd:element>
    <xsd:element name="Fechadecita2_x0028_delproveedorA_x0029_" ma:index="92" nillable="true" ma:displayName="Fecha de cita 2 (del proveedor A)" ma:format="Dropdown" ma:internalName="Fechadecita2_x0028_delproveedorA_x0029_">
      <xsd:simpleType>
        <xsd:restriction base="dms:Text">
          <xsd:maxLength value="255"/>
        </xsd:restriction>
      </xsd:simpleType>
    </xsd:element>
    <xsd:element name="Fechadecita3_x0028_delproveedorA_x0029_" ma:index="93" nillable="true" ma:displayName="Fecha de cita 3 (del proveedor A)" ma:format="Dropdown" ma:internalName="Fechadecita3_x0028_delproveedorA_x0029_">
      <xsd:simpleType>
        <xsd:restriction base="dms:Text">
          <xsd:maxLength value="255"/>
        </xsd:restriction>
      </xsd:simpleType>
    </xsd:element>
    <xsd:element name="Fechadecita4_x0028_delproveedorA_x0029_" ma:index="94" nillable="true" ma:displayName="Fecha de cita 4 (del proveedor A)" ma:format="Dropdown" ma:internalName="Fechadecita4_x0028_delproveedorA_x0029_">
      <xsd:simpleType>
        <xsd:restriction base="dms:Text">
          <xsd:maxLength value="255"/>
        </xsd:restriction>
      </xsd:simpleType>
    </xsd:element>
    <xsd:element name="Horadecita1_x0028_delproveedorA_x0029_" ma:index="95" nillable="true" ma:displayName="Hora de cita 1 (del proveedor A)" ma:format="Dropdown" ma:internalName="Horadecita1_x0028_delproveedorA_x0029_">
      <xsd:simpleType>
        <xsd:restriction base="dms:Text">
          <xsd:maxLength value="255"/>
        </xsd:restriction>
      </xsd:simpleType>
    </xsd:element>
    <xsd:element name="Horadecita2_x0028_delproveedorA_x0029_" ma:index="96" nillable="true" ma:displayName="Hora de cita 2 (del proveedor A)" ma:format="Dropdown" ma:internalName="Horadecita2_x0028_delproveedorA_x0029_">
      <xsd:simpleType>
        <xsd:restriction base="dms:Text">
          <xsd:maxLength value="255"/>
        </xsd:restriction>
      </xsd:simpleType>
    </xsd:element>
    <xsd:element name="Horadecita3_x0028_delproveedorA_x0029_" ma:index="97" nillable="true" ma:displayName="Hora de cita 3 (del proveedor A)" ma:format="Dropdown" ma:internalName="Horadecita3_x0028_delproveedorA_x0029_">
      <xsd:simpleType>
        <xsd:restriction base="dms:Text">
          <xsd:maxLength value="255"/>
        </xsd:restriction>
      </xsd:simpleType>
    </xsd:element>
    <xsd:element name="Horadecita4_x0028_delproveedorA_x0029_" ma:index="98" nillable="true" ma:displayName="Hora de cita 4 (del proveedor A)" ma:format="Dropdown" ma:internalName="Horadecita4_x0028_delproveedorA_x0029_">
      <xsd:simpleType>
        <xsd:restriction base="dms:Text">
          <xsd:maxLength value="255"/>
        </xsd:restriction>
      </xsd:simpleType>
    </xsd:element>
    <xsd:element name="Nombredeasegurado" ma:index="99" nillable="true" ma:displayName="Nombre de asegurado" ma:format="Dropdown" ma:internalName="Nombredeasegurado">
      <xsd:simpleType>
        <xsd:restriction base="dms:Text">
          <xsd:maxLength value="255"/>
        </xsd:restriction>
      </xsd:simpleType>
    </xsd:element>
    <xsd:element name="CorreodelAsegurado" ma:index="100" nillable="true" ma:displayName="Correo del Asegurado" ma:format="Dropdown" ma:internalName="CorreodelAsegurado">
      <xsd:simpleType>
        <xsd:restriction base="dms:Text">
          <xsd:maxLength value="255"/>
        </xsd:restriction>
      </xsd:simpleType>
    </xsd:element>
    <xsd:element name="P_x00f3_lizadelaempresa" ma:index="101" nillable="true" ma:displayName="Póliza de la empresa" ma:format="Dropdown" ma:internalName="P_x00f3_lizadelaempresa">
      <xsd:simpleType>
        <xsd:restriction base="dms:Text">
          <xsd:maxLength value="255"/>
        </xsd:restriction>
      </xsd:simpleType>
    </xsd:element>
    <xsd:element name="N_x00fa_merodesiniestro" ma:index="102" nillable="true" ma:displayName="Número de siniestro" ma:format="Dropdown" ma:internalName="N_x00fa_merodesiniestro">
      <xsd:simpleType>
        <xsd:restriction base="dms:Text">
          <xsd:maxLength value="255"/>
        </xsd:restriction>
      </xsd:simpleType>
    </xsd:element>
    <xsd:element name="Causa" ma:index="103" nillable="true" ma:displayName="Causa" ma:format="Dropdown" ma:internalName="Causa">
      <xsd:simpleType>
        <xsd:restriction base="dms:Text">
          <xsd:maxLength value="255"/>
        </xsd:restriction>
      </xsd:simpleType>
    </xsd:element>
    <xsd:element name="Consecuencia" ma:index="104" nillable="true" ma:displayName="Consecuencia" ma:format="Dropdown" ma:internalName="Consecuencia">
      <xsd:simpleType>
        <xsd:restriction base="dms:Text">
          <xsd:maxLength value="255"/>
        </xsd:restriction>
      </xsd:simpleType>
    </xsd:element>
    <xsd:element name="Fechadepago" ma:index="105" nillable="true" ma:displayName="Fecha de pago" ma:format="Dropdown" ma:internalName="Fechadepago">
      <xsd:simpleType>
        <xsd:restriction base="dms:Text">
          <xsd:maxLength value="255"/>
        </xsd:restriction>
      </xsd:simpleType>
    </xsd:element>
    <xsd:element name="Montoaindemnizar" ma:index="106" nillable="true" ma:displayName="Monto a indemnizar" ma:format="Dropdown" ma:internalName="Montoaindemnizar">
      <xsd:simpleType>
        <xsd:restriction base="dms:Text">
          <xsd:maxLength value="255"/>
        </xsd:restriction>
      </xsd:simpleType>
    </xsd:element>
    <xsd:element name="DIAGNOSTICOS_x002f_ENFERMEDAD" ma:index="107" nillable="true" ma:displayName="DIAGNOSTICOS/ENFERMEDAD" ma:format="Dropdown" ma:internalName="DIAGNOSTICOS_x002f_ENFERMEDAD">
      <xsd:simpleType>
        <xsd:restriction base="dms:Text">
          <xsd:maxLength value="255"/>
        </xsd:restriction>
      </xsd:simpleType>
    </xsd:element>
    <xsd:element name="Fechadesiniestro" ma:index="108" nillable="true" ma:displayName="Fecha de siniestro" ma:format="Dropdown" ma:internalName="Fechadesiniestro">
      <xsd:simpleType>
        <xsd:restriction base="dms:Text">
          <xsd:maxLength value="255"/>
        </xsd:restriction>
      </xsd:simpleType>
    </xsd:element>
    <xsd:element name="Menoscabo" ma:index="109" nillable="true" ma:displayName="Menoscabo" ma:format="Dropdown" ma:internalName="Menoscabo">
      <xsd:simpleType>
        <xsd:restriction base="dms:Text">
          <xsd:maxLength value="255"/>
        </xsd:restriction>
      </xsd:simpleType>
    </xsd:element>
    <xsd:element name="Remunpromedio" ma:index="110" nillable="true" ma:displayName="Remun promedio" ma:format="Dropdown" ma:internalName="Remunpromedio">
      <xsd:simpleType>
        <xsd:restriction base="dms:Text">
          <xsd:maxLength value="255"/>
        </xsd:restriction>
      </xsd:simpleType>
    </xsd:element>
    <xsd:element name="DNIdelasegurado" ma:index="111" nillable="true" ma:displayName="Número de identidad del asegurado" ma:format="Dropdown" ma:internalName="DNIdelasegurado">
      <xsd:simpleType>
        <xsd:restriction base="dms:Text">
          <xsd:maxLength value="255"/>
        </xsd:restriction>
      </xsd:simpleType>
    </xsd:element>
    <xsd:element name="Tipodedocdeidentidaddelasegurado" ma:index="112" nillable="true" ma:displayName="Tipo de doc de identidad del asegurado" ma:format="Dropdown" ma:internalName="Tipodedocdeidentidaddelasegurado">
      <xsd:simpleType>
        <xsd:restriction base="dms:Text">
          <xsd:maxLength value="255"/>
        </xsd:restriction>
      </xsd:simpleType>
    </xsd:element>
    <xsd:element name="MENOSCABO_x002a_70_x0025_" ma:index="113" nillable="true" ma:displayName="MENOSCABO*70%" ma:format="Dropdown" ma:internalName="MENOSCABO_x002a_70_x0025_">
      <xsd:simpleType>
        <xsd:restriction base="dms:Text">
          <xsd:maxLength value="255"/>
        </xsd:restriction>
      </xsd:simpleType>
    </xsd:element>
    <xsd:element name="Montoaindemnizarletras" ma:index="114" nillable="true" ma:displayName="Monto a indemnizar letras" ma:format="Dropdown" ma:internalName="Montoaindemnizarletras">
      <xsd:simpleType>
        <xsd:restriction base="dms:Text">
          <xsd:maxLength value="255"/>
        </xsd:restriction>
      </xsd:simpleType>
    </xsd:element>
    <xsd:element name="Fechadesiniestroletras" ma:index="115" nillable="true" ma:displayName="Fecha de siniestro letras" ma:format="Dropdown" ma:internalName="Fechadesiniestroletras">
      <xsd:simpleType>
        <xsd:restriction base="dms:Text">
          <xsd:maxLength value="255"/>
        </xsd:restriction>
      </xsd:simpleType>
    </xsd:element>
    <xsd:element name="Fechadesiniestrolarga" ma:index="116" nillable="true" ma:displayName="Monto de intereses legales" ma:format="Dropdown" ma:internalName="Fechadesiniestrolarga">
      <xsd:simpleType>
        <xsd:restriction base="dms:Text">
          <xsd:maxLength value="255"/>
        </xsd:restriction>
      </xsd:simpleType>
    </xsd:element>
    <xsd:element name="Montodeintereseslegalesletras" ma:index="117" nillable="true" ma:displayName="Monto de intereses legales letras" ma:format="Dropdown" ma:internalName="Montodeintereseslegalesletras">
      <xsd:simpleType>
        <xsd:restriction base="dms:Text">
          <xsd:maxLength value="255"/>
        </xsd:restriction>
      </xsd:simpleType>
    </xsd:element>
    <xsd:element name="Prestaci_x00f3_ny_x002f_oCobertura" ma:index="118" nillable="true" ma:displayName="Prestación y/o Cobertura" ma:format="Dropdown" ma:internalName="Prestaci_x00f3_ny_x002f_oCobertura">
      <xsd:simpleType>
        <xsd:restriction base="dms:Text">
          <xsd:maxLength value="255"/>
        </xsd:restriction>
      </xsd:simpleType>
    </xsd:element>
    <xsd:element name="Nombredebeneficiario" ma:index="119" nillable="true" ma:displayName="Nombre de beneficiario" ma:format="Dropdown" ma:internalName="Nombredebeneficiario">
      <xsd:simpleType>
        <xsd:restriction base="dms:Text">
          <xsd:maxLength value="255"/>
        </xsd:restriction>
      </xsd:simpleType>
    </xsd:element>
    <xsd:element name="nrodedocumentodebeneficiario" ma:index="120" nillable="true" ma:displayName="nro de documento de beneficiario" ma:format="Dropdown" ma:internalName="nrodedocumentodebeneficiario">
      <xsd:simpleType>
        <xsd:restriction base="dms:Text">
          <xsd:maxLength value="255"/>
        </xsd:restriction>
      </xsd:simpleType>
    </xsd:element>
    <xsd:element name="tipodedocumentodebeneficiario" ma:index="121" nillable="true" ma:displayName="tipo de documento de beneficiario" ma:format="Dropdown" ma:internalName="tipodedocumentodebeneficiario">
      <xsd:simpleType>
        <xsd:restriction base="dms:Text">
          <xsd:maxLength value="255"/>
        </xsd:restriction>
      </xsd:simpleType>
    </xsd:element>
    <xsd:element name="EXPEDIENTELEGAL" ma:index="122" nillable="true" ma:displayName="EXPEDIENTE LEGAL" ma:format="Dropdown" ma:internalName="EXPEDIENTELEGAL">
      <xsd:simpleType>
        <xsd:restriction base="dms:Text">
          <xsd:maxLength value="255"/>
        </xsd:restriction>
      </xsd:simpleType>
    </xsd:element>
    <xsd:element name="Asunto_x002d_carta" ma:index="123" nillable="true" ma:displayName="Asunto-carta" ma:format="Dropdown" ma:internalName="Asunto_x002d_carta">
      <xsd:simpleType>
        <xsd:restriction base="dms:Text">
          <xsd:maxLength value="255"/>
        </xsd:restriction>
      </xsd:simpleType>
    </xsd:element>
    <xsd:element name="Numerodecelulardelasegurado" ma:index="124" nillable="true" ma:displayName="Numero de celular del asegurado" ma:format="Dropdown" ma:internalName="Numerodecelulardelasegurado">
      <xsd:simpleType>
        <xsd:restriction base="dms:Text">
          <xsd:maxLength value="255"/>
        </xsd:restriction>
      </xsd:simpleType>
    </xsd:element>
    <xsd:element name="Direcci_x00f3_ndelasegurado" ma:index="125" nillable="true" ma:displayName="Dirección del asegurado" ma:format="Dropdown" ma:internalName="Direcci_x00f3_ndelasegurado">
      <xsd:simpleType>
        <xsd:restriction base="dms:Text">
          <xsd:maxLength value="255"/>
        </xsd:restriction>
      </xsd:simpleType>
    </xsd:element>
    <xsd:element name="Documentospendientes" ma:index="126" nillable="true" ma:displayName="Documentos pendientes" ma:format="Dropdown" ma:internalName="Documentospendientes">
      <xsd:simpleType>
        <xsd:restriction base="dms:Note">
          <xsd:maxLength value="255"/>
        </xsd:restriction>
      </xsd:simpleType>
    </xsd:element>
    <xsd:element name="PENSIONDEINVALIDEZ_x002f_INDEMNIZACION" ma:index="127" nillable="true" ma:displayName="PENSION DEINVALIDEZ/INDEMNIZACION" ma:format="Dropdown" ma:internalName="PENSIONDEINVALIDEZ_x002f_INDEMNIZACION">
      <xsd:simpleType>
        <xsd:restriction base="dms:Text">
          <xsd:maxLength value="255"/>
        </xsd:restriction>
      </xsd:simpleType>
    </xsd:element>
    <xsd:element name="ANEXOCONSTANCIAINDEMNIZACION" ma:index="128" nillable="true" ma:displayName="ANEXO INDEMNIZACION/PENSION" ma:format="Dropdown" ma:internalName="ANEXOCONSTANCIAINDEMNIZACION">
      <xsd:simpleType>
        <xsd:restriction base="dms:Text">
          <xsd:maxLength value="255"/>
        </xsd:restriction>
      </xsd:simpleType>
    </xsd:element>
    <xsd:element name="TIPOTRAMITE" ma:index="129" nillable="true" ma:displayName="Configuró o sufrió" ma:format="Dropdown" ma:internalName="TIPOTRAMITE">
      <xsd:simpleType>
        <xsd:restriction base="dms:Text">
          <xsd:maxLength value="255"/>
        </xsd:restriction>
      </xsd:simpleType>
    </xsd:element>
    <xsd:element name="cuandooconsecuencia" ma:index="130" nillable="true" ma:displayName="cuando o consecuencia" ma:format="Dropdown" ma:internalName="cuandooconsecuencia">
      <xsd:simpleType>
        <xsd:restriction base="dms:Text">
          <xsd:maxLength value="255"/>
        </xsd:restriction>
      </xsd:simpleType>
    </xsd:element>
    <xsd:element name="SEDEJUDICIAL" ma:index="131" nillable="true" ma:displayName="SEDE JUDICIAL" ma:format="Dropdown" ma:internalName="SEDEJUDICIAL">
      <xsd:simpleType>
        <xsd:restriction base="dms:Text">
          <xsd:maxLength value="255"/>
        </xsd:restriction>
      </xsd:simpleType>
    </xsd:element>
    <xsd:element name="Fechadeiniciodepension" ma:index="132" nillable="true" ma:displayName="Fecha de inicio de pension" ma:format="Dropdown" ma:internalName="Fechadeiniciodepension">
      <xsd:simpleType>
        <xsd:restriction base="dms:Text">
          <xsd:maxLength value="255"/>
        </xsd:restriction>
      </xsd:simpleType>
    </xsd:element>
    <xsd:element name="encumplimientolegal" ma:index="133" nillable="true" ma:displayName="en cumplimiento legal" ma:format="Dropdown" ma:internalName="encumplimientolegal">
      <xsd:simpleType>
        <xsd:restriction base="dms:Text">
          <xsd:maxLength value="255"/>
        </xsd:restriction>
      </xsd:simpleType>
    </xsd:element>
    <xsd:element name="Fechadeultimapensi_x00f3_n" ma:index="134" nillable="true" ma:displayName="Fecha de ultima pensión" ma:format="Dropdown" ma:internalName="Fechadeultimapensi_x00f3_n">
      <xsd:simpleType>
        <xsd:restriction base="dms:Text">
          <xsd:maxLength value="255"/>
        </xsd:restriction>
      </xsd:simpleType>
    </xsd:element>
    <xsd:element name="ANEXO2DEPENSION" ma:index="135" nillable="true" ma:displayName="ANEXO2 DE PENSION" ma:format="Dropdown" ma:internalName="ANEXO2DEPENSION">
      <xsd:simpleType>
        <xsd:restriction base="dms:Note">
          <xsd:maxLength value="255"/>
        </xsd:restriction>
      </xsd:simpleType>
    </xsd:element>
    <xsd:element name="MediaServiceObjectDetectorVersions" ma:index="1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EncasodeATESSALUD" ma:index="137" nillable="true" ma:displayName="En caso de AT ESSALUD" ma:format="Dropdown" ma:internalName="EncasodeATESSALUD">
      <xsd:simpleType>
        <xsd:restriction base="dms:Note">
          <xsd:maxLength value="255"/>
        </xsd:restriction>
      </xsd:simpleType>
    </xsd:element>
    <xsd:element name="DICTMAPFRE1" ma:index="138" nillable="true" ma:displayName="INICIO" ma:format="Dropdown" ma:internalName="DICTMAPFRE1">
      <xsd:simpleType>
        <xsd:restriction base="dms:Note">
          <xsd:maxLength value="255"/>
        </xsd:restriction>
      </xsd:simpleType>
    </xsd:element>
    <xsd:element name="DICTINR1" ma:index="139" nillable="true" ma:displayName="FINALMENTE" ma:format="Dropdown" ma:internalName="DICTINR1">
      <xsd:simpleType>
        <xsd:restriction base="dms:Note">
          <xsd:maxLength value="255"/>
        </xsd:restriction>
      </xsd:simpleType>
    </xsd:element>
    <xsd:element name="DICTMAPFRE2" ma:index="140" nillable="true" ma:displayName="MEDIO" ma:format="Dropdown" ma:internalName="DICTMAPFRE2">
      <xsd:simpleType>
        <xsd:restriction base="dms:Note">
          <xsd:maxLength value="255"/>
        </xsd:restriction>
      </xsd:simpleType>
    </xsd:element>
    <xsd:element name="DICTINR2" ma:index="141" nillable="true" ma:displayName="SIGUIENTE HOJA" ma:format="Dropdown" ma:internalName="DICTINR2">
      <xsd:simpleType>
        <xsd:restriction base="dms:Note">
          <xsd:maxLength value="255"/>
        </xsd:restriction>
      </xsd:simpleType>
    </xsd:element>
    <xsd:element name="Tipodeconfi" ma:index="142" nillable="true" ma:displayName="Tipo de confi" ma:format="Dropdown" ma:internalName="Tipodeconfi">
      <xsd:simpleType>
        <xsd:restriction base="dms:Text">
          <xsd:maxLength value="255"/>
        </xsd:restriction>
      </xsd:simpleType>
    </xsd:element>
    <xsd:element name="BROKER" ma:index="143" nillable="true" ma:displayName="BROKER" ma:format="Dropdown" ma:internalName="BROKER">
      <xsd:simpleType>
        <xsd:restriction base="dms:Text">
          <xsd:maxLength value="255"/>
        </xsd:restriction>
      </xsd:simpleType>
    </xsd:element>
    <xsd:element name="CORREOBROKER" ma:index="144" nillable="true" ma:displayName="CORREO BROKER" ma:format="Dropdown" ma:internalName="CORREOBROKER">
      <xsd:simpleType>
        <xsd:restriction base="dms:Text">
          <xsd:maxLength value="255"/>
        </xsd:restriction>
      </xsd:simpleType>
    </xsd:element>
    <xsd:element name="CORREOEMPRESA" ma:index="145" nillable="true" ma:displayName="CORREO EMPRESA" ma:format="Dropdown" ma:internalName="CORREOEMPRESA">
      <xsd:simpleType>
        <xsd:restriction base="dms:Text">
          <xsd:maxLength value="255"/>
        </xsd:restriction>
      </xsd:simpleType>
    </xsd:element>
    <xsd:element name="MediaServiceSearchProperties" ma:index="14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V1" ma:index="147" nillable="true" ma:displayName="PROV1" ma:format="Dropdown" ma:internalName="PROV1">
      <xsd:simpleType>
        <xsd:restriction base="dms:Note">
          <xsd:maxLength value="255"/>
        </xsd:restriction>
      </xsd:simpleType>
    </xsd:element>
    <xsd:element name="PROV2" ma:index="148" nillable="true" ma:displayName="PROV2" ma:format="Dropdown" ma:internalName="PROV2">
      <xsd:simpleType>
        <xsd:restriction base="dms:Note">
          <xsd:maxLength value="255"/>
        </xsd:restriction>
      </xsd:simpleType>
    </xsd:element>
    <xsd:element name="PROV3" ma:index="149" nillable="true" ma:displayName="PROV3" ma:format="Dropdown" ma:internalName="PROV3">
      <xsd:simpleType>
        <xsd:restriction base="dms:Note">
          <xsd:maxLength value="255"/>
        </xsd:restriction>
      </xsd:simpleType>
    </xsd:element>
    <xsd:element name="PROV4" ma:index="150" nillable="true" ma:displayName="PROV4" ma:format="Dropdown" ma:internalName="PROV4">
      <xsd:simpleType>
        <xsd:restriction base="dms:Note">
          <xsd:maxLength value="255"/>
        </xsd:restriction>
      </xsd:simpleType>
    </xsd:element>
    <xsd:element name="PROV5" ma:index="151" nillable="true" ma:displayName="PROV5" ma:format="Dropdown" ma:internalName="PROV5">
      <xsd:simpleType>
        <xsd:restriction base="dms:Note">
          <xsd:maxLength value="255"/>
        </xsd:restriction>
      </xsd:simpleType>
    </xsd:element>
    <xsd:element name="POLITICASREEMBOLSO" ma:index="152" nillable="true" ma:displayName="POLITICASREEMBOLSO" ma:format="Dropdown" ma:internalName="POLITICASREEMBOLSO">
      <xsd:simpleType>
        <xsd:restriction base="dms:Note">
          <xsd:maxLength value="255"/>
        </xsd:restriction>
      </xsd:simpleType>
    </xsd:element>
    <xsd:element name="CUERPOREEMBOLSO" ma:index="153" nillable="true" ma:displayName="CUERPOREEMBOLSO" ma:format="Dropdown" ma:internalName="CUERPOREEMBOLSO">
      <xsd:simpleType>
        <xsd:restriction base="dms:Note">
          <xsd:maxLength value="255"/>
        </xsd:restriction>
      </xsd:simpleType>
    </xsd:element>
    <xsd:element name="NOTAREEMBOLSO" ma:index="154" nillable="true" ma:displayName="NOTAREEMBOLSO" ma:format="Dropdown" ma:internalName="NOTAREEMBOLSO">
      <xsd:simpleType>
        <xsd:restriction base="dms:Note">
          <xsd:maxLength value="255"/>
        </xsd:restriction>
      </xsd:simpleType>
    </xsd:element>
    <xsd:element name="CONDIC_NATCLAR" ma:index="155" nillable="true" ma:displayName="CONDIC_NATCLAR" ma:description="EVALUACIONES MEDICAS SCTRPENSION" ma:format="Dropdown" ma:internalName="CONDIC_NATCLAR">
      <xsd:simpleType>
        <xsd:restriction base="dms:Note">
          <xsd:maxLength value="255"/>
        </xsd:restriction>
      </xsd:simpleType>
    </xsd:element>
    <xsd:element name="CIMEDIC" ma:index="156" nillable="true" ma:displayName="CIMEDIC" ma:description="Reprogramacion en cimedic" ma:format="Dropdown" ma:internalName="CIMEDIC">
      <xsd:simpleType>
        <xsd:restriction base="dms:Text">
          <xsd:maxLength value="255"/>
        </xsd:restriction>
      </xsd:simpleType>
    </xsd:element>
    <xsd:element name="CIMEDIC2" ma:index="157" nillable="true" ma:displayName="CIMEDIC2" ma:description="REPROGRA" ma:format="Dropdown" ma:internalName="CIMEDIC2">
      <xsd:simpleType>
        <xsd:restriction base="dms:Text">
          <xsd:maxLength value="255"/>
        </xsd:restriction>
      </xsd:simpleType>
    </xsd:element>
    <xsd:element name="CIMEDIC3" ma:index="158" nillable="true" ma:displayName="CIMEDIC3" ma:format="Dropdown" ma:internalName="CIMEDIC3">
      <xsd:simpleType>
        <xsd:restriction base="dms:Text">
          <xsd:maxLength value="255"/>
        </xsd:restriction>
      </xsd:simpleType>
    </xsd:element>
    <xsd:element name="CIMEDIC4" ma:index="159" nillable="true" ma:displayName="CIMEDIC4" ma:format="Dropdown" ma:internalName="CIMEDIC4">
      <xsd:simpleType>
        <xsd:restriction base="dms:Text">
          <xsd:maxLength value="255"/>
        </xsd:restriction>
      </xsd:simpleType>
    </xsd:element>
    <xsd:element name="CIMEDIC5" ma:index="160" nillable="true" ma:displayName="CIMEDIC5" ma:format="Dropdown" ma:internalName="CIMEDIC5">
      <xsd:simpleType>
        <xsd:restriction base="dms:Text">
          <xsd:maxLength value="255"/>
        </xsd:restriction>
      </xsd:simpleType>
    </xsd:element>
    <xsd:element name="FECH_RESOL" ma:index="161" nillable="true" ma:displayName="FECH_RESOL" ma:format="Dropdown" ma:internalName="FECH_RESOL">
      <xsd:simpleType>
        <xsd:restriction base="dms:Text">
          <xsd:maxLength value="255"/>
        </xsd:restriction>
      </xsd:simpleType>
    </xsd:element>
    <xsd:element name="LISTADEBENEFICIARIOS" ma:index="162" nillable="true" ma:displayName="LISTA DE BENEFICIARIOS" ma:description="PARA SOBREVIVENCIA" ma:format="Dropdown" ma:internalName="LISTADEBENEFICIARIOS">
      <xsd:simpleType>
        <xsd:restriction base="dms:Note">
          <xsd:maxLength value="255"/>
        </xsd:restriction>
      </xsd:simpleType>
    </xsd:element>
    <xsd:element name="LISTAPARENTEZCO" ma:index="163" nillable="true" ma:displayName="LISTA PARENTEZCO" ma:format="Dropdown" ma:internalName="LISTAPARENTEZCO">
      <xsd:simpleType>
        <xsd:restriction base="dms:Note">
          <xsd:maxLength value="255"/>
        </xsd:restriction>
      </xsd:simpleType>
    </xsd:element>
    <xsd:element name="LISTA_x0025_" ma:index="164" nillable="true" ma:displayName="LISTA%" ma:format="Dropdown" ma:internalName="LISTA_x0025_">
      <xsd:simpleType>
        <xsd:restriction base="dms:Note">
          <xsd:maxLength value="255"/>
        </xsd:restriction>
      </xsd:simpleType>
    </xsd:element>
    <xsd:element name="LISTAACREDITADO" ma:index="165" nillable="true" ma:displayName="LISTA ACREDITADO" ma:format="Dropdown" ma:internalName="LISTAACREDITADO">
      <xsd:simpleType>
        <xsd:restriction base="dms:Note">
          <xsd:maxLength value="255"/>
        </xsd:restriction>
      </xsd:simpleType>
    </xsd:element>
    <xsd:element name="Nro_Certificado" ma:index="166" nillable="true" ma:displayName="Nro_Certificado" ma:format="Dropdown" ma:internalName="Nro_Certificado">
      <xsd:simpleType>
        <xsd:restriction base="dms:Text">
          <xsd:maxLength value="255"/>
        </xsd:restriction>
      </xsd:simpleType>
    </xsd:element>
    <xsd:element name="Dia_Informe" ma:index="167" nillable="true" ma:displayName="Dia_Informe" ma:format="Dropdown" ma:internalName="Dia_Informe">
      <xsd:simpleType>
        <xsd:restriction base="dms:Text">
          <xsd:maxLength value="255"/>
        </xsd:restriction>
      </xsd:simpleType>
    </xsd:element>
    <xsd:element name="Mes_Informe" ma:index="168" nillable="true" ma:displayName="Mes_Informe" ma:format="Dropdown" ma:internalName="Mes_Informe">
      <xsd:simpleType>
        <xsd:restriction base="dms:Text">
          <xsd:maxLength value="255"/>
        </xsd:restriction>
      </xsd:simpleType>
    </xsd:element>
    <xsd:element name="Anio_Informe" ma:index="169" nillable="true" ma:displayName="Anio_Informe" ma:format="Dropdown" ma:internalName="Anio_Informe">
      <xsd:simpleType>
        <xsd:restriction base="dms:Text">
          <xsd:maxLength value="255"/>
        </xsd:restriction>
      </xsd:simpleType>
    </xsd:element>
    <xsd:element name="Apellido_Paterno" ma:index="170" nillable="true" ma:displayName="Apellido_Paterno" ma:format="Dropdown" ma:internalName="Apellido_Paterno">
      <xsd:simpleType>
        <xsd:restriction base="dms:Text">
          <xsd:maxLength value="255"/>
        </xsd:restriction>
      </xsd:simpleType>
    </xsd:element>
    <xsd:element name="Apellido_Materno" ma:index="171" nillable="true" ma:displayName="Apellido_Materno" ma:format="Dropdown" ma:internalName="Apellido_Materno">
      <xsd:simpleType>
        <xsd:restriction base="dms:Text">
          <xsd:maxLength value="255"/>
        </xsd:restriction>
      </xsd:simpleType>
    </xsd:element>
    <xsd:element name="Nombres" ma:index="172" nillable="true" ma:displayName="Nombres" ma:format="Dropdown" ma:internalName="Nombres">
      <xsd:simpleType>
        <xsd:restriction base="dms:Text">
          <xsd:maxLength value="255"/>
        </xsd:restriction>
      </xsd:simpleType>
    </xsd:element>
    <xsd:element name="DNI" ma:index="173" nillable="true" ma:displayName="DNI" ma:format="Dropdown" ma:internalName="DNI">
      <xsd:simpleType>
        <xsd:restriction base="dms:Text">
          <xsd:maxLength value="255"/>
        </xsd:restriction>
      </xsd:simpleType>
    </xsd:element>
    <xsd:element name="Sexo" ma:index="174" nillable="true" ma:displayName="Sexo" ma:format="Dropdown" ma:internalName="Sexo">
      <xsd:simpleType>
        <xsd:restriction base="dms:Text">
          <xsd:maxLength value="255"/>
        </xsd:restriction>
      </xsd:simpleType>
    </xsd:element>
    <xsd:element name="Edad" ma:index="175" nillable="true" ma:displayName="Edad" ma:format="Dropdown" ma:internalName="Edad">
      <xsd:simpleType>
        <xsd:restriction base="dms:Text">
          <xsd:maxLength value="255"/>
        </xsd:restriction>
      </xsd:simpleType>
    </xsd:element>
    <xsd:element name="Fecha_Nacimiento" ma:index="176" nillable="true" ma:displayName="Fecha_Nacimiento" ma:format="Dropdown" ma:internalName="Fecha_Nacimiento">
      <xsd:simpleType>
        <xsd:restriction base="dms:Text">
          <xsd:maxLength value="255"/>
        </xsd:restriction>
      </xsd:simpleType>
    </xsd:element>
    <xsd:element name="Calle" ma:index="177" nillable="true" ma:displayName="Calle" ma:format="Dropdown" ma:internalName="Calle">
      <xsd:simpleType>
        <xsd:restriction base="dms:Text">
          <xsd:maxLength value="255"/>
        </xsd:restriction>
      </xsd:simpleType>
    </xsd:element>
    <xsd:element name="Distrito" ma:index="178" nillable="true" ma:displayName="Distrito" ma:format="Dropdown" ma:internalName="Distrito">
      <xsd:simpleType>
        <xsd:restriction base="dms:Text">
          <xsd:maxLength value="255"/>
        </xsd:restriction>
      </xsd:simpleType>
    </xsd:element>
    <xsd:element name="Provincia" ma:index="179" nillable="true" ma:displayName="Provincia" ma:format="Dropdown" ma:internalName="Provincia">
      <xsd:simpleType>
        <xsd:restriction base="dms:Text">
          <xsd:maxLength value="255"/>
        </xsd:restriction>
      </xsd:simpleType>
    </xsd:element>
    <xsd:element name="Departamento" ma:index="180" nillable="true" ma:displayName="Departamento" ma:format="Dropdown" ma:internalName="Departamento">
      <xsd:simpleType>
        <xsd:restriction base="dms:Text">
          <xsd:maxLength value="255"/>
        </xsd:restriction>
      </xsd:simpleType>
    </xsd:element>
    <xsd:element name="Empleador" ma:index="181" nillable="true" ma:displayName="Empleador" ma:format="Dropdown" ma:internalName="Empleador">
      <xsd:simpleType>
        <xsd:restriction base="dms:Text">
          <xsd:maxLength value="255"/>
        </xsd:restriction>
      </xsd:simpleType>
    </xsd:element>
    <xsd:element name="Empresa_Sede" ma:index="182" nillable="true" ma:displayName="Empresa_Sede" ma:format="Dropdown" ma:internalName="Empresa_Sede">
      <xsd:simpleType>
        <xsd:restriction base="dms:Text">
          <xsd:maxLength value="255"/>
        </xsd:restriction>
      </xsd:simpleType>
    </xsd:element>
    <xsd:element name="Actividad" ma:index="183" nillable="true" ma:displayName="Actividad" ma:format="Dropdown" ma:internalName="Actividad">
      <xsd:simpleType>
        <xsd:restriction base="dms:Text">
          <xsd:maxLength value="255"/>
        </xsd:restriction>
      </xsd:simpleType>
    </xsd:element>
    <xsd:element name="Periodo_Laboral" ma:index="184" nillable="true" ma:displayName="Periodo_Laboral" ma:format="Dropdown" ma:internalName="Periodo_Laboral">
      <xsd:simpleType>
        <xsd:restriction base="dms:Text">
          <xsd:maxLength value="255"/>
        </xsd:restriction>
      </xsd:simpleType>
    </xsd:element>
    <xsd:element name="Ocupacion" ma:index="185" nillable="true" ma:displayName="Ocupacion" ma:format="Dropdown" ma:internalName="Ocupacion">
      <xsd:simpleType>
        <xsd:restriction base="dms:Text">
          <xsd:maxLength value="255"/>
        </xsd:restriction>
      </xsd:simpleType>
    </xsd:element>
    <xsd:element name="Fech_I" ma:index="186" nillable="true" ma:displayName="Fech_I" ma:format="Dropdown" ma:internalName="Fech_I">
      <xsd:simpleType>
        <xsd:restriction base="dms:Text">
          <xsd:maxLength value="255"/>
        </xsd:restriction>
      </xsd:simpleType>
    </xsd:element>
    <xsd:element name="Resultado_Informe" ma:index="187" nillable="true" ma:displayName="Resultado_Informe" ma:format="Dropdown" ma:internalName="Resultado_Informe">
      <xsd:simpleType>
        <xsd:restriction base="dms:Text">
          <xsd:maxLength value="255"/>
        </xsd:restriction>
      </xsd:simpleType>
    </xsd:element>
    <xsd:element name="Fech_A" ma:index="188" nillable="true" ma:displayName="Fech_A" ma:format="Dropdown" ma:internalName="Fech_A">
      <xsd:simpleType>
        <xsd:restriction base="dms:Text">
          <xsd:maxLength value="255"/>
        </xsd:restriction>
      </xsd:simpleType>
    </xsd:element>
    <xsd:element name="Resultado_AT" ma:index="189" nillable="true" ma:displayName="Resultado_AT" ma:format="Dropdown" ma:internalName="Resultado_AT">
      <xsd:simpleType>
        <xsd:restriction base="dms:Text">
          <xsd:maxLength value="255"/>
        </xsd:restriction>
      </xsd:simpleType>
    </xsd:element>
    <xsd:element name="Diagnostico_1" ma:index="190" nillable="true" ma:displayName="Diagnostico_1" ma:format="Dropdown" ma:internalName="Diagnostico_1">
      <xsd:simpleType>
        <xsd:restriction base="dms:Text">
          <xsd:maxLength value="255"/>
        </xsd:restriction>
      </xsd:simpleType>
    </xsd:element>
    <xsd:element name="Diagnostico_2" ma:index="191" nillable="true" ma:displayName="Diagnostico_2" ma:format="Dropdown" ma:internalName="Diagnostico_2">
      <xsd:simpleType>
        <xsd:restriction base="dms:Text">
          <xsd:maxLength value="255"/>
        </xsd:restriction>
      </xsd:simpleType>
    </xsd:element>
    <xsd:element name="Diagnostico_3" ma:index="192" nillable="true" ma:displayName="Diagnostico_3" ma:format="Dropdown" ma:internalName="Diagnostico_3">
      <xsd:simpleType>
        <xsd:restriction base="dms:Text">
          <xsd:maxLength value="255"/>
        </xsd:restriction>
      </xsd:simpleType>
    </xsd:element>
    <xsd:element name="Codigo_1" ma:index="193" nillable="true" ma:displayName="Codigo_1" ma:format="Dropdown" ma:internalName="Codigo_1">
      <xsd:simpleType>
        <xsd:restriction base="dms:Text">
          <xsd:maxLength value="255"/>
        </xsd:restriction>
      </xsd:simpleType>
    </xsd:element>
    <xsd:element name="Codigo_2" ma:index="194" nillable="true" ma:displayName="Codigo_2" ma:format="Dropdown" ma:internalName="Codigo_2">
      <xsd:simpleType>
        <xsd:restriction base="dms:Text">
          <xsd:maxLength value="255"/>
        </xsd:restriction>
      </xsd:simpleType>
    </xsd:element>
    <xsd:element name="Codigo_3" ma:index="195" nillable="true" ma:displayName="Codigo_3" ma:format="Dropdown" ma:internalName="Codigo_3">
      <xsd:simpleType>
        <xsd:restriction base="dms:Text">
          <xsd:maxLength value="255"/>
        </xsd:restriction>
      </xsd:simpleType>
    </xsd:element>
    <xsd:element name="N_Temporal" ma:index="196" nillable="true" ma:displayName="N_Temporal" ma:format="Dropdown" ma:internalName="N_Temporal">
      <xsd:simpleType>
        <xsd:restriction base="dms:Text">
          <xsd:maxLength value="255"/>
        </xsd:restriction>
      </xsd:simpleType>
    </xsd:element>
    <xsd:element name="N_Permanente" ma:index="197" nillable="true" ma:displayName="N_Permanente" ma:format="Dropdown" ma:internalName="N_Permanente">
      <xsd:simpleType>
        <xsd:restriction base="dms:Text">
          <xsd:maxLength value="255"/>
        </xsd:restriction>
      </xsd:simpleType>
    </xsd:element>
    <xsd:element name="N_NoIncapa" ma:index="198" nillable="true" ma:displayName="N_NoIncapa" ma:format="Dropdown" ma:internalName="N_NoIncapa">
      <xsd:simpleType>
        <xsd:restriction base="dms:Text">
          <xsd:maxLength value="255"/>
        </xsd:restriction>
      </xsd:simpleType>
    </xsd:element>
    <xsd:element name="I_Parcial" ma:index="199" nillable="true" ma:displayName="I_Parcial" ma:format="Dropdown" ma:internalName="I_Parcial">
      <xsd:simpleType>
        <xsd:restriction base="dms:Text">
          <xsd:maxLength value="255"/>
        </xsd:restriction>
      </xsd:simpleType>
    </xsd:element>
    <xsd:element name="I_Total" ma:index="200" nillable="true" ma:displayName="I_Total" ma:format="Dropdown" ma:internalName="I_Total">
      <xsd:simpleType>
        <xsd:restriction base="dms:Text">
          <xsd:maxLength value="255"/>
        </xsd:restriction>
      </xsd:simpleType>
    </xsd:element>
    <xsd:element name="I_GIncap" ma:index="201" nillable="true" ma:displayName="I_GIncap" ma:format="Dropdown" ma:internalName="I_GIncap">
      <xsd:simpleType>
        <xsd:restriction base="dms:Text">
          <xsd:maxLength value="255"/>
        </xsd:restriction>
      </xsd:simpleType>
    </xsd:element>
    <xsd:element name="Msc_Comb" ma:index="202" nillable="true" ma:displayName="Msc_Comb" ma:format="Dropdown" ma:internalName="Msc_Comb">
      <xsd:simpleType>
        <xsd:restriction base="dms:Text">
          <xsd:maxLength value="255"/>
        </xsd:restriction>
      </xsd:simpleType>
    </xsd:element>
    <xsd:element name="FC_Edad" ma:index="203" nillable="true" ma:displayName="FC_Edad" ma:format="Dropdown" ma:internalName="FC_Edad">
      <xsd:simpleType>
        <xsd:restriction base="dms:Text">
          <xsd:maxLength value="255"/>
        </xsd:restriction>
      </xsd:simpleType>
    </xsd:element>
    <xsd:element name="FC_Grado" ma:index="204" nillable="true" ma:displayName="FC_Grado" ma:format="Dropdown" ma:internalName="FC_Grado">
      <xsd:simpleType>
        <xsd:restriction base="dms:Text">
          <xsd:maxLength value="255"/>
        </xsd:restriction>
      </xsd:simpleType>
    </xsd:element>
    <xsd:element name="FC_Laboral" ma:index="205" nillable="true" ma:displayName="FC_Laboral" ma:format="Dropdown" ma:internalName="FC_Laboral">
      <xsd:simpleType>
        <xsd:restriction base="dms:Text">
          <xsd:maxLength value="255"/>
        </xsd:restriction>
      </xsd:simpleType>
    </xsd:element>
    <xsd:element name="Msc_Global" ma:index="206" nillable="true" ma:displayName="Msc_Global" ma:format="Dropdown" ma:internalName="Msc_Global">
      <xsd:simpleType>
        <xsd:restriction base="dms:Text">
          <xsd:maxLength value="255"/>
        </xsd:restriction>
      </xsd:simpleType>
    </xsd:element>
    <xsd:element name="Nro_Carta" ma:index="207" nillable="true" ma:displayName="Nro_Carta" ma:format="Dropdown" ma:internalName="Nro_Carta">
      <xsd:simpleType>
        <xsd:restriction base="dms:Text">
          <xsd:maxLength value="255"/>
        </xsd:restriction>
      </xsd:simpleType>
    </xsd:element>
    <xsd:element name="Fecha_Carta" ma:index="208" nillable="true" ma:displayName="Fecha_Carta" ma:format="Dropdown" ma:internalName="Fecha_Carta">
      <xsd:simpleType>
        <xsd:restriction base="dms:Text">
          <xsd:maxLength value="255"/>
        </xsd:restriction>
      </xsd:simpleType>
    </xsd:element>
    <xsd:element name="Nombre_Asegurado" ma:index="209" nillable="true" ma:displayName="Nombre_Asegurado" ma:format="Dropdown" ma:internalName="Nombre_Asegurado">
      <xsd:simpleType>
        <xsd:restriction base="dms:Text">
          <xsd:maxLength value="255"/>
        </xsd:restriction>
      </xsd:simpleType>
    </xsd:element>
    <xsd:element name="Correo_Asegurado" ma:index="210" nillable="true" ma:displayName="Correo_Asegurado" ma:format="Dropdown" ma:internalName="Correo_Asegurado">
      <xsd:simpleType>
        <xsd:restriction base="dms:Text">
          <xsd:maxLength value="255"/>
        </xsd:restriction>
      </xsd:simpleType>
    </xsd:element>
    <xsd:element name="Nro_Poliza" ma:index="211" nillable="true" ma:displayName="Nro_Poliza" ma:format="Dropdown" ma:internalName="Nro_Poliza">
      <xsd:simpleType>
        <xsd:restriction base="dms:Text">
          <xsd:maxLength value="255"/>
        </xsd:restriction>
      </xsd:simpleType>
    </xsd:element>
    <xsd:element name="Empresa" ma:index="212" nillable="true" ma:displayName="Empresa" ma:format="Dropdown" ma:internalName="Empresa">
      <xsd:simpleType>
        <xsd:restriction base="dms:Text">
          <xsd:maxLength value="255"/>
        </xsd:restriction>
      </xsd:simpleType>
    </xsd:element>
    <xsd:element name="Fecha_Siniestro" ma:index="213" nillable="true" ma:displayName="Fecha_Siniestro" ma:format="Dropdown" ma:internalName="Fecha_Siniestro">
      <xsd:simpleType>
        <xsd:restriction base="dms:Text">
          <xsd:maxLength value="255"/>
        </xsd:restriction>
      </xsd:simpleType>
    </xsd:element>
    <xsd:element name="Hora_Siniestro" ma:index="214" nillable="true" ma:displayName="Hora_Siniestro" ma:format="Dropdown" ma:internalName="Hora_Siniestro">
      <xsd:simpleType>
        <xsd:restriction base="dms:Text">
          <xsd:maxLength value="255"/>
        </xsd:restriction>
      </xsd:simpleType>
    </xsd:element>
    <xsd:element name="Sustento_Rechazo" ma:index="215" nillable="true" ma:displayName="Sustento_Rechazo" ma:format="Dropdown" ma:internalName="Sustento_Rechazo">
      <xsd:simpleType>
        <xsd:restriction base="dms:Text">
          <xsd:maxLength value="255"/>
        </xsd:restriction>
      </xsd:simpleType>
    </xsd:element>
    <xsd:element name="Fecha_Emision_Constancia" ma:index="216" nillable="true" ma:displayName="Fecha_Emision_Constancia" ma:format="Dropdown" ma:internalName="Fecha_Emision_Constancia">
      <xsd:simpleType>
        <xsd:restriction base="dms:Text">
          <xsd:maxLength value="255"/>
        </xsd:restriction>
      </xsd:simpleType>
    </xsd:element>
    <xsd:element name="Hora_Emision_Constancia" ma:index="217" nillable="true" ma:displayName="Hora_Emision_Constancia" ma:format="Dropdown" ma:internalName="Hora_Emision_Constancia">
      <xsd:simpleType>
        <xsd:restriction base="dms:Text">
          <xsd:maxLength value="255"/>
        </xsd:restriction>
      </xsd:simpleType>
    </xsd:element>
    <xsd:element name="Nro_Constancia" ma:index="218" nillable="true" ma:displayName="Nro_Constancia" ma:format="Dropdown" ma:internalName="Nro_Constancia">
      <xsd:simpleType>
        <xsd:restriction base="dms:Text">
          <xsd:maxLength value="255"/>
        </xsd:restriction>
      </xsd:simpleType>
    </xsd:element>
    <xsd:element name="Vigencia_Constancia" ma:index="219" nillable="true" ma:displayName="Vigencia_Constancia" ma:format="Dropdown" ma:internalName="Vigencia_Constancia">
      <xsd:simpleType>
        <xsd:restriction base="dms:Text">
          <xsd:maxLength value="255"/>
        </xsd:restriction>
      </xsd:simpleType>
    </xsd:element>
    <xsd:element name="Diagnosticos_Enfermedad" ma:index="220" nillable="true" ma:displayName="Diagnosticos_Enfermedad" ma:format="Dropdown" ma:internalName="Diagnosticos_Enfermedad">
      <xsd:simpleType>
        <xsd:restriction base="dms:Text">
          <xsd:maxLength value="255"/>
        </xsd:restriction>
      </xsd:simpleType>
    </xsd:element>
    <xsd:element name="Descripcion_Accidente" ma:index="221" nillable="true" ma:displayName="Descripcion_Accidente" ma:format="Dropdown" ma:internalName="Descripcion_Accidente">
      <xsd:simpleType>
        <xsd:restriction base="dms:Text">
          <xsd:maxLength value="255"/>
        </xsd:restriction>
      </xsd:simpleType>
    </xsd:element>
    <xsd:element name="Motivo_NoRelacion" ma:index="222" nillable="true" ma:displayName="Motivo_NoRelacion" ma:format="Dropdown" ma:internalName="Motivo_NoRelacion">
      <xsd:simpleType>
        <xsd:restriction base="dms:Text">
          <xsd:maxLength value="255"/>
        </xsd:restriction>
      </xsd:simpleType>
    </xsd:element>
    <xsd:element name="Labor_Riesgo" ma:index="223" nillable="true" ma:displayName="Labor_Riesgo" ma:format="Dropdown" ma:internalName="Labor_Riesgo">
      <xsd:simpleType>
        <xsd:restriction base="dms:Text">
          <xsd:maxLength value="255"/>
        </xsd:restriction>
      </xsd:simpleType>
    </xsd:element>
    <xsd:element name="Documentos_Incumplimiento" ma:index="224" nillable="true" ma:displayName="Documentos_Incumplimiento" ma:format="Dropdown" ma:internalName="Documentos_Incumplimiento">
      <xsd:simpleType>
        <xsd:restriction base="dms:Text">
          <xsd:maxLength value="255"/>
        </xsd:restriction>
      </xsd:simpleType>
    </xsd:element>
    <xsd:element name="Detalle_Doc_Incumplimiento" ma:index="225" nillable="true" ma:displayName="Detalle_Doc_Incumplimiento" ma:format="Dropdown" ma:internalName="Detalle_Doc_Incumplimiento">
      <xsd:simpleType>
        <xsd:restriction base="dms:Text">
          <xsd:maxLength value="255"/>
        </xsd:restriction>
      </xsd:simpleType>
    </xsd:element>
    <xsd:element name="Fecha_Siniestro1" ma:index="226" nillable="true" ma:displayName="Fecha_Siniestro1" ma:format="Dropdown" ma:internalName="Fecha_Siniestro1">
      <xsd:simpleType>
        <xsd:restriction base="dms:Text">
          <xsd:maxLength value="255"/>
        </xsd:restriction>
      </xsd:simpleType>
    </xsd:element>
    <xsd:element name="Documentos_Incumplimiento1" ma:index="227" nillable="true" ma:displayName="Documentos_Incumplimiento1" ma:format="Dropdown" ma:internalName="Documentos_Incumplimiento1">
      <xsd:simpleType>
        <xsd:restriction base="dms:Text">
          <xsd:maxLength value="255"/>
        </xsd:restriction>
      </xsd:simpleType>
    </xsd:element>
    <xsd:element name="Estipula1" ma:index="228" nillable="true" ma:displayName="Estipula1" ma:format="Dropdown" ma:internalName="Estipula1">
      <xsd:simpleType>
        <xsd:restriction base="dms:Text">
          <xsd:maxLength value="255"/>
        </xsd:restriction>
      </xsd:simpleType>
    </xsd:element>
    <xsd:element name="Detalle_Doc_Incumplimiento1" ma:index="229" nillable="true" ma:displayName="Detalle_Doc_Incumplimiento1" ma:format="Dropdown" ma:internalName="Detalle_Doc_Incumplimiento1">
      <xsd:simpleType>
        <xsd:restriction base="dms:Text">
          <xsd:maxLength value="255"/>
        </xsd:restriction>
      </xsd:simpleType>
    </xsd:element>
    <xsd:element name="Documentos_Incumplimiento2" ma:index="230" nillable="true" ma:displayName="Documentos_Incumplimiento2" ma:format="Dropdown" ma:internalName="Documentos_Incumplimiento2">
      <xsd:simpleType>
        <xsd:restriction base="dms:Text">
          <xsd:maxLength value="255"/>
        </xsd:restriction>
      </xsd:simpleType>
    </xsd:element>
    <xsd:element name="Estipula2" ma:index="231" nillable="true" ma:displayName="Estipula2" ma:format="Dropdown" ma:internalName="Estipula2">
      <xsd:simpleType>
        <xsd:restriction base="dms:Text">
          <xsd:maxLength value="255"/>
        </xsd:restriction>
      </xsd:simpleType>
    </xsd:element>
    <xsd:element name="Detalle_Doc_Incumplimiento2" ma:index="232" nillable="true" ma:displayName="Detalle_Doc_Incumplimiento2" ma:format="Dropdown" ma:internalName="Detalle_Doc_Incumplimiento2">
      <xsd:simpleType>
        <xsd:restriction base="dms:Text">
          <xsd:maxLength value="255"/>
        </xsd:restriction>
      </xsd:simpleType>
    </xsd:element>
    <xsd:element name="bl" ma:index="233" nillable="true" ma:displayName="bl" ma:format="Dropdown" ma:internalName="bl">
      <xsd:simpleType>
        <xsd:restriction base="dms:Text">
          <xsd:maxLength value="255"/>
        </xsd:restriction>
      </xsd:simpleType>
    </xsd:element>
    <xsd:element name="cl" ma:index="234" nillable="true" ma:displayName="cl" ma:format="Dropdown" ma:internalName="cl">
      <xsd:simpleType>
        <xsd:restriction base="dms:Text">
          <xsd:maxLength value="255"/>
        </xsd:restriction>
      </xsd:simpleType>
    </xsd:element>
    <xsd:element name="MediaServiceBillingMetadata" ma:index="235" nillable="true" ma:displayName="MediaServiceBillingMetadata" ma:hidden="true" ma:internalName="MediaServiceBillingMetadata" ma:readOnly="true">
      <xsd:simpleType>
        <xsd:restriction base="dms:Note"/>
      </xsd:simpleType>
    </xsd:element>
    <xsd:element name="Sustento_Rechazo_2" ma:index="236" nillable="true" ma:displayName="Sustento_Rechazo_2" ma:format="Dropdown" ma:internalName="Sustento_Rechazo_2">
      <xsd:simpleType>
        <xsd:restriction base="dms:Text">
          <xsd:maxLength value="255"/>
        </xsd:restriction>
      </xsd:simpleType>
    </xsd:element>
    <xsd:element name="Sustento_Rechazo_3" ma:index="237" nillable="true" ma:displayName="Sustento_Rechazo_3" ma:format="Dropdown" ma:internalName="Sustento_Rechazo_3">
      <xsd:simpleType>
        <xsd:restriction base="dms:Text">
          <xsd:maxLength value="255"/>
        </xsd:restriction>
      </xsd:simpleType>
    </xsd:element>
    <xsd:element name="Sustento_Rechazo_4" ma:index="238" nillable="true" ma:displayName="Sustento_Rechazo_4" ma:format="Dropdown" ma:internalName="Sustento_Rechazo_4">
      <xsd:simpleType>
        <xsd:restriction base="dms:Text">
          <xsd:maxLength value="255"/>
        </xsd:restriction>
      </xsd:simpleType>
    </xsd:element>
    <xsd:element name="Diagnosticos_2" ma:index="239" nillable="true" ma:displayName="Diagnosticos_2" ma:format="Dropdown" ma:internalName="Diagnosticos_2">
      <xsd:simpleType>
        <xsd:restriction base="dms:Text">
          <xsd:maxLength value="255"/>
        </xsd:restriction>
      </xsd:simpleType>
    </xsd:element>
    <xsd:element name="Diagnosticos_3" ma:index="240" nillable="true" ma:displayName="Diagnosticos_3" ma:format="Dropdown" ma:internalName="Diagnosticos_3">
      <xsd:simpleType>
        <xsd:restriction base="dms:Text">
          <xsd:maxLength value="255"/>
        </xsd:restriction>
      </xsd:simpleType>
    </xsd:element>
    <xsd:element name="Descripcion_Accidente_2" ma:index="241" nillable="true" ma:displayName="Descripcion_Accidente_2" ma:format="Dropdown" ma:internalName="Descripcion_Accidente_2">
      <xsd:simpleType>
        <xsd:restriction base="dms:Text">
          <xsd:maxLength value="255"/>
        </xsd:restriction>
      </xsd:simpleType>
    </xsd:element>
    <xsd:element name="Detalle_Doc_2" ma:index="242" nillable="true" ma:displayName="Detalle_Doc_2" ma:format="Dropdown" ma:internalName="Detalle_Doc_2">
      <xsd:simpleType>
        <xsd:restriction base="dms:Text">
          <xsd:maxLength value="255"/>
        </xsd:restriction>
      </xsd:simpleType>
    </xsd:element>
    <xsd:element name="Detalle_Doc_3" ma:index="243" nillable="true" ma:displayName="Detalle_Doc_3" ma:format="Dropdown" ma:internalName="Detalle_Doc_3">
      <xsd:simpleType>
        <xsd:restriction base="dms:Text">
          <xsd:maxLength value="255"/>
        </xsd:restriction>
      </xsd:simpleType>
    </xsd:element>
    <xsd:element name="Detalle_Doc_4" ma:index="244" nillable="true" ma:displayName="Detalle_Doc_4" ma:format="Dropdown" ma:internalName="Detalle_Doc_4">
      <xsd:simpleType>
        <xsd:restriction base="dms:Text">
          <xsd:maxLength value="255"/>
        </xsd:restriction>
      </xsd:simpleType>
    </xsd:element>
    <xsd:element name="Detalle_Doc_5" ma:index="245" nillable="true" ma:displayName="Detalle_Doc_5" ma:format="Dropdown" ma:internalName="Detalle_Doc_5">
      <xsd:simpleType>
        <xsd:restriction base="dms:Text">
          <xsd:maxLength value="255"/>
        </xsd:restriction>
      </xsd:simpleType>
    </xsd:element>
    <xsd:element name="Detalle_Doc_6" ma:index="246" nillable="true" ma:displayName="Detalle_Doc_6" ma:format="Dropdown" ma:internalName="Detalle_Doc_6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6fdf2-8adc-4820-9c71-468ba955765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487b0b0c-1d90-4196-a0dd-e03160816b79}" ma:internalName="TaxCatchAll" ma:showField="CatchAllData" ma:web="b8c6fdf2-8adc-4820-9c71-468ba95576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071DD8-38FA-4F87-B469-CAAE4889746D}"/>
</file>

<file path=customXml/itemProps2.xml><?xml version="1.0" encoding="utf-8"?>
<ds:datastoreItem xmlns:ds="http://schemas.openxmlformats.org/officeDocument/2006/customXml" ds:itemID="{0C62D15F-1C37-4E6F-8354-48CB7EEE694C}"/>
</file>

<file path=customXml/itemProps3.xml><?xml version="1.0" encoding="utf-8"?>
<ds:datastoreItem xmlns:ds="http://schemas.openxmlformats.org/officeDocument/2006/customXml" ds:itemID="{957A5FF1-780C-4671-AF0D-09AC83E0D3CD}"/>
</file>

<file path=customXml/itemProps4.xml><?xml version="1.0" encoding="utf-8"?>
<ds:datastoreItem xmlns:ds="http://schemas.openxmlformats.org/officeDocument/2006/customXml" ds:itemID="{D8A73236-1B43-4268-B101-7E8DEB9E64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SCTRSalud</cp:lastModifiedBy>
  <cp:revision/>
  <dcterms:created xsi:type="dcterms:W3CDTF">2026-08-11T19:45:40Z</dcterms:created>
  <dcterms:modified xsi:type="dcterms:W3CDTF">2026-10-13T15:27:03Z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0x010100055F873CD8E35B46AA94A8258DDC3D10</vt:lpwstr>
  </property>
  <property fmtid="{D5CDD505-2E9C-101B-9397-08002B2CF9AE}" pid="3" name="MediaServiceImageTags">
    <vt:lpwstr/>
  </property>
</Properties>
</file>